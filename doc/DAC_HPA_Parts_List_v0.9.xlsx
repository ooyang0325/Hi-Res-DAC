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ntums365-my.sharepoint.com/personal/b11901064_m365_ntu_edu_tw/Documents/Documents/github_repo/Hi-Res-DAC/doc/"/>
    </mc:Choice>
  </mc:AlternateContent>
  <xr:revisionPtr revIDLastSave="34423" documentId="11_C0AD03C342DF8CD5452BB6BC8DF50AF967CFF049" xr6:coauthVersionLast="47" xr6:coauthVersionMax="47" xr10:uidLastSave="{57946B16-849C-C145-A85E-50EE17CB3F91}"/>
  <bookViews>
    <workbookView xWindow="0" yWindow="600" windowWidth="51600" windowHeight="19160" activeTab="1" xr2:uid="{00000000-000D-0000-FFFF-FFFF00000000}"/>
  </bookViews>
  <sheets>
    <sheet name="Summary" sheetId="1" r:id="rId1"/>
    <sheet name="Parts list" sheetId="2" r:id="rId2"/>
    <sheet name="Purchasing list" sheetId="3" r:id="rId3"/>
    <sheet name="Cost" sheetId="4" r:id="rId4"/>
    <sheet name="Ordering plan" sheetId="5" r:id="rId5"/>
    <sheet name="Changes vs v0.8" sheetId="6" r:id="rId6"/>
    <sheet name="Netlist" sheetId="7" r:id="rId7"/>
    <sheet name="Nets" sheetId="8" r:id="rId8"/>
    <sheet name="Stress check" sheetId="9" r:id="rId9"/>
    <sheet name="Evidence register" sheetId="10" r:id="rId10"/>
    <sheet name="Notes &amp; open items" sheetId="11" r:id="rId11"/>
    <sheet name="Check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D32" i="1"/>
  <c r="C31" i="1"/>
  <c r="D31" i="1"/>
  <c r="B31" i="1"/>
  <c r="C25" i="1"/>
  <c r="B25" i="1"/>
  <c r="C24" i="1"/>
  <c r="B24" i="1"/>
  <c r="C23" i="1"/>
  <c r="B23" i="1"/>
  <c r="C22" i="1"/>
  <c r="B22" i="1"/>
  <c r="C21" i="1"/>
  <c r="B21" i="1"/>
  <c r="C17" i="1"/>
  <c r="C14" i="1"/>
  <c r="G101" i="12"/>
  <c r="E101" i="12" s="1" a="1"/>
  <c r="E101" i="12" s="1"/>
  <c r="F101" i="12" s="1"/>
  <c r="G100" i="12"/>
  <c r="E100" i="12" s="1" a="1"/>
  <c r="E100" i="12" s="1"/>
  <c r="F100" i="12" s="1"/>
  <c r="G99" i="12"/>
  <c r="E99" i="12" s="1" a="1"/>
  <c r="E99" i="12" s="1"/>
  <c r="F99" i="12" s="1"/>
  <c r="E98" i="12" a="1"/>
  <c r="E98" i="12" s="1"/>
  <c r="F98" i="12" s="1"/>
  <c r="G98" i="12"/>
  <c r="E97" i="12" a="1"/>
  <c r="E97" i="12" s="1"/>
  <c r="F97" i="12" s="1"/>
  <c r="G97" i="12"/>
  <c r="G96" i="12"/>
  <c r="E96" i="12" s="1" a="1"/>
  <c r="E96" i="12" s="1"/>
  <c r="F96" i="12" s="1"/>
  <c r="G95" i="12"/>
  <c r="E95" i="12" s="1" a="1"/>
  <c r="E95" i="12" s="1"/>
  <c r="F95" i="12" s="1"/>
  <c r="G94" i="12"/>
  <c r="E94" i="12" s="1" a="1"/>
  <c r="E94" i="12" s="1"/>
  <c r="F94" i="12" s="1"/>
  <c r="E93" i="12" a="1"/>
  <c r="E93" i="12" s="1"/>
  <c r="F93" i="12" s="1"/>
  <c r="G93" i="12"/>
  <c r="E92" i="12" a="1"/>
  <c r="E92" i="12" s="1"/>
  <c r="F92" i="12" s="1"/>
  <c r="G92" i="12"/>
  <c r="G91" i="12"/>
  <c r="E91" i="12" s="1" a="1"/>
  <c r="E91" i="12" s="1"/>
  <c r="F91" i="12" s="1"/>
  <c r="G90" i="12"/>
  <c r="E90" i="12" s="1" a="1"/>
  <c r="E90" i="12" s="1"/>
  <c r="F90" i="12" s="1"/>
  <c r="G89" i="12"/>
  <c r="E89" i="12" s="1" a="1"/>
  <c r="E89" i="12" s="1"/>
  <c r="F89" i="12" s="1"/>
  <c r="E88" i="12" a="1"/>
  <c r="E88" i="12" s="1"/>
  <c r="F88" i="12" s="1"/>
  <c r="G88" i="12"/>
  <c r="E87" i="12" a="1"/>
  <c r="E87" i="12" s="1"/>
  <c r="F87" i="12" s="1"/>
  <c r="G87" i="12"/>
  <c r="G86" i="12"/>
  <c r="E86" i="12" s="1" a="1"/>
  <c r="E86" i="12" s="1"/>
  <c r="F86" i="12" s="1"/>
  <c r="G85" i="12"/>
  <c r="E85" i="12" s="1" a="1"/>
  <c r="E85" i="12" s="1"/>
  <c r="F85" i="12" s="1"/>
  <c r="G84" i="12"/>
  <c r="E84" i="12" s="1" a="1"/>
  <c r="E84" i="12" s="1"/>
  <c r="F84" i="12" s="1"/>
  <c r="F75" i="12"/>
  <c r="D75" i="12"/>
  <c r="C75" i="12"/>
  <c r="F74" i="12"/>
  <c r="D74" i="12"/>
  <c r="C74" i="12"/>
  <c r="F73" i="12"/>
  <c r="D73" i="12"/>
  <c r="C73" i="12"/>
  <c r="F72" i="12"/>
  <c r="D72" i="12"/>
  <c r="C72" i="12"/>
  <c r="F71" i="12"/>
  <c r="D71" i="12"/>
  <c r="C71" i="12"/>
  <c r="C70" i="12"/>
  <c r="F69" i="12"/>
  <c r="D69" i="12"/>
  <c r="C69" i="12"/>
  <c r="F68" i="12"/>
  <c r="D68" i="12"/>
  <c r="C68" i="12"/>
  <c r="F67" i="12"/>
  <c r="D67" i="12"/>
  <c r="C67" i="12"/>
  <c r="F66" i="12"/>
  <c r="D66" i="12"/>
  <c r="C66" i="12"/>
  <c r="F63" i="12"/>
  <c r="D63" i="12"/>
  <c r="C63" i="12"/>
  <c r="F57" i="12"/>
  <c r="D57" i="12"/>
  <c r="C57" i="12"/>
  <c r="F54" i="12"/>
  <c r="D54" i="12"/>
  <c r="C54" i="12"/>
  <c r="F53" i="12"/>
  <c r="D53" i="12"/>
  <c r="C53" i="12"/>
  <c r="C52" i="12"/>
  <c r="C46" i="12"/>
  <c r="B46" i="12" a="1"/>
  <c r="B46" i="12" s="1"/>
  <c r="D46" i="12" s="1"/>
  <c r="F46" i="12" s="1"/>
  <c r="C45" i="12" a="1"/>
  <c r="C45" i="12" s="1"/>
  <c r="D45" i="12" s="1"/>
  <c r="F45" i="12" s="1"/>
  <c r="C44" i="12"/>
  <c r="G43" i="12"/>
  <c r="F43" i="12"/>
  <c r="D43" i="12"/>
  <c r="C43" i="12"/>
  <c r="C40" i="12"/>
  <c r="D40" i="12" s="1"/>
  <c r="F40" i="12" s="1"/>
  <c r="C39" i="12"/>
  <c r="D39" i="12" s="1"/>
  <c r="F39" i="12" s="1"/>
  <c r="C38" i="12"/>
  <c r="D38" i="12" s="1"/>
  <c r="F38" i="12" s="1"/>
  <c r="C37" i="12"/>
  <c r="D37" i="12" s="1"/>
  <c r="F37" i="12" s="1"/>
  <c r="F34" i="12"/>
  <c r="D34" i="12"/>
  <c r="C34" i="12" a="1"/>
  <c r="C34" i="12"/>
  <c r="C33" i="12"/>
  <c r="F32" i="12"/>
  <c r="D32" i="12"/>
  <c r="C32" i="12"/>
  <c r="C27" i="12"/>
  <c r="C28" i="12" s="1"/>
  <c r="F21" i="12"/>
  <c r="D21" i="12"/>
  <c r="C21" i="12"/>
  <c r="F20" i="12"/>
  <c r="D20" i="12"/>
  <c r="C20" i="12"/>
  <c r="C18" i="12"/>
  <c r="D18" i="12" s="1"/>
  <c r="F18" i="12" s="1"/>
  <c r="D17" i="12"/>
  <c r="F17" i="12" s="1"/>
  <c r="C17" i="12"/>
  <c r="F11" i="12"/>
  <c r="D11" i="12"/>
  <c r="C11" i="12"/>
  <c r="B14" i="1" s="1"/>
  <c r="B193" i="9"/>
  <c r="D192" i="9"/>
  <c r="B192" i="9"/>
  <c r="D191" i="9"/>
  <c r="B191" i="9"/>
  <c r="D190" i="9"/>
  <c r="B190" i="9"/>
  <c r="D189" i="9"/>
  <c r="B189" i="9"/>
  <c r="D188" i="9"/>
  <c r="B188" i="9"/>
  <c r="D187" i="9"/>
  <c r="B187" i="9"/>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F1448" i="7"/>
  <c r="G1448" i="7" s="1" a="1"/>
  <c r="G1448" i="7" s="1"/>
  <c r="F1447" i="7"/>
  <c r="G1447" i="7" s="1" a="1"/>
  <c r="G1447" i="7" s="1"/>
  <c r="F1446" i="7"/>
  <c r="G1446" i="7" s="1" a="1"/>
  <c r="G1446" i="7" s="1"/>
  <c r="F1445" i="7"/>
  <c r="G1445" i="7" s="1" a="1"/>
  <c r="G1445" i="7" s="1"/>
  <c r="F1444" i="7"/>
  <c r="G1444" i="7" s="1" a="1"/>
  <c r="G1444" i="7" s="1"/>
  <c r="G1443" i="7" a="1"/>
  <c r="G1443" i="7" s="1"/>
  <c r="F1443" i="7"/>
  <c r="G1442" i="7" a="1"/>
  <c r="G1442" i="7" s="1"/>
  <c r="F1442" i="7"/>
  <c r="G1441" i="7" a="1"/>
  <c r="G1441" i="7" s="1"/>
  <c r="F1441" i="7"/>
  <c r="G1440" i="7" a="1"/>
  <c r="G1440" i="7" s="1"/>
  <c r="F1440" i="7"/>
  <c r="F1439" i="7"/>
  <c r="G1439" i="7" s="1" a="1"/>
  <c r="G1439" i="7" s="1"/>
  <c r="F1438" i="7"/>
  <c r="G1438" i="7" s="1" a="1"/>
  <c r="G1438" i="7" s="1"/>
  <c r="F1437" i="7"/>
  <c r="G1437" i="7" s="1" a="1"/>
  <c r="G1437" i="7" s="1"/>
  <c r="F1436" i="7"/>
  <c r="G1436" i="7" s="1" a="1"/>
  <c r="G1436" i="7" s="1"/>
  <c r="F1435" i="7"/>
  <c r="G1435" i="7" s="1" a="1"/>
  <c r="G1435" i="7" s="1"/>
  <c r="G1434" i="7" a="1"/>
  <c r="G1434" i="7"/>
  <c r="F1434" i="7"/>
  <c r="G1433" i="7" a="1"/>
  <c r="G1433" i="7" s="1"/>
  <c r="F1433" i="7"/>
  <c r="F1432" i="7"/>
  <c r="G1432" i="7" s="1" a="1"/>
  <c r="G1432" i="7" s="1"/>
  <c r="G1431" i="7" a="1"/>
  <c r="G1431" i="7" s="1"/>
  <c r="F1431" i="7"/>
  <c r="F1430" i="7"/>
  <c r="G1430" i="7" s="1" a="1"/>
  <c r="G1430" i="7" s="1"/>
  <c r="F1429" i="7"/>
  <c r="G1429" i="7" s="1" a="1"/>
  <c r="G1429" i="7" s="1"/>
  <c r="F1428" i="7"/>
  <c r="G1428" i="7" s="1" a="1"/>
  <c r="G1428" i="7" s="1"/>
  <c r="F1427" i="7"/>
  <c r="G1427" i="7" s="1" a="1"/>
  <c r="G1427" i="7" s="1"/>
  <c r="F1426" i="7"/>
  <c r="G1426" i="7" s="1" a="1"/>
  <c r="G1426" i="7" s="1"/>
  <c r="F1425" i="7"/>
  <c r="G1425" i="7" s="1" a="1"/>
  <c r="G1425" i="7" s="1"/>
  <c r="G1424" i="7" a="1"/>
  <c r="G1424" i="7"/>
  <c r="F1424" i="7"/>
  <c r="G1423" i="7" a="1"/>
  <c r="G1423" i="7" s="1"/>
  <c r="F1423" i="7"/>
  <c r="F1422" i="7"/>
  <c r="G1422" i="7" s="1" a="1"/>
  <c r="G1422" i="7" s="1"/>
  <c r="G1421" i="7" a="1"/>
  <c r="G1421" i="7" s="1"/>
  <c r="F1421" i="7"/>
  <c r="F1420" i="7"/>
  <c r="G1420" i="7" s="1" a="1"/>
  <c r="G1420" i="7" s="1"/>
  <c r="F1419" i="7"/>
  <c r="G1419" i="7" s="1" a="1"/>
  <c r="G1419" i="7" s="1"/>
  <c r="G1418" i="7" a="1"/>
  <c r="G1418" i="7"/>
  <c r="F1418" i="7"/>
  <c r="F1417" i="7"/>
  <c r="G1417" i="7" s="1" a="1"/>
  <c r="G1417" i="7" s="1"/>
  <c r="F1416" i="7"/>
  <c r="G1416" i="7" s="1" a="1"/>
  <c r="G1416" i="7" s="1"/>
  <c r="F1415" i="7"/>
  <c r="G1415" i="7" s="1" a="1"/>
  <c r="G1415" i="7" s="1"/>
  <c r="F1414" i="7"/>
  <c r="G1414" i="7" s="1" a="1"/>
  <c r="G1414" i="7" s="1"/>
  <c r="G1413" i="7" a="1"/>
  <c r="G1413" i="7" s="1"/>
  <c r="F1413" i="7"/>
  <c r="F1412" i="7"/>
  <c r="G1412" i="7" s="1" a="1"/>
  <c r="G1412" i="7" s="1"/>
  <c r="G1411" i="7" a="1"/>
  <c r="G1411" i="7" s="1"/>
  <c r="F1411" i="7"/>
  <c r="G1410" i="7" a="1"/>
  <c r="G1410" i="7" s="1"/>
  <c r="F1410" i="7"/>
  <c r="F1409" i="7"/>
  <c r="G1409" i="7" s="1" a="1"/>
  <c r="G1409" i="7" s="1"/>
  <c r="G1408" i="7" a="1"/>
  <c r="G1408" i="7"/>
  <c r="F1408" i="7"/>
  <c r="F1407" i="7"/>
  <c r="G1407" i="7" s="1" a="1"/>
  <c r="G1407" i="7" s="1"/>
  <c r="F1406" i="7"/>
  <c r="G1406" i="7" s="1" a="1"/>
  <c r="G1406" i="7" s="1"/>
  <c r="F1405" i="7"/>
  <c r="G1405" i="7" s="1" a="1"/>
  <c r="G1405" i="7" s="1"/>
  <c r="F1404" i="7"/>
  <c r="G1404" i="7" s="1" a="1"/>
  <c r="G1404" i="7" s="1"/>
  <c r="G1403" i="7" a="1"/>
  <c r="G1403" i="7" s="1"/>
  <c r="F1403" i="7"/>
  <c r="F1402" i="7"/>
  <c r="G1402" i="7" s="1" a="1"/>
  <c r="G1402" i="7" s="1"/>
  <c r="G1401" i="7" a="1"/>
  <c r="G1401" i="7" s="1"/>
  <c r="F1401" i="7"/>
  <c r="G1400" i="7" a="1"/>
  <c r="G1400" i="7" s="1"/>
  <c r="F1400" i="7"/>
  <c r="F1399" i="7"/>
  <c r="G1399" i="7" s="1" a="1"/>
  <c r="G1399" i="7" s="1"/>
  <c r="F1398" i="7"/>
  <c r="G1398" i="7" s="1" a="1"/>
  <c r="G1398" i="7" s="1"/>
  <c r="F1397" i="7"/>
  <c r="G1397" i="7" s="1" a="1"/>
  <c r="G1397" i="7" s="1"/>
  <c r="F1396" i="7"/>
  <c r="G1396" i="7" s="1" a="1"/>
  <c r="G1396" i="7" s="1"/>
  <c r="F1395" i="7"/>
  <c r="G1395" i="7" s="1" a="1"/>
  <c r="G1395" i="7" s="1"/>
  <c r="F1394" i="7"/>
  <c r="G1394" i="7" s="1" a="1"/>
  <c r="G1394" i="7" s="1"/>
  <c r="G1393" i="7" a="1"/>
  <c r="G1393" i="7" s="1"/>
  <c r="F1393" i="7"/>
  <c r="F1392" i="7"/>
  <c r="G1392" i="7" s="1" a="1"/>
  <c r="G1392" i="7" s="1"/>
  <c r="G1391" i="7" a="1"/>
  <c r="G1391" i="7" s="1"/>
  <c r="F1391" i="7"/>
  <c r="G1390" i="7" a="1"/>
  <c r="G1390" i="7"/>
  <c r="F1390" i="7"/>
  <c r="F1389" i="7"/>
  <c r="G1389" i="7" s="1" a="1"/>
  <c r="G1389" i="7" s="1"/>
  <c r="F1388" i="7"/>
  <c r="G1388" i="7" s="1" a="1"/>
  <c r="G1388" i="7" s="1"/>
  <c r="F1387" i="7"/>
  <c r="G1387" i="7" s="1" a="1"/>
  <c r="G1387" i="7" s="1"/>
  <c r="F1386" i="7"/>
  <c r="G1386" i="7" s="1" a="1"/>
  <c r="G1386" i="7" s="1"/>
  <c r="F1385" i="7"/>
  <c r="G1385" i="7" s="1" a="1"/>
  <c r="G1385" i="7" s="1"/>
  <c r="F1384" i="7"/>
  <c r="G1384" i="7" s="1" a="1"/>
  <c r="G1384" i="7" s="1"/>
  <c r="G1383" i="7" a="1"/>
  <c r="G1383" i="7" s="1"/>
  <c r="F1383" i="7"/>
  <c r="F1382" i="7"/>
  <c r="G1382" i="7" s="1" a="1"/>
  <c r="G1382" i="7" s="1"/>
  <c r="G1381" i="7" a="1"/>
  <c r="G1381" i="7" s="1"/>
  <c r="F1381" i="7"/>
  <c r="G1380" i="7" a="1"/>
  <c r="G1380" i="7" s="1"/>
  <c r="F1380" i="7"/>
  <c r="F1379" i="7"/>
  <c r="G1379" i="7" s="1" a="1"/>
  <c r="G1379" i="7" s="1"/>
  <c r="F1378" i="7"/>
  <c r="G1378" i="7" s="1" a="1"/>
  <c r="G1378" i="7" s="1"/>
  <c r="F1377" i="7"/>
  <c r="G1377" i="7" s="1" a="1"/>
  <c r="G1377" i="7" s="1"/>
  <c r="F1376" i="7"/>
  <c r="G1376" i="7" s="1" a="1"/>
  <c r="G1376" i="7" s="1"/>
  <c r="F1375" i="7"/>
  <c r="G1375" i="7" s="1" a="1"/>
  <c r="G1375" i="7" s="1"/>
  <c r="G1374" i="7" a="1"/>
  <c r="G1374" i="7" s="1"/>
  <c r="F1374" i="7"/>
  <c r="G1373" i="7" a="1"/>
  <c r="G1373" i="7" s="1"/>
  <c r="F1373" i="7"/>
  <c r="F1372" i="7"/>
  <c r="G1372" i="7" s="1" a="1"/>
  <c r="G1372" i="7" s="1"/>
  <c r="G1371" i="7" a="1"/>
  <c r="G1371" i="7" s="1"/>
  <c r="F1371" i="7"/>
  <c r="G1370" i="7" a="1"/>
  <c r="G1370" i="7" s="1"/>
  <c r="F1370" i="7"/>
  <c r="F1369" i="7"/>
  <c r="G1369" i="7" s="1" a="1"/>
  <c r="G1369" i="7" s="1"/>
  <c r="F1368" i="7"/>
  <c r="G1368" i="7" s="1" a="1"/>
  <c r="G1368" i="7" s="1"/>
  <c r="F1367" i="7"/>
  <c r="G1367" i="7" s="1" a="1"/>
  <c r="G1367" i="7" s="1"/>
  <c r="F1366" i="7"/>
  <c r="G1366" i="7" s="1" a="1"/>
  <c r="G1366" i="7" s="1"/>
  <c r="F1365" i="7"/>
  <c r="G1365" i="7" s="1" a="1"/>
  <c r="G1365" i="7" s="1"/>
  <c r="F1364" i="7"/>
  <c r="G1364" i="7" s="1" a="1"/>
  <c r="G1364" i="7" s="1"/>
  <c r="G1363" i="7" a="1"/>
  <c r="G1363" i="7" s="1"/>
  <c r="F1363" i="7"/>
  <c r="G1362" i="7" a="1"/>
  <c r="G1362" i="7" s="1"/>
  <c r="F1362" i="7"/>
  <c r="G1361" i="7" a="1"/>
  <c r="G1361" i="7" s="1"/>
  <c r="F1361" i="7"/>
  <c r="F1360" i="7"/>
  <c r="G1360" i="7" s="1" a="1"/>
  <c r="G1360" i="7" s="1"/>
  <c r="F1359" i="7"/>
  <c r="G1359" i="7" s="1" a="1"/>
  <c r="G1359" i="7" s="1"/>
  <c r="F1358" i="7"/>
  <c r="G1358" i="7" s="1" a="1"/>
  <c r="G1358" i="7" s="1"/>
  <c r="F1357" i="7"/>
  <c r="G1357" i="7" s="1" a="1"/>
  <c r="G1357" i="7" s="1"/>
  <c r="G1356" i="7" a="1"/>
  <c r="G1356" i="7" s="1"/>
  <c r="F1356" i="7"/>
  <c r="F1355" i="7"/>
  <c r="G1355" i="7" s="1" a="1"/>
  <c r="G1355" i="7" s="1"/>
  <c r="F1354" i="7"/>
  <c r="G1354" i="7" s="1" a="1"/>
  <c r="G1354" i="7" s="1"/>
  <c r="G1353" i="7" a="1"/>
  <c r="G1353" i="7" s="1"/>
  <c r="F1353" i="7"/>
  <c r="G1352" i="7" a="1"/>
  <c r="G1352" i="7" s="1"/>
  <c r="F1352" i="7"/>
  <c r="G1351" i="7" a="1"/>
  <c r="G1351" i="7" s="1"/>
  <c r="F1351" i="7"/>
  <c r="F1350" i="7"/>
  <c r="G1350" i="7" s="1" a="1"/>
  <c r="G1350" i="7" s="1"/>
  <c r="F1349" i="7"/>
  <c r="G1349" i="7" s="1" a="1"/>
  <c r="G1349" i="7" s="1"/>
  <c r="F1348" i="7"/>
  <c r="G1348" i="7" s="1" a="1"/>
  <c r="G1348" i="7" s="1"/>
  <c r="F1347" i="7"/>
  <c r="G1347" i="7" s="1" a="1"/>
  <c r="G1347" i="7" s="1"/>
  <c r="G1346" i="7" a="1"/>
  <c r="G1346" i="7" s="1"/>
  <c r="F1346" i="7"/>
  <c r="F1345" i="7"/>
  <c r="G1345" i="7" s="1" a="1"/>
  <c r="G1345" i="7" s="1"/>
  <c r="F1344" i="7"/>
  <c r="G1344" i="7" s="1" a="1"/>
  <c r="G1344" i="7" s="1"/>
  <c r="G1343" i="7" a="1"/>
  <c r="G1343" i="7" s="1"/>
  <c r="F1343" i="7"/>
  <c r="G1342" i="7" a="1"/>
  <c r="G1342" i="7" s="1"/>
  <c r="F1342" i="7"/>
  <c r="G1341" i="7" a="1"/>
  <c r="G1341" i="7" s="1"/>
  <c r="F1341" i="7"/>
  <c r="F1340" i="7"/>
  <c r="G1340" i="7" s="1" a="1"/>
  <c r="G1340" i="7" s="1"/>
  <c r="F1339" i="7"/>
  <c r="G1339" i="7" s="1" a="1"/>
  <c r="G1339" i="7" s="1"/>
  <c r="F1338" i="7"/>
  <c r="G1338" i="7" s="1" a="1"/>
  <c r="G1338" i="7" s="1"/>
  <c r="F1337" i="7"/>
  <c r="G1337" i="7" s="1" a="1"/>
  <c r="G1337" i="7" s="1"/>
  <c r="G1336" i="7" a="1"/>
  <c r="G1336" i="7" s="1"/>
  <c r="F1336" i="7"/>
  <c r="F1335" i="7"/>
  <c r="G1335" i="7" s="1" a="1"/>
  <c r="G1335" i="7" s="1"/>
  <c r="F1334" i="7"/>
  <c r="G1334" i="7" s="1" a="1"/>
  <c r="G1334" i="7" s="1"/>
  <c r="G1333" i="7" a="1"/>
  <c r="G1333" i="7" s="1"/>
  <c r="F1333" i="7"/>
  <c r="G1332" i="7" a="1"/>
  <c r="G1332" i="7" s="1"/>
  <c r="F1332" i="7"/>
  <c r="G1331" i="7" a="1"/>
  <c r="G1331" i="7" s="1"/>
  <c r="F1331" i="7"/>
  <c r="F1330" i="7"/>
  <c r="G1330" i="7" s="1" a="1"/>
  <c r="G1330" i="7" s="1"/>
  <c r="F1329" i="7"/>
  <c r="G1329" i="7" s="1" a="1"/>
  <c r="G1329" i="7" s="1"/>
  <c r="F1328" i="7"/>
  <c r="G1328" i="7" s="1" a="1"/>
  <c r="G1328" i="7" s="1"/>
  <c r="F1327" i="7"/>
  <c r="G1327" i="7" s="1" a="1"/>
  <c r="G1327" i="7" s="1"/>
  <c r="G1326" i="7" a="1"/>
  <c r="G1326" i="7" s="1"/>
  <c r="F1326" i="7"/>
  <c r="F1325" i="7"/>
  <c r="G1325" i="7" s="1" a="1"/>
  <c r="G1325" i="7" s="1"/>
  <c r="G1324" i="7" a="1"/>
  <c r="G1324" i="7" s="1"/>
  <c r="F1324" i="7"/>
  <c r="G1323" i="7" a="1"/>
  <c r="G1323" i="7" s="1"/>
  <c r="F1323" i="7"/>
  <c r="G1322" i="7" a="1"/>
  <c r="G1322" i="7" s="1"/>
  <c r="F1322" i="7"/>
  <c r="G1321" i="7" a="1"/>
  <c r="G1321" i="7" s="1"/>
  <c r="F1321" i="7"/>
  <c r="F1320" i="7"/>
  <c r="G1320" i="7" s="1" a="1"/>
  <c r="G1320" i="7" s="1"/>
  <c r="F1319" i="7"/>
  <c r="G1319" i="7" s="1" a="1"/>
  <c r="G1319" i="7" s="1"/>
  <c r="F1318" i="7"/>
  <c r="G1318" i="7" s="1" a="1"/>
  <c r="G1318" i="7" s="1"/>
  <c r="F1317" i="7"/>
  <c r="G1317" i="7" s="1" a="1"/>
  <c r="G1317" i="7" s="1"/>
  <c r="G1316" i="7" a="1"/>
  <c r="G1316" i="7" s="1"/>
  <c r="F1316" i="7"/>
  <c r="F1315" i="7"/>
  <c r="G1315" i="7" s="1" a="1"/>
  <c r="G1315" i="7" s="1"/>
  <c r="G1314" i="7" a="1"/>
  <c r="G1314" i="7"/>
  <c r="F1314" i="7"/>
  <c r="G1313" i="7" a="1"/>
  <c r="G1313" i="7" s="1"/>
  <c r="F1313" i="7"/>
  <c r="G1312" i="7" a="1"/>
  <c r="G1312" i="7" s="1"/>
  <c r="F1312" i="7"/>
  <c r="G1311" i="7" a="1"/>
  <c r="G1311" i="7" s="1"/>
  <c r="F1311" i="7"/>
  <c r="F1310" i="7"/>
  <c r="G1310" i="7" s="1" a="1"/>
  <c r="G1310" i="7" s="1"/>
  <c r="F1309" i="7"/>
  <c r="G1309" i="7" s="1" a="1"/>
  <c r="G1309" i="7" s="1"/>
  <c r="F1308" i="7"/>
  <c r="G1308" i="7" s="1" a="1"/>
  <c r="G1308" i="7" s="1"/>
  <c r="F1307" i="7"/>
  <c r="G1307" i="7" s="1" a="1"/>
  <c r="G1307" i="7" s="1"/>
  <c r="G1306" i="7" a="1"/>
  <c r="G1306" i="7" s="1"/>
  <c r="F1306" i="7"/>
  <c r="F1305" i="7"/>
  <c r="G1305" i="7" s="1" a="1"/>
  <c r="G1305" i="7" s="1"/>
  <c r="G1304" i="7" a="1"/>
  <c r="G1304" i="7" s="1"/>
  <c r="F1304" i="7"/>
  <c r="G1303" i="7" a="1"/>
  <c r="G1303" i="7" s="1"/>
  <c r="F1303" i="7"/>
  <c r="F1302" i="7"/>
  <c r="G1302" i="7" s="1" a="1"/>
  <c r="G1302" i="7" s="1"/>
  <c r="G1301" i="7" a="1"/>
  <c r="G1301" i="7" s="1"/>
  <c r="F1301" i="7"/>
  <c r="F1300" i="7"/>
  <c r="G1300" i="7" s="1" a="1"/>
  <c r="G1300" i="7" s="1"/>
  <c r="F1299" i="7"/>
  <c r="G1299" i="7" s="1" a="1"/>
  <c r="G1299" i="7" s="1"/>
  <c r="F1298" i="7"/>
  <c r="G1298" i="7" s="1" a="1"/>
  <c r="G1298" i="7" s="1"/>
  <c r="F1297" i="7"/>
  <c r="G1297" i="7" s="1" a="1"/>
  <c r="G1297" i="7" s="1"/>
  <c r="G1296" i="7" a="1"/>
  <c r="G1296" i="7"/>
  <c r="F1296" i="7"/>
  <c r="F1295" i="7"/>
  <c r="G1295" i="7" s="1" a="1"/>
  <c r="G1295" i="7" s="1"/>
  <c r="G1294" i="7" a="1"/>
  <c r="G1294" i="7" s="1"/>
  <c r="F1294" i="7"/>
  <c r="G1293" i="7" a="1"/>
  <c r="G1293" i="7" s="1"/>
  <c r="F1293" i="7"/>
  <c r="G1292" i="7" a="1"/>
  <c r="G1292" i="7" s="1"/>
  <c r="F1292" i="7"/>
  <c r="G1291" i="7" a="1"/>
  <c r="G1291" i="7" s="1"/>
  <c r="F1291" i="7"/>
  <c r="F1290" i="7"/>
  <c r="G1290" i="7" s="1" a="1"/>
  <c r="G1290" i="7" s="1"/>
  <c r="F1289" i="7"/>
  <c r="G1289" i="7" s="1" a="1"/>
  <c r="G1289" i="7" s="1"/>
  <c r="F1288" i="7"/>
  <c r="G1288" i="7" s="1" a="1"/>
  <c r="G1288" i="7" s="1"/>
  <c r="F1287" i="7"/>
  <c r="G1287" i="7" s="1" a="1"/>
  <c r="G1287" i="7" s="1"/>
  <c r="G1286" i="7" a="1"/>
  <c r="G1286" i="7" s="1"/>
  <c r="F1286" i="7"/>
  <c r="F1285" i="7"/>
  <c r="G1285" i="7" s="1" a="1"/>
  <c r="G1285" i="7" s="1"/>
  <c r="G1284" i="7" a="1"/>
  <c r="G1284" i="7" s="1"/>
  <c r="F1284" i="7"/>
  <c r="G1283" i="7" a="1"/>
  <c r="G1283" i="7" s="1"/>
  <c r="F1283" i="7"/>
  <c r="G1282" i="7" a="1"/>
  <c r="G1282" i="7"/>
  <c r="F1282" i="7"/>
  <c r="G1281" i="7" a="1"/>
  <c r="G1281" i="7" s="1"/>
  <c r="F1281" i="7"/>
  <c r="G1280" i="7"/>
  <c r="F1280" i="7"/>
  <c r="G1280" i="7" s="1" a="1"/>
  <c r="F1279" i="7"/>
  <c r="G1279" i="7" s="1" a="1"/>
  <c r="G1279" i="7" s="1"/>
  <c r="F1278" i="7"/>
  <c r="G1278" i="7" s="1" a="1"/>
  <c r="G1278" i="7" s="1"/>
  <c r="F1277" i="7"/>
  <c r="G1277" i="7" s="1" a="1"/>
  <c r="G1277" i="7" s="1"/>
  <c r="G1276" i="7" a="1"/>
  <c r="G1276" i="7"/>
  <c r="F1276" i="7"/>
  <c r="F1275" i="7"/>
  <c r="G1275" i="7" s="1" a="1"/>
  <c r="G1275" i="7" s="1"/>
  <c r="G1274" i="7" a="1"/>
  <c r="G1274" i="7" s="1"/>
  <c r="F1274" i="7"/>
  <c r="G1273" i="7" a="1"/>
  <c r="G1273" i="7" s="1"/>
  <c r="F1273" i="7"/>
  <c r="G1272" i="7" a="1"/>
  <c r="G1272" i="7" s="1"/>
  <c r="F1272" i="7"/>
  <c r="G1271" i="7" a="1"/>
  <c r="G1271" i="7" s="1"/>
  <c r="F1271" i="7"/>
  <c r="F1270" i="7"/>
  <c r="G1270" i="7" s="1" a="1"/>
  <c r="G1270" i="7" s="1"/>
  <c r="F1269" i="7"/>
  <c r="G1269" i="7" s="1" a="1"/>
  <c r="G1269" i="7" s="1"/>
  <c r="G1268" i="7"/>
  <c r="F1268" i="7"/>
  <c r="G1268" i="7" s="1" a="1"/>
  <c r="F1267" i="7"/>
  <c r="G1267" i="7" s="1" a="1"/>
  <c r="G1267" i="7" s="1"/>
  <c r="F1266" i="7"/>
  <c r="G1266" i="7" s="1" a="1"/>
  <c r="G1266" i="7" s="1"/>
  <c r="F1265" i="7"/>
  <c r="G1265" i="7" s="1" a="1"/>
  <c r="G1265" i="7" s="1"/>
  <c r="G1264" i="7" a="1"/>
  <c r="G1264" i="7" s="1"/>
  <c r="F1264" i="7"/>
  <c r="G1263" i="7" a="1"/>
  <c r="G1263" i="7" s="1"/>
  <c r="F1263" i="7"/>
  <c r="G1262" i="7" a="1"/>
  <c r="G1262" i="7" s="1"/>
  <c r="F1262" i="7"/>
  <c r="G1261" i="7" a="1"/>
  <c r="G1261" i="7" s="1"/>
  <c r="F1261" i="7"/>
  <c r="G1260" i="7"/>
  <c r="F1260" i="7"/>
  <c r="G1260" i="7" s="1" a="1"/>
  <c r="F1259" i="7"/>
  <c r="G1259" i="7" s="1" a="1"/>
  <c r="G1259" i="7" s="1"/>
  <c r="F1258" i="7"/>
  <c r="G1258" i="7" s="1" a="1"/>
  <c r="G1258" i="7" s="1"/>
  <c r="F1257" i="7"/>
  <c r="G1257" i="7" s="1" a="1"/>
  <c r="G1257" i="7" s="1"/>
  <c r="G1256" i="7" a="1"/>
  <c r="G1256" i="7" s="1"/>
  <c r="F1256" i="7"/>
  <c r="F1255" i="7"/>
  <c r="G1255" i="7" s="1" a="1"/>
  <c r="G1255" i="7" s="1"/>
  <c r="G1254" i="7" a="1"/>
  <c r="G1254" i="7" s="1"/>
  <c r="F1254" i="7"/>
  <c r="G1253" i="7" a="1"/>
  <c r="G1253" i="7" s="1"/>
  <c r="F1253" i="7"/>
  <c r="G1252" i="7" a="1"/>
  <c r="G1252" i="7" s="1"/>
  <c r="F1252" i="7"/>
  <c r="G1251" i="7" a="1"/>
  <c r="G1251" i="7" s="1"/>
  <c r="F1251" i="7"/>
  <c r="F1250" i="7"/>
  <c r="G1250" i="7" s="1" a="1"/>
  <c r="G1250" i="7" s="1"/>
  <c r="F1249" i="7"/>
  <c r="G1249" i="7" s="1" a="1"/>
  <c r="G1249" i="7" s="1"/>
  <c r="F1248" i="7"/>
  <c r="G1248" i="7" s="1" a="1"/>
  <c r="G1248" i="7" s="1"/>
  <c r="F1247" i="7"/>
  <c r="G1247" i="7" s="1" a="1"/>
  <c r="G1247" i="7" s="1"/>
  <c r="G1246" i="7" a="1"/>
  <c r="G1246" i="7" s="1"/>
  <c r="F1246" i="7"/>
  <c r="F1245" i="7"/>
  <c r="G1245" i="7" s="1" a="1"/>
  <c r="G1245" i="7" s="1"/>
  <c r="G1244" i="7" a="1"/>
  <c r="G1244" i="7" s="1"/>
  <c r="F1244" i="7"/>
  <c r="G1243" i="7" a="1"/>
  <c r="G1243" i="7" s="1"/>
  <c r="F1243" i="7"/>
  <c r="G1242" i="7" a="1"/>
  <c r="G1242" i="7" s="1"/>
  <c r="F1242" i="7"/>
  <c r="G1241" i="7" a="1"/>
  <c r="G1241" i="7" s="1"/>
  <c r="F1241" i="7"/>
  <c r="F1240" i="7"/>
  <c r="G1240" i="7" s="1" a="1"/>
  <c r="G1240" i="7" s="1"/>
  <c r="F1239" i="7"/>
  <c r="G1239" i="7" s="1" a="1"/>
  <c r="G1239" i="7" s="1"/>
  <c r="F1238" i="7"/>
  <c r="G1238" i="7" s="1" a="1"/>
  <c r="G1238" i="7" s="1"/>
  <c r="F1237" i="7"/>
  <c r="G1237" i="7" s="1" a="1"/>
  <c r="G1237" i="7" s="1"/>
  <c r="G1236" i="7" a="1"/>
  <c r="G1236" i="7" s="1"/>
  <c r="F1236" i="7"/>
  <c r="F1235" i="7"/>
  <c r="G1235" i="7" s="1" a="1"/>
  <c r="G1235" i="7" s="1"/>
  <c r="G1234" i="7" a="1"/>
  <c r="G1234" i="7" s="1"/>
  <c r="F1234" i="7"/>
  <c r="G1233" i="7" a="1"/>
  <c r="G1233" i="7" s="1"/>
  <c r="F1233" i="7"/>
  <c r="G1232" i="7" a="1"/>
  <c r="G1232" i="7" s="1"/>
  <c r="F1232" i="7"/>
  <c r="G1231" i="7" a="1"/>
  <c r="G1231" i="7" s="1"/>
  <c r="F1231" i="7"/>
  <c r="F1230" i="7"/>
  <c r="G1230" i="7" s="1" a="1"/>
  <c r="G1230" i="7" s="1"/>
  <c r="F1229" i="7"/>
  <c r="G1229" i="7" s="1" a="1"/>
  <c r="G1229" i="7" s="1"/>
  <c r="G1228" i="7"/>
  <c r="F1228" i="7"/>
  <c r="G1228" i="7" s="1" a="1"/>
  <c r="F1227" i="7"/>
  <c r="G1227" i="7" s="1" a="1"/>
  <c r="G1227" i="7" s="1"/>
  <c r="F1226" i="7"/>
  <c r="G1226" i="7" s="1" a="1"/>
  <c r="G1226" i="7" s="1"/>
  <c r="G1225" i="7" a="1"/>
  <c r="G1225" i="7" s="1"/>
  <c r="F1225" i="7"/>
  <c r="G1224" i="7" a="1"/>
  <c r="G1224" i="7" s="1"/>
  <c r="F1224" i="7"/>
  <c r="G1223" i="7" a="1"/>
  <c r="G1223" i="7" s="1"/>
  <c r="F1223" i="7"/>
  <c r="G1222" i="7" a="1"/>
  <c r="G1222" i="7" s="1"/>
  <c r="F1222" i="7"/>
  <c r="G1221" i="7" a="1"/>
  <c r="G1221" i="7" s="1"/>
  <c r="F1221" i="7"/>
  <c r="F1220" i="7"/>
  <c r="G1220" i="7" s="1" a="1"/>
  <c r="G1220" i="7" s="1"/>
  <c r="F1219" i="7"/>
  <c r="G1219" i="7" s="1" a="1"/>
  <c r="G1219" i="7" s="1"/>
  <c r="G1218" i="7"/>
  <c r="F1218" i="7"/>
  <c r="G1218" i="7" s="1" a="1"/>
  <c r="F1217" i="7"/>
  <c r="G1217" i="7" s="1" a="1"/>
  <c r="G1217" i="7" s="1"/>
  <c r="F1216" i="7"/>
  <c r="G1216" i="7" s="1" a="1"/>
  <c r="G1216" i="7" s="1"/>
  <c r="G1215" i="7" a="1"/>
  <c r="G1215" i="7" s="1"/>
  <c r="F1215" i="7"/>
  <c r="G1214" i="7" a="1"/>
  <c r="G1214" i="7" s="1"/>
  <c r="F1214" i="7"/>
  <c r="G1213" i="7" a="1"/>
  <c r="G1213" i="7" s="1"/>
  <c r="F1213" i="7"/>
  <c r="G1212" i="7" a="1"/>
  <c r="G1212" i="7" s="1"/>
  <c r="F1212" i="7"/>
  <c r="G1211" i="7" a="1"/>
  <c r="G1211" i="7" s="1"/>
  <c r="F1211" i="7"/>
  <c r="F1210" i="7"/>
  <c r="G1210" i="7" s="1" a="1"/>
  <c r="G1210" i="7" s="1"/>
  <c r="F1209" i="7"/>
  <c r="G1209" i="7" s="1" a="1"/>
  <c r="G1209" i="7" s="1"/>
  <c r="F1208" i="7"/>
  <c r="G1208" i="7" s="1" a="1"/>
  <c r="G1208" i="7" s="1"/>
  <c r="F1207" i="7"/>
  <c r="G1207" i="7" s="1" a="1"/>
  <c r="G1207" i="7" s="1"/>
  <c r="G1206" i="7" a="1"/>
  <c r="G1206" i="7" s="1"/>
  <c r="F1206" i="7"/>
  <c r="G1205" i="7" a="1"/>
  <c r="G1205" i="7" s="1"/>
  <c r="F1205" i="7"/>
  <c r="G1204" i="7" a="1"/>
  <c r="G1204" i="7" s="1"/>
  <c r="F1204" i="7"/>
  <c r="G1203" i="7" a="1"/>
  <c r="G1203" i="7" s="1"/>
  <c r="F1203" i="7"/>
  <c r="G1202" i="7" a="1"/>
  <c r="G1202" i="7" s="1"/>
  <c r="F1202" i="7"/>
  <c r="G1201" i="7" a="1"/>
  <c r="G1201" i="7" s="1"/>
  <c r="F1201" i="7"/>
  <c r="F1200" i="7"/>
  <c r="G1200" i="7" s="1" a="1"/>
  <c r="G1200" i="7" s="1"/>
  <c r="F1199" i="7"/>
  <c r="G1199" i="7" s="1" a="1"/>
  <c r="G1199" i="7" s="1"/>
  <c r="F1198" i="7"/>
  <c r="G1198" i="7" s="1" a="1"/>
  <c r="G1198" i="7" s="1"/>
  <c r="F1197" i="7"/>
  <c r="G1197" i="7" s="1" a="1"/>
  <c r="G1197" i="7" s="1"/>
  <c r="G1196" i="7" a="1"/>
  <c r="G1196" i="7" s="1"/>
  <c r="F1196" i="7"/>
  <c r="G1195" i="7" a="1"/>
  <c r="G1195" i="7" s="1"/>
  <c r="F1195" i="7"/>
  <c r="G1194" i="7" a="1"/>
  <c r="G1194" i="7" s="1"/>
  <c r="F1194" i="7"/>
  <c r="G1193" i="7" a="1"/>
  <c r="G1193" i="7" s="1"/>
  <c r="F1193" i="7"/>
  <c r="G1192" i="7" a="1"/>
  <c r="G1192" i="7" s="1"/>
  <c r="F1192" i="7"/>
  <c r="G1191" i="7" a="1"/>
  <c r="G1191" i="7" s="1"/>
  <c r="F1191" i="7"/>
  <c r="F1190" i="7"/>
  <c r="G1190" i="7" s="1" a="1"/>
  <c r="G1190" i="7" s="1"/>
  <c r="F1189" i="7"/>
  <c r="G1189" i="7" s="1" a="1"/>
  <c r="G1189" i="7" s="1"/>
  <c r="F1188" i="7"/>
  <c r="G1188" i="7" s="1" a="1"/>
  <c r="G1188" i="7" s="1"/>
  <c r="F1187" i="7"/>
  <c r="G1187" i="7" s="1" a="1"/>
  <c r="G1187" i="7" s="1"/>
  <c r="G1186" i="7" a="1"/>
  <c r="G1186" i="7" s="1"/>
  <c r="F1186" i="7"/>
  <c r="G1185" i="7" a="1"/>
  <c r="G1185" i="7" s="1"/>
  <c r="F1185" i="7"/>
  <c r="G1184" i="7" a="1"/>
  <c r="G1184" i="7" s="1"/>
  <c r="F1184" i="7"/>
  <c r="G1183" i="7" a="1"/>
  <c r="G1183" i="7" s="1"/>
  <c r="F1183" i="7"/>
  <c r="G1182" i="7" a="1"/>
  <c r="G1182" i="7" s="1"/>
  <c r="F1182" i="7"/>
  <c r="G1181" i="7" a="1"/>
  <c r="G1181" i="7" s="1"/>
  <c r="F1181" i="7"/>
  <c r="G1180" i="7"/>
  <c r="F1180" i="7"/>
  <c r="G1180" i="7" s="1" a="1"/>
  <c r="G1179" i="7" a="1"/>
  <c r="G1179" i="7" s="1"/>
  <c r="F1179" i="7"/>
  <c r="F1178" i="7"/>
  <c r="G1178" i="7" s="1" a="1"/>
  <c r="G1178" i="7" s="1"/>
  <c r="F1177" i="7"/>
  <c r="G1177" i="7" s="1" a="1"/>
  <c r="G1177" i="7" s="1"/>
  <c r="G1176" i="7" a="1"/>
  <c r="G1176" i="7" s="1"/>
  <c r="F1176" i="7"/>
  <c r="F1175" i="7"/>
  <c r="G1175" i="7" s="1" a="1"/>
  <c r="G1175" i="7" s="1"/>
  <c r="G1174" i="7" a="1"/>
  <c r="G1174" i="7" s="1"/>
  <c r="F1174" i="7"/>
  <c r="G1173" i="7" a="1"/>
  <c r="G1173" i="7" s="1"/>
  <c r="F1173" i="7"/>
  <c r="G1172" i="7" a="1"/>
  <c r="G1172" i="7" s="1"/>
  <c r="F1172" i="7"/>
  <c r="G1171" i="7" a="1"/>
  <c r="G1171" i="7" s="1"/>
  <c r="F1171" i="7"/>
  <c r="F1170" i="7"/>
  <c r="G1170" i="7" s="1" a="1"/>
  <c r="G1170" i="7" s="1"/>
  <c r="G1169" i="7" a="1"/>
  <c r="G1169" i="7" s="1"/>
  <c r="F1169" i="7"/>
  <c r="F1168" i="7"/>
  <c r="G1168" i="7" s="1" a="1"/>
  <c r="G1168" i="7" s="1"/>
  <c r="F1167" i="7"/>
  <c r="G1167" i="7" s="1" a="1"/>
  <c r="G1167" i="7" s="1"/>
  <c r="F1166" i="7"/>
  <c r="G1166" i="7" s="1" a="1"/>
  <c r="G1166" i="7" s="1"/>
  <c r="G1165" i="7" a="1"/>
  <c r="G1165" i="7" s="1"/>
  <c r="F1165" i="7"/>
  <c r="G1164" i="7" a="1"/>
  <c r="G1164" i="7" s="1"/>
  <c r="F1164" i="7"/>
  <c r="G1163" i="7" a="1"/>
  <c r="G1163" i="7" s="1"/>
  <c r="F1163" i="7"/>
  <c r="G1162" i="7" a="1"/>
  <c r="G1162" i="7" s="1"/>
  <c r="F1162" i="7"/>
  <c r="G1161" i="7" a="1"/>
  <c r="G1161" i="7" s="1"/>
  <c r="F1161" i="7"/>
  <c r="F1160" i="7"/>
  <c r="G1160" i="7" s="1" a="1"/>
  <c r="G1160" i="7" s="1"/>
  <c r="G1159" i="7" a="1"/>
  <c r="G1159" i="7" s="1"/>
  <c r="F1159" i="7"/>
  <c r="F1158" i="7"/>
  <c r="G1158" i="7" s="1" a="1"/>
  <c r="G1158" i="7" s="1"/>
  <c r="F1157" i="7"/>
  <c r="G1157" i="7" s="1" a="1"/>
  <c r="G1157" i="7" s="1"/>
  <c r="G1156" i="7" a="1"/>
  <c r="G1156" i="7" s="1"/>
  <c r="F1156" i="7"/>
  <c r="G1155" i="7" a="1"/>
  <c r="G1155" i="7" s="1"/>
  <c r="F1155" i="7"/>
  <c r="G1154" i="7" a="1"/>
  <c r="G1154" i="7" s="1"/>
  <c r="F1154" i="7"/>
  <c r="F1153" i="7"/>
  <c r="G1153" i="7" s="1" a="1"/>
  <c r="G1153" i="7" s="1"/>
  <c r="G1152" i="7" a="1"/>
  <c r="G1152" i="7" s="1"/>
  <c r="F1152" i="7"/>
  <c r="G1151" i="7" a="1"/>
  <c r="G1151" i="7" s="1"/>
  <c r="F1151" i="7"/>
  <c r="F1150" i="7"/>
  <c r="G1150" i="7" s="1" a="1"/>
  <c r="G1150" i="7" s="1"/>
  <c r="G1149" i="7" a="1"/>
  <c r="G1149" i="7" s="1"/>
  <c r="F1149" i="7"/>
  <c r="F1148" i="7"/>
  <c r="G1148" i="7" s="1" a="1"/>
  <c r="G1148" i="7" s="1"/>
  <c r="F1147" i="7"/>
  <c r="G1147" i="7" s="1" a="1"/>
  <c r="G1147" i="7" s="1"/>
  <c r="G1146" i="7" a="1"/>
  <c r="G1146" i="7" s="1"/>
  <c r="F1146" i="7"/>
  <c r="G1145" i="7" a="1"/>
  <c r="G1145" i="7" s="1"/>
  <c r="F1145" i="7"/>
  <c r="G1144" i="7" a="1"/>
  <c r="G1144" i="7" s="1"/>
  <c r="F1144" i="7"/>
  <c r="F1143" i="7"/>
  <c r="G1143" i="7" s="1" a="1"/>
  <c r="G1143" i="7" s="1"/>
  <c r="G1142" i="7" a="1"/>
  <c r="G1142" i="7" s="1"/>
  <c r="F1142" i="7"/>
  <c r="G1141" i="7" a="1"/>
  <c r="G1141" i="7" s="1"/>
  <c r="F1141" i="7"/>
  <c r="F1140" i="7"/>
  <c r="G1140" i="7" s="1" a="1"/>
  <c r="G1140" i="7" s="1"/>
  <c r="F1139" i="7"/>
  <c r="G1139" i="7" s="1" a="1"/>
  <c r="G1139" i="7" s="1"/>
  <c r="F1138" i="7"/>
  <c r="G1138" i="7" s="1" a="1"/>
  <c r="G1138" i="7" s="1"/>
  <c r="F1137" i="7"/>
  <c r="G1137" i="7" s="1" a="1"/>
  <c r="G1137" i="7" s="1"/>
  <c r="F1136" i="7"/>
  <c r="G1136" i="7" s="1" a="1"/>
  <c r="G1136" i="7" s="1"/>
  <c r="F1135" i="7"/>
  <c r="G1135" i="7" s="1" a="1"/>
  <c r="G1135" i="7" s="1"/>
  <c r="G1134" i="7" a="1"/>
  <c r="G1134" i="7" s="1"/>
  <c r="F1134" i="7"/>
  <c r="F1133" i="7"/>
  <c r="G1133" i="7" s="1" a="1"/>
  <c r="G1133" i="7" s="1"/>
  <c r="G1132" i="7" a="1"/>
  <c r="G1132" i="7" s="1"/>
  <c r="F1132" i="7"/>
  <c r="G1131" i="7" a="1"/>
  <c r="G1131" i="7" s="1"/>
  <c r="F1131" i="7"/>
  <c r="F1130" i="7"/>
  <c r="G1130" i="7" s="1" a="1"/>
  <c r="G1130" i="7" s="1"/>
  <c r="F1129" i="7"/>
  <c r="G1129" i="7" s="1" a="1"/>
  <c r="G1129" i="7" s="1"/>
  <c r="F1128" i="7"/>
  <c r="G1128" i="7" s="1" a="1"/>
  <c r="G1128" i="7" s="1"/>
  <c r="F1127" i="7"/>
  <c r="G1127" i="7" s="1" a="1"/>
  <c r="G1127" i="7" s="1"/>
  <c r="G1126" i="7" a="1"/>
  <c r="G1126" i="7" s="1"/>
  <c r="F1126" i="7"/>
  <c r="F1125" i="7"/>
  <c r="G1125" i="7" s="1" a="1"/>
  <c r="G1125" i="7" s="1"/>
  <c r="G1124" i="7" a="1"/>
  <c r="G1124" i="7" s="1"/>
  <c r="F1124" i="7"/>
  <c r="F1123" i="7"/>
  <c r="G1123" i="7" s="1" a="1"/>
  <c r="G1123" i="7" s="1"/>
  <c r="G1122" i="7" a="1"/>
  <c r="G1122" i="7" s="1"/>
  <c r="F1122" i="7"/>
  <c r="G1121" i="7" a="1"/>
  <c r="G1121" i="7" s="1"/>
  <c r="F1121" i="7"/>
  <c r="G1120" i="7" a="1"/>
  <c r="G1120" i="7" s="1"/>
  <c r="F1120" i="7"/>
  <c r="G1119" i="7" a="1"/>
  <c r="G1119" i="7" s="1"/>
  <c r="F1119" i="7"/>
  <c r="F1118" i="7"/>
  <c r="G1118" i="7" s="1" a="1"/>
  <c r="G1118" i="7" s="1"/>
  <c r="F1117" i="7"/>
  <c r="G1117" i="7" s="1" a="1"/>
  <c r="G1117" i="7" s="1"/>
  <c r="F1116" i="7"/>
  <c r="G1116" i="7" s="1" a="1"/>
  <c r="G1116" i="7" s="1"/>
  <c r="F1115" i="7"/>
  <c r="G1115" i="7" s="1" a="1"/>
  <c r="G1115" i="7" s="1"/>
  <c r="F1114" i="7"/>
  <c r="G1114" i="7" s="1" a="1"/>
  <c r="G1114" i="7" s="1"/>
  <c r="G1113" i="7" a="1"/>
  <c r="G1113" i="7" s="1"/>
  <c r="F1113" i="7"/>
  <c r="G1112" i="7" a="1"/>
  <c r="G1112" i="7" s="1"/>
  <c r="F1112" i="7"/>
  <c r="F1111" i="7"/>
  <c r="G1111" i="7" s="1" a="1"/>
  <c r="G1111" i="7" s="1"/>
  <c r="F1110" i="7"/>
  <c r="G1110" i="7" s="1" a="1"/>
  <c r="G1110" i="7" s="1"/>
  <c r="F1109" i="7"/>
  <c r="G1109" i="7" s="1" a="1"/>
  <c r="G1109" i="7" s="1"/>
  <c r="F1108" i="7"/>
  <c r="G1108" i="7" s="1" a="1"/>
  <c r="G1108" i="7" s="1"/>
  <c r="F1107" i="7"/>
  <c r="G1107" i="7" s="1" a="1"/>
  <c r="G1107" i="7" s="1"/>
  <c r="G1106" i="7" a="1"/>
  <c r="G1106" i="7" s="1"/>
  <c r="F1106" i="7"/>
  <c r="F1105" i="7"/>
  <c r="G1105" i="7" s="1" a="1"/>
  <c r="G1105" i="7" s="1"/>
  <c r="G1104" i="7" a="1"/>
  <c r="G1104" i="7"/>
  <c r="F1104" i="7"/>
  <c r="G1103" i="7" a="1"/>
  <c r="G1103" i="7" s="1"/>
  <c r="F1103" i="7"/>
  <c r="G1102" i="7" a="1"/>
  <c r="G1102" i="7" s="1"/>
  <c r="F1102" i="7"/>
  <c r="G1101" i="7" a="1"/>
  <c r="G1101" i="7" s="1"/>
  <c r="F1101" i="7"/>
  <c r="F1100" i="7"/>
  <c r="G1100" i="7" s="1" a="1"/>
  <c r="G1100" i="7" s="1"/>
  <c r="G1099" i="7" a="1"/>
  <c r="G1099" i="7"/>
  <c r="F1099" i="7"/>
  <c r="F1098" i="7"/>
  <c r="G1098" i="7" s="1" a="1"/>
  <c r="G1098" i="7" s="1"/>
  <c r="G1097" i="7" a="1"/>
  <c r="G1097" i="7" s="1"/>
  <c r="F1097" i="7"/>
  <c r="G1096" i="7" a="1"/>
  <c r="G1096" i="7" s="1"/>
  <c r="F1096" i="7"/>
  <c r="G1095" i="7" a="1"/>
  <c r="G1095" i="7" s="1"/>
  <c r="F1095" i="7"/>
  <c r="F1094" i="7"/>
  <c r="G1094" i="7" s="1" a="1"/>
  <c r="G1094" i="7" s="1"/>
  <c r="F1093" i="7"/>
  <c r="G1093" i="7" s="1" a="1"/>
  <c r="G1093" i="7" s="1"/>
  <c r="G1092" i="7" a="1"/>
  <c r="G1092" i="7" s="1"/>
  <c r="F1092" i="7"/>
  <c r="F1091" i="7"/>
  <c r="G1091" i="7" s="1" a="1"/>
  <c r="G1091" i="7" s="1"/>
  <c r="G1090" i="7" a="1"/>
  <c r="G1090" i="7" s="1"/>
  <c r="F1090" i="7"/>
  <c r="G1089" i="7" a="1"/>
  <c r="G1089" i="7" s="1"/>
  <c r="F1089" i="7"/>
  <c r="F1088" i="7"/>
  <c r="G1088" i="7" s="1" a="1"/>
  <c r="G1088" i="7" s="1"/>
  <c r="F1087" i="7"/>
  <c r="G1087" i="7" s="1" a="1"/>
  <c r="G1087" i="7" s="1"/>
  <c r="F1086" i="7"/>
  <c r="G1086" i="7" s="1" a="1"/>
  <c r="G1086" i="7" s="1"/>
  <c r="F1085" i="7"/>
  <c r="G1085" i="7" s="1" a="1"/>
  <c r="G1085" i="7" s="1"/>
  <c r="G1084" i="7" a="1"/>
  <c r="G1084" i="7" s="1"/>
  <c r="F1084" i="7"/>
  <c r="G1083" i="7" a="1"/>
  <c r="G1083" i="7" s="1"/>
  <c r="F1083" i="7"/>
  <c r="G1082" i="7" a="1"/>
  <c r="G1082" i="7"/>
  <c r="F1082" i="7"/>
  <c r="G1081" i="7" a="1"/>
  <c r="G1081" i="7" s="1"/>
  <c r="F1081" i="7"/>
  <c r="F1080" i="7"/>
  <c r="G1080" i="7" s="1" a="1"/>
  <c r="G1080" i="7" s="1"/>
  <c r="F1079" i="7"/>
  <c r="G1079" i="7" s="1" a="1"/>
  <c r="G1079" i="7" s="1"/>
  <c r="F1078" i="7"/>
  <c r="G1078" i="7" s="1" a="1"/>
  <c r="G1078" i="7" s="1"/>
  <c r="G1077" i="7" a="1"/>
  <c r="G1077" i="7" s="1"/>
  <c r="F1077" i="7"/>
  <c r="G1076" i="7" a="1"/>
  <c r="G1076" i="7" s="1"/>
  <c r="F1076" i="7"/>
  <c r="F1075" i="7"/>
  <c r="G1075" i="7" s="1" a="1"/>
  <c r="G1075" i="7" s="1"/>
  <c r="F1074" i="7"/>
  <c r="G1074" i="7" s="1" a="1"/>
  <c r="G1074" i="7" s="1"/>
  <c r="F1073" i="7"/>
  <c r="G1073" i="7" s="1" a="1"/>
  <c r="G1073" i="7" s="1"/>
  <c r="G1072" i="7" a="1"/>
  <c r="G1072" i="7"/>
  <c r="F1072" i="7"/>
  <c r="G1071" i="7" a="1"/>
  <c r="G1071" i="7" s="1"/>
  <c r="F1071" i="7"/>
  <c r="G1070" i="7" a="1"/>
  <c r="G1070" i="7" s="1"/>
  <c r="F1070" i="7"/>
  <c r="G1069" i="7" a="1"/>
  <c r="G1069" i="7" s="1"/>
  <c r="F1069" i="7"/>
  <c r="F1068" i="7"/>
  <c r="G1068" i="7" s="1" a="1"/>
  <c r="G1068" i="7" s="1"/>
  <c r="F1067" i="7"/>
  <c r="G1067" i="7" s="1" a="1"/>
  <c r="G1067" i="7" s="1"/>
  <c r="F1066" i="7"/>
  <c r="G1066" i="7" s="1" a="1"/>
  <c r="G1066" i="7" s="1"/>
  <c r="F1065" i="7"/>
  <c r="G1065" i="7" s="1" a="1"/>
  <c r="G1065" i="7" s="1"/>
  <c r="F1064" i="7"/>
  <c r="G1064" i="7" s="1" a="1"/>
  <c r="G1064" i="7" s="1"/>
  <c r="G1063" i="7" a="1"/>
  <c r="G1063" i="7" s="1"/>
  <c r="F1063" i="7"/>
  <c r="F1062" i="7"/>
  <c r="G1062" i="7" s="1" a="1"/>
  <c r="G1062" i="7" s="1"/>
  <c r="F1061" i="7"/>
  <c r="G1061" i="7" s="1" a="1"/>
  <c r="G1061" i="7" s="1"/>
  <c r="F1060" i="7"/>
  <c r="G1060" i="7" s="1" a="1"/>
  <c r="G1060" i="7" s="1"/>
  <c r="F1059" i="7"/>
  <c r="G1059" i="7" s="1" a="1"/>
  <c r="G1059" i="7" s="1"/>
  <c r="G1058" i="7" a="1"/>
  <c r="G1058" i="7"/>
  <c r="F1058" i="7"/>
  <c r="G1057" i="7" a="1"/>
  <c r="G1057" i="7" s="1"/>
  <c r="F1057" i="7"/>
  <c r="G1056" i="7" a="1"/>
  <c r="G1056" i="7" s="1"/>
  <c r="F1056" i="7"/>
  <c r="G1055" i="7" a="1"/>
  <c r="G1055" i="7" s="1"/>
  <c r="F1055" i="7"/>
  <c r="F1054" i="7"/>
  <c r="G1054" i="7" s="1" a="1"/>
  <c r="G1054" i="7" s="1"/>
  <c r="G1053" i="7" a="1"/>
  <c r="G1053" i="7" s="1"/>
  <c r="F1053" i="7"/>
  <c r="G1052" i="7" a="1"/>
  <c r="G1052" i="7" s="1"/>
  <c r="F1052" i="7"/>
  <c r="F1051" i="7"/>
  <c r="G1051" i="7" s="1" a="1"/>
  <c r="G1051" i="7" s="1"/>
  <c r="F1050" i="7"/>
  <c r="G1050" i="7" s="1" a="1"/>
  <c r="G1050" i="7" s="1"/>
  <c r="F1049" i="7"/>
  <c r="G1049" i="7" s="1" a="1"/>
  <c r="G1049" i="7" s="1"/>
  <c r="G1048" i="7" a="1"/>
  <c r="G1048" i="7" s="1"/>
  <c r="F1048" i="7"/>
  <c r="G1047" i="7" a="1"/>
  <c r="G1047" i="7" s="1"/>
  <c r="F1047" i="7"/>
  <c r="G1046" i="7" a="1"/>
  <c r="G1046" i="7" s="1"/>
  <c r="F1046" i="7"/>
  <c r="G1045" i="7" a="1"/>
  <c r="G1045" i="7" s="1"/>
  <c r="F1045" i="7"/>
  <c r="F1044" i="7"/>
  <c r="G1044" i="7" s="1" a="1"/>
  <c r="G1044" i="7" s="1"/>
  <c r="G1043" i="7" a="1"/>
  <c r="G1043" i="7" s="1"/>
  <c r="F1043" i="7"/>
  <c r="G1042" i="7" a="1"/>
  <c r="G1042" i="7" s="1"/>
  <c r="F1042" i="7"/>
  <c r="F1041" i="7"/>
  <c r="G1041" i="7" s="1" a="1"/>
  <c r="G1041" i="7" s="1"/>
  <c r="F1040" i="7"/>
  <c r="G1040" i="7" s="1" a="1"/>
  <c r="G1040" i="7" s="1"/>
  <c r="F1039" i="7"/>
  <c r="G1039" i="7" s="1" a="1"/>
  <c r="G1039" i="7" s="1"/>
  <c r="G1038" i="7" a="1"/>
  <c r="G1038" i="7" s="1"/>
  <c r="F1038" i="7"/>
  <c r="G1037" i="7" a="1"/>
  <c r="G1037" i="7" s="1"/>
  <c r="F1037" i="7"/>
  <c r="G1036" i="7" a="1"/>
  <c r="G1036" i="7" s="1"/>
  <c r="F1036" i="7"/>
  <c r="G1035" i="7" a="1"/>
  <c r="G1035" i="7" s="1"/>
  <c r="F1035" i="7"/>
  <c r="F1034" i="7"/>
  <c r="G1034" i="7" s="1" a="1"/>
  <c r="G1034" i="7" s="1"/>
  <c r="G1033" i="7" a="1"/>
  <c r="G1033" i="7" s="1"/>
  <c r="F1033" i="7"/>
  <c r="G1032" i="7" a="1"/>
  <c r="G1032" i="7" s="1"/>
  <c r="F1032" i="7"/>
  <c r="F1031" i="7"/>
  <c r="G1031" i="7" s="1" a="1"/>
  <c r="G1031" i="7" s="1"/>
  <c r="F1030" i="7"/>
  <c r="G1030" i="7" s="1" a="1"/>
  <c r="G1030" i="7" s="1"/>
  <c r="F1029" i="7"/>
  <c r="G1029" i="7" s="1" a="1"/>
  <c r="G1029" i="7" s="1"/>
  <c r="G1028" i="7" a="1"/>
  <c r="G1028" i="7" s="1"/>
  <c r="F1028" i="7"/>
  <c r="G1027" i="7" a="1"/>
  <c r="G1027" i="7" s="1"/>
  <c r="F1027" i="7"/>
  <c r="G1026" i="7" a="1"/>
  <c r="G1026" i="7" s="1"/>
  <c r="F1026" i="7"/>
  <c r="G1025" i="7" a="1"/>
  <c r="G1025" i="7" s="1"/>
  <c r="F1025" i="7"/>
  <c r="F1024" i="7"/>
  <c r="G1024" i="7" s="1" a="1"/>
  <c r="G1024" i="7" s="1"/>
  <c r="G1023" i="7" a="1"/>
  <c r="G1023" i="7" s="1"/>
  <c r="F1023" i="7"/>
  <c r="G1022" i="7" a="1"/>
  <c r="G1022" i="7" s="1"/>
  <c r="F1022" i="7"/>
  <c r="F1021" i="7"/>
  <c r="G1021" i="7" s="1" a="1"/>
  <c r="G1021" i="7" s="1"/>
  <c r="F1020" i="7"/>
  <c r="G1020" i="7" s="1" a="1"/>
  <c r="G1020" i="7" s="1"/>
  <c r="F1019" i="7"/>
  <c r="G1019" i="7" s="1" a="1"/>
  <c r="G1019" i="7" s="1"/>
  <c r="G1018" i="7" a="1"/>
  <c r="G1018" i="7"/>
  <c r="F1018" i="7"/>
  <c r="G1017" i="7" a="1"/>
  <c r="G1017" i="7" s="1"/>
  <c r="F1017" i="7"/>
  <c r="G1016" i="7" a="1"/>
  <c r="G1016" i="7" s="1"/>
  <c r="F1016" i="7"/>
  <c r="G1015" i="7" a="1"/>
  <c r="G1015" i="7" s="1"/>
  <c r="F1015" i="7"/>
  <c r="F1014" i="7"/>
  <c r="G1014" i="7" s="1" a="1"/>
  <c r="G1014" i="7" s="1"/>
  <c r="G1013" i="7" a="1"/>
  <c r="G1013" i="7"/>
  <c r="F1013" i="7"/>
  <c r="G1012" i="7" a="1"/>
  <c r="G1012" i="7" s="1"/>
  <c r="F1012" i="7"/>
  <c r="F1011" i="7"/>
  <c r="G1011" i="7" s="1" a="1"/>
  <c r="G1011" i="7" s="1"/>
  <c r="F1010" i="7"/>
  <c r="G1010" i="7" s="1" a="1"/>
  <c r="G1010" i="7" s="1"/>
  <c r="F1009" i="7"/>
  <c r="G1009" i="7" s="1" a="1"/>
  <c r="G1009" i="7" s="1"/>
  <c r="G1008" i="7" a="1"/>
  <c r="G1008" i="7" s="1"/>
  <c r="F1008" i="7"/>
  <c r="G1007" i="7" a="1"/>
  <c r="G1007" i="7" s="1"/>
  <c r="F1007" i="7"/>
  <c r="G1006" i="7" a="1"/>
  <c r="G1006" i="7" s="1"/>
  <c r="F1006" i="7"/>
  <c r="G1005" i="7" a="1"/>
  <c r="G1005" i="7" s="1"/>
  <c r="F1005" i="7"/>
  <c r="F1004" i="7"/>
  <c r="G1004" i="7" s="1" a="1"/>
  <c r="G1004" i="7" s="1"/>
  <c r="G1003" i="7" a="1"/>
  <c r="G1003" i="7" s="1"/>
  <c r="F1003" i="7"/>
  <c r="G1002" i="7" a="1"/>
  <c r="G1002" i="7" s="1"/>
  <c r="F1002" i="7"/>
  <c r="F1001" i="7"/>
  <c r="G1001" i="7" s="1" a="1"/>
  <c r="G1001" i="7" s="1"/>
  <c r="F1000" i="7"/>
  <c r="G1000" i="7" s="1" a="1"/>
  <c r="G1000" i="7" s="1"/>
  <c r="F999" i="7"/>
  <c r="G999" i="7" s="1" a="1"/>
  <c r="G999" i="7" s="1"/>
  <c r="G998" i="7" a="1"/>
  <c r="G998" i="7" s="1"/>
  <c r="F998" i="7"/>
  <c r="G997" i="7" a="1"/>
  <c r="G997" i="7" s="1"/>
  <c r="F997" i="7"/>
  <c r="G996" i="7" a="1"/>
  <c r="G996" i="7" s="1"/>
  <c r="F996" i="7"/>
  <c r="G995" i="7" a="1"/>
  <c r="G995" i="7" s="1"/>
  <c r="F995" i="7"/>
  <c r="F994" i="7"/>
  <c r="G994" i="7" s="1" a="1"/>
  <c r="G994" i="7" s="1"/>
  <c r="G993" i="7" a="1"/>
  <c r="G993" i="7" s="1"/>
  <c r="F993" i="7"/>
  <c r="G992" i="7" a="1"/>
  <c r="G992" i="7"/>
  <c r="F992" i="7"/>
  <c r="F991" i="7"/>
  <c r="G991" i="7" s="1" a="1"/>
  <c r="G991" i="7" s="1"/>
  <c r="F990" i="7"/>
  <c r="G990" i="7" s="1" a="1"/>
  <c r="G990" i="7" s="1"/>
  <c r="F989" i="7"/>
  <c r="G989" i="7" s="1" a="1"/>
  <c r="G989" i="7" s="1"/>
  <c r="G988" i="7" a="1"/>
  <c r="G988" i="7" s="1"/>
  <c r="F988" i="7"/>
  <c r="G987" i="7" a="1"/>
  <c r="G987" i="7" s="1"/>
  <c r="F987" i="7"/>
  <c r="G986" i="7" a="1"/>
  <c r="G986" i="7" s="1"/>
  <c r="F986" i="7"/>
  <c r="G985" i="7" a="1"/>
  <c r="G985" i="7" s="1"/>
  <c r="F985" i="7"/>
  <c r="F984" i="7"/>
  <c r="G984" i="7" s="1" a="1"/>
  <c r="G984" i="7" s="1"/>
  <c r="G983" i="7" a="1"/>
  <c r="G983" i="7" s="1"/>
  <c r="F983" i="7"/>
  <c r="G982" i="7" a="1"/>
  <c r="G982" i="7" s="1"/>
  <c r="F982" i="7"/>
  <c r="F981" i="7"/>
  <c r="G981" i="7" s="1" a="1"/>
  <c r="G981" i="7" s="1"/>
  <c r="F980" i="7"/>
  <c r="G980" i="7" s="1" a="1"/>
  <c r="G980" i="7" s="1"/>
  <c r="F979" i="7"/>
  <c r="G979" i="7" s="1" a="1"/>
  <c r="G979" i="7" s="1"/>
  <c r="G978" i="7" a="1"/>
  <c r="G978" i="7"/>
  <c r="F978" i="7"/>
  <c r="G977" i="7" a="1"/>
  <c r="G977" i="7" s="1"/>
  <c r="F977" i="7"/>
  <c r="G976" i="7" a="1"/>
  <c r="G976" i="7" s="1"/>
  <c r="F976" i="7"/>
  <c r="G975" i="7" a="1"/>
  <c r="G975" i="7" s="1"/>
  <c r="F975" i="7"/>
  <c r="F974" i="7"/>
  <c r="G974" i="7" s="1" a="1"/>
  <c r="G974" i="7" s="1"/>
  <c r="G973" i="7" a="1"/>
  <c r="G973" i="7" s="1"/>
  <c r="F973" i="7"/>
  <c r="G972" i="7" a="1"/>
  <c r="G972" i="7" s="1"/>
  <c r="F972" i="7"/>
  <c r="F971" i="7"/>
  <c r="G971" i="7" s="1" a="1"/>
  <c r="G971" i="7" s="1"/>
  <c r="F970" i="7"/>
  <c r="G970" i="7" s="1" a="1"/>
  <c r="G970" i="7" s="1"/>
  <c r="F969" i="7"/>
  <c r="G969" i="7" s="1" a="1"/>
  <c r="G969" i="7" s="1"/>
  <c r="G968" i="7" a="1"/>
  <c r="G968" i="7" s="1"/>
  <c r="F968" i="7"/>
  <c r="G967" i="7" a="1"/>
  <c r="G967" i="7" s="1"/>
  <c r="F967" i="7"/>
  <c r="G966" i="7" a="1"/>
  <c r="G966" i="7" s="1"/>
  <c r="F966" i="7"/>
  <c r="G965" i="7" a="1"/>
  <c r="G965" i="7" s="1"/>
  <c r="F965" i="7"/>
  <c r="F964" i="7"/>
  <c r="G964" i="7" s="1" a="1"/>
  <c r="G964" i="7" s="1"/>
  <c r="G963" i="7" a="1"/>
  <c r="G963" i="7" s="1"/>
  <c r="F963" i="7"/>
  <c r="F962" i="7"/>
  <c r="G962" i="7" s="1" a="1"/>
  <c r="G962" i="7" s="1"/>
  <c r="F961" i="7"/>
  <c r="G961" i="7" s="1" a="1"/>
  <c r="G961" i="7" s="1"/>
  <c r="F960" i="7"/>
  <c r="G960" i="7" s="1" a="1"/>
  <c r="G960" i="7" s="1"/>
  <c r="F959" i="7"/>
  <c r="G959" i="7" s="1" a="1"/>
  <c r="G959" i="7" s="1"/>
  <c r="G958" i="7" a="1"/>
  <c r="G958" i="7" s="1"/>
  <c r="F958" i="7"/>
  <c r="G957" i="7" a="1"/>
  <c r="G957" i="7" s="1"/>
  <c r="F957" i="7"/>
  <c r="G956" i="7" a="1"/>
  <c r="G956" i="7" s="1"/>
  <c r="F956" i="7"/>
  <c r="G955" i="7" a="1"/>
  <c r="G955" i="7" s="1"/>
  <c r="F955" i="7"/>
  <c r="F954" i="7"/>
  <c r="G954" i="7" s="1" a="1"/>
  <c r="G954" i="7" s="1"/>
  <c r="G953" i="7" a="1"/>
  <c r="G953" i="7" s="1"/>
  <c r="F953" i="7"/>
  <c r="F952" i="7"/>
  <c r="G952" i="7" s="1" a="1"/>
  <c r="G952" i="7" s="1"/>
  <c r="F951" i="7"/>
  <c r="G951" i="7" s="1" a="1"/>
  <c r="G951" i="7" s="1"/>
  <c r="F950" i="7"/>
  <c r="G950" i="7" s="1" a="1"/>
  <c r="G950" i="7" s="1"/>
  <c r="F949" i="7"/>
  <c r="G949" i="7" s="1" a="1"/>
  <c r="G949" i="7" s="1"/>
  <c r="G948" i="7" a="1"/>
  <c r="G948" i="7" s="1"/>
  <c r="F948" i="7"/>
  <c r="G947" i="7" a="1"/>
  <c r="G947" i="7" s="1"/>
  <c r="F947" i="7"/>
  <c r="G946" i="7" a="1"/>
  <c r="G946" i="7" s="1"/>
  <c r="F946" i="7"/>
  <c r="G945" i="7" a="1"/>
  <c r="G945" i="7" s="1"/>
  <c r="F945" i="7"/>
  <c r="F944" i="7"/>
  <c r="G944" i="7" s="1" a="1"/>
  <c r="G944" i="7" s="1"/>
  <c r="G943" i="7" a="1"/>
  <c r="G943" i="7" s="1"/>
  <c r="F943" i="7"/>
  <c r="F942" i="7"/>
  <c r="G942" i="7" s="1" a="1"/>
  <c r="G942" i="7" s="1"/>
  <c r="F941" i="7"/>
  <c r="G941" i="7" s="1" a="1"/>
  <c r="G941" i="7" s="1"/>
  <c r="F940" i="7"/>
  <c r="G940" i="7" s="1" a="1"/>
  <c r="G940" i="7" s="1"/>
  <c r="F939" i="7"/>
  <c r="G939" i="7" s="1" a="1"/>
  <c r="G939" i="7" s="1"/>
  <c r="G938" i="7" a="1"/>
  <c r="G938" i="7" s="1"/>
  <c r="F938" i="7"/>
  <c r="G937" i="7" a="1"/>
  <c r="G937" i="7" s="1"/>
  <c r="F937" i="7"/>
  <c r="G936" i="7" a="1"/>
  <c r="G936" i="7" s="1"/>
  <c r="F936" i="7"/>
  <c r="G935" i="7" a="1"/>
  <c r="G935" i="7" s="1"/>
  <c r="F935" i="7"/>
  <c r="F934" i="7"/>
  <c r="G934" i="7" s="1" a="1"/>
  <c r="G934" i="7" s="1"/>
  <c r="G933" i="7" a="1"/>
  <c r="G933" i="7" s="1"/>
  <c r="F933" i="7"/>
  <c r="F932" i="7"/>
  <c r="G932" i="7" s="1" a="1"/>
  <c r="G932" i="7" s="1"/>
  <c r="F931" i="7"/>
  <c r="G931" i="7" s="1" a="1"/>
  <c r="G931" i="7" s="1"/>
  <c r="F930" i="7"/>
  <c r="G930" i="7" s="1" a="1"/>
  <c r="G930" i="7" s="1"/>
  <c r="F929" i="7"/>
  <c r="G929" i="7" s="1" a="1"/>
  <c r="G929" i="7" s="1"/>
  <c r="G928" i="7" a="1"/>
  <c r="G928" i="7" s="1"/>
  <c r="F928" i="7"/>
  <c r="G927" i="7" a="1"/>
  <c r="G927" i="7" s="1"/>
  <c r="F927" i="7"/>
  <c r="G926" i="7" a="1"/>
  <c r="G926" i="7" s="1"/>
  <c r="F926" i="7"/>
  <c r="G925" i="7" a="1"/>
  <c r="G925" i="7" s="1"/>
  <c r="F925" i="7"/>
  <c r="F924" i="7"/>
  <c r="G924" i="7" s="1" a="1"/>
  <c r="G924" i="7" s="1"/>
  <c r="G923" i="7" a="1"/>
  <c r="G923" i="7" s="1"/>
  <c r="F923" i="7"/>
  <c r="F922" i="7"/>
  <c r="G922" i="7" s="1" a="1"/>
  <c r="G922" i="7" s="1"/>
  <c r="F921" i="7"/>
  <c r="G921" i="7" s="1" a="1"/>
  <c r="G921" i="7" s="1"/>
  <c r="F920" i="7"/>
  <c r="G920" i="7" s="1" a="1"/>
  <c r="G920" i="7" s="1"/>
  <c r="F919" i="7"/>
  <c r="G919" i="7" s="1" a="1"/>
  <c r="G919" i="7" s="1"/>
  <c r="G918" i="7" a="1"/>
  <c r="G918" i="7" s="1"/>
  <c r="F918" i="7"/>
  <c r="F917" i="7"/>
  <c r="G917" i="7" s="1" a="1"/>
  <c r="G917" i="7" s="1"/>
  <c r="G916" i="7" a="1"/>
  <c r="G916" i="7" s="1"/>
  <c r="F916" i="7"/>
  <c r="G915" i="7" a="1"/>
  <c r="G915" i="7" s="1"/>
  <c r="F915" i="7"/>
  <c r="F914" i="7"/>
  <c r="G914" i="7" s="1" a="1"/>
  <c r="G914" i="7" s="1"/>
  <c r="G913" i="7" a="1"/>
  <c r="G913" i="7" s="1"/>
  <c r="F913" i="7"/>
  <c r="F912" i="7"/>
  <c r="G912" i="7" s="1" a="1"/>
  <c r="G912" i="7" s="1"/>
  <c r="F911" i="7"/>
  <c r="G911" i="7" s="1" a="1"/>
  <c r="G911" i="7" s="1"/>
  <c r="F910" i="7"/>
  <c r="G910" i="7" s="1" a="1"/>
  <c r="G910" i="7" s="1"/>
  <c r="F909" i="7"/>
  <c r="G909" i="7" s="1" a="1"/>
  <c r="G909" i="7" s="1"/>
  <c r="G908" i="7" a="1"/>
  <c r="G908" i="7" s="1"/>
  <c r="F908" i="7"/>
  <c r="G907" i="7" a="1"/>
  <c r="G907" i="7" s="1"/>
  <c r="F907" i="7"/>
  <c r="G906" i="7" a="1"/>
  <c r="G906" i="7" s="1"/>
  <c r="F906" i="7"/>
  <c r="G905" i="7" a="1"/>
  <c r="G905" i="7" s="1"/>
  <c r="F905" i="7"/>
  <c r="G904" i="7"/>
  <c r="F904" i="7"/>
  <c r="G904" i="7" s="1" a="1"/>
  <c r="G903" i="7" a="1"/>
  <c r="G903" i="7" s="1"/>
  <c r="F903" i="7"/>
  <c r="F902" i="7"/>
  <c r="G902" i="7" s="1" a="1"/>
  <c r="G902" i="7" s="1"/>
  <c r="F901" i="7"/>
  <c r="G901" i="7" s="1" a="1"/>
  <c r="G901" i="7" s="1"/>
  <c r="F900" i="7"/>
  <c r="G900" i="7" s="1" a="1"/>
  <c r="G900" i="7" s="1"/>
  <c r="F899" i="7"/>
  <c r="G899" i="7" s="1" a="1"/>
  <c r="G899" i="7" s="1"/>
  <c r="G898" i="7" a="1"/>
  <c r="G898" i="7" s="1"/>
  <c r="F898" i="7"/>
  <c r="G897" i="7" a="1"/>
  <c r="G897" i="7" s="1"/>
  <c r="F897" i="7"/>
  <c r="G896" i="7" a="1"/>
  <c r="G896" i="7" s="1"/>
  <c r="F896" i="7"/>
  <c r="G895" i="7" a="1"/>
  <c r="G895" i="7" s="1"/>
  <c r="F895" i="7"/>
  <c r="F894" i="7"/>
  <c r="G894" i="7" s="1" a="1"/>
  <c r="G894" i="7" s="1"/>
  <c r="G893" i="7" a="1"/>
  <c r="G893" i="7" s="1"/>
  <c r="F893" i="7"/>
  <c r="F892" i="7"/>
  <c r="G892" i="7" s="1" a="1"/>
  <c r="G892" i="7" s="1"/>
  <c r="F891" i="7"/>
  <c r="G891" i="7" s="1" a="1"/>
  <c r="G891" i="7" s="1"/>
  <c r="F890" i="7"/>
  <c r="G890" i="7" s="1" a="1"/>
  <c r="G890" i="7" s="1"/>
  <c r="F889" i="7"/>
  <c r="G889" i="7" s="1" a="1"/>
  <c r="G889" i="7" s="1"/>
  <c r="G888" i="7" a="1"/>
  <c r="G888" i="7" s="1"/>
  <c r="F888" i="7"/>
  <c r="G887" i="7" a="1"/>
  <c r="G887" i="7" s="1"/>
  <c r="F887" i="7"/>
  <c r="G886" i="7" a="1"/>
  <c r="G886" i="7" s="1"/>
  <c r="F886" i="7"/>
  <c r="G885" i="7" a="1"/>
  <c r="G885" i="7" s="1"/>
  <c r="F885" i="7"/>
  <c r="F884" i="7"/>
  <c r="G884" i="7" s="1" a="1"/>
  <c r="G884" i="7" s="1"/>
  <c r="G883" i="7" a="1"/>
  <c r="G883" i="7"/>
  <c r="F883" i="7"/>
  <c r="F882" i="7"/>
  <c r="G882" i="7" s="1" a="1"/>
  <c r="G882" i="7" s="1"/>
  <c r="F881" i="7"/>
  <c r="G881" i="7" s="1" a="1"/>
  <c r="G881" i="7" s="1"/>
  <c r="F880" i="7"/>
  <c r="G880" i="7" s="1" a="1"/>
  <c r="G880" i="7" s="1"/>
  <c r="F879" i="7"/>
  <c r="G879" i="7" s="1" a="1"/>
  <c r="G879" i="7" s="1"/>
  <c r="G878" i="7" a="1"/>
  <c r="G878" i="7" s="1"/>
  <c r="F878" i="7"/>
  <c r="G877" i="7" a="1"/>
  <c r="G877" i="7" s="1"/>
  <c r="F877" i="7"/>
  <c r="G876" i="7" a="1"/>
  <c r="G876" i="7" s="1"/>
  <c r="F876" i="7"/>
  <c r="G875" i="7" a="1"/>
  <c r="G875" i="7" s="1"/>
  <c r="F875" i="7"/>
  <c r="F874" i="7"/>
  <c r="G874" i="7" s="1" a="1"/>
  <c r="G874" i="7" s="1"/>
  <c r="G873" i="7" a="1"/>
  <c r="G873" i="7" s="1"/>
  <c r="F873" i="7"/>
  <c r="F872" i="7"/>
  <c r="G872" i="7" s="1" a="1"/>
  <c r="G872" i="7" s="1"/>
  <c r="F871" i="7"/>
  <c r="G871" i="7" s="1" a="1"/>
  <c r="G871" i="7" s="1"/>
  <c r="F870" i="7"/>
  <c r="G870" i="7" s="1" a="1"/>
  <c r="G870" i="7" s="1"/>
  <c r="F869" i="7"/>
  <c r="G869" i="7" s="1" a="1"/>
  <c r="G869" i="7" s="1"/>
  <c r="G868" i="7" a="1"/>
  <c r="G868" i="7" s="1"/>
  <c r="F868" i="7"/>
  <c r="G867" i="7" a="1"/>
  <c r="G867" i="7" s="1"/>
  <c r="F867" i="7"/>
  <c r="G866" i="7" a="1"/>
  <c r="G866" i="7" s="1"/>
  <c r="F866" i="7"/>
  <c r="G865" i="7" a="1"/>
  <c r="G865" i="7" s="1"/>
  <c r="F865" i="7"/>
  <c r="F864" i="7"/>
  <c r="G864" i="7" s="1" a="1"/>
  <c r="G864" i="7" s="1"/>
  <c r="G863" i="7" a="1"/>
  <c r="G863" i="7" s="1"/>
  <c r="F863" i="7"/>
  <c r="G862" i="7"/>
  <c r="F862" i="7"/>
  <c r="G862" i="7" s="1" a="1"/>
  <c r="F861" i="7"/>
  <c r="G861" i="7" s="1" a="1"/>
  <c r="G861" i="7" s="1"/>
  <c r="F860" i="7"/>
  <c r="G860" i="7" s="1" a="1"/>
  <c r="G860" i="7" s="1"/>
  <c r="F859" i="7"/>
  <c r="G859" i="7" s="1" a="1"/>
  <c r="G859" i="7" s="1"/>
  <c r="G858" i="7" a="1"/>
  <c r="G858" i="7" s="1"/>
  <c r="F858" i="7"/>
  <c r="G857" i="7" a="1"/>
  <c r="G857" i="7" s="1"/>
  <c r="F857" i="7"/>
  <c r="G856" i="7" a="1"/>
  <c r="G856" i="7" s="1"/>
  <c r="F856" i="7"/>
  <c r="G855" i="7" a="1"/>
  <c r="G855" i="7" s="1"/>
  <c r="F855" i="7"/>
  <c r="F854" i="7"/>
  <c r="G854" i="7" s="1" a="1"/>
  <c r="G854" i="7" s="1"/>
  <c r="G853" i="7" a="1"/>
  <c r="G853" i="7" s="1"/>
  <c r="F853" i="7"/>
  <c r="G852" i="7" a="1"/>
  <c r="G852" i="7" s="1"/>
  <c r="F852" i="7"/>
  <c r="F851" i="7"/>
  <c r="G851" i="7" s="1" a="1"/>
  <c r="G851" i="7" s="1"/>
  <c r="F850" i="7"/>
  <c r="G850" i="7" s="1" a="1"/>
  <c r="G850" i="7" s="1"/>
  <c r="F849" i="7"/>
  <c r="G849" i="7" s="1" a="1"/>
  <c r="G849" i="7" s="1"/>
  <c r="G848" i="7" a="1"/>
  <c r="G848" i="7"/>
  <c r="F848" i="7"/>
  <c r="G847" i="7" a="1"/>
  <c r="G847" i="7" s="1"/>
  <c r="F847" i="7"/>
  <c r="G846" i="7" a="1"/>
  <c r="G846" i="7" s="1"/>
  <c r="F846" i="7"/>
  <c r="G845" i="7" a="1"/>
  <c r="G845" i="7" s="1"/>
  <c r="F845" i="7"/>
  <c r="F844" i="7"/>
  <c r="G844" i="7" s="1" a="1"/>
  <c r="G844" i="7" s="1"/>
  <c r="G843" i="7" a="1"/>
  <c r="G843" i="7" s="1"/>
  <c r="F843" i="7"/>
  <c r="F842" i="7"/>
  <c r="G842" i="7" s="1" a="1"/>
  <c r="G842" i="7" s="1"/>
  <c r="F841" i="7"/>
  <c r="G841" i="7" s="1" a="1"/>
  <c r="G841" i="7" s="1"/>
  <c r="F840" i="7"/>
  <c r="G840" i="7" s="1" a="1"/>
  <c r="G840" i="7" s="1"/>
  <c r="G839" i="7"/>
  <c r="F839" i="7"/>
  <c r="G839" i="7" s="1" a="1"/>
  <c r="G838" i="7" a="1"/>
  <c r="G838" i="7" s="1"/>
  <c r="F838" i="7"/>
  <c r="G837" i="7" a="1"/>
  <c r="G837" i="7" s="1"/>
  <c r="F837" i="7"/>
  <c r="G836" i="7" a="1"/>
  <c r="G836" i="7" s="1"/>
  <c r="F836" i="7"/>
  <c r="G835" i="7" a="1"/>
  <c r="G835" i="7" s="1"/>
  <c r="F835" i="7"/>
  <c r="F834" i="7"/>
  <c r="G834" i="7" s="1" a="1"/>
  <c r="G834" i="7" s="1"/>
  <c r="G833" i="7" a="1"/>
  <c r="G833" i="7" s="1"/>
  <c r="F833" i="7"/>
  <c r="F832" i="7"/>
  <c r="G832" i="7" s="1" a="1"/>
  <c r="G832" i="7" s="1"/>
  <c r="G831" i="7" a="1"/>
  <c r="G831" i="7" s="1"/>
  <c r="F831" i="7"/>
  <c r="F830" i="7"/>
  <c r="G830" i="7" s="1" a="1"/>
  <c r="G830" i="7" s="1"/>
  <c r="F829" i="7"/>
  <c r="G829" i="7" s="1" a="1"/>
  <c r="G829" i="7" s="1"/>
  <c r="G828" i="7" a="1"/>
  <c r="G828" i="7" s="1"/>
  <c r="F828" i="7"/>
  <c r="G827" i="7" a="1"/>
  <c r="G827" i="7" s="1"/>
  <c r="F827" i="7"/>
  <c r="G826" i="7" a="1"/>
  <c r="G826" i="7" s="1"/>
  <c r="F826" i="7"/>
  <c r="F825" i="7"/>
  <c r="G825" i="7" s="1" a="1"/>
  <c r="G825" i="7" s="1"/>
  <c r="F824" i="7"/>
  <c r="G824" i="7" s="1" a="1"/>
  <c r="G824" i="7" s="1"/>
  <c r="G823" i="7" a="1"/>
  <c r="G823" i="7"/>
  <c r="F823" i="7"/>
  <c r="F822" i="7"/>
  <c r="G822" i="7" s="1" a="1"/>
  <c r="G822" i="7" s="1"/>
  <c r="F821" i="7"/>
  <c r="G821" i="7" s="1" a="1"/>
  <c r="G821" i="7" s="1"/>
  <c r="F820" i="7"/>
  <c r="G820" i="7" s="1" a="1"/>
  <c r="G820" i="7" s="1"/>
  <c r="F819" i="7"/>
  <c r="G819" i="7" s="1" a="1"/>
  <c r="G819" i="7" s="1"/>
  <c r="G818" i="7" a="1"/>
  <c r="G818" i="7" s="1"/>
  <c r="F818" i="7"/>
  <c r="G817" i="7" a="1"/>
  <c r="G817" i="7" s="1"/>
  <c r="F817" i="7"/>
  <c r="G816" i="7" a="1"/>
  <c r="G816" i="7" s="1"/>
  <c r="F816" i="7"/>
  <c r="F815" i="7"/>
  <c r="G815" i="7" s="1" a="1"/>
  <c r="G815" i="7" s="1"/>
  <c r="G814" i="7"/>
  <c r="F814" i="7"/>
  <c r="G814" i="7" s="1" a="1"/>
  <c r="G813" i="7" a="1"/>
  <c r="G813" i="7" s="1"/>
  <c r="F813" i="7"/>
  <c r="G812" i="7" a="1"/>
  <c r="G812" i="7" s="1"/>
  <c r="F812" i="7"/>
  <c r="F811" i="7"/>
  <c r="G811" i="7" s="1" a="1"/>
  <c r="G811" i="7" s="1"/>
  <c r="F810" i="7"/>
  <c r="G810" i="7" s="1" a="1"/>
  <c r="G810" i="7" s="1"/>
  <c r="F809" i="7"/>
  <c r="G809" i="7" s="1" a="1"/>
  <c r="G809" i="7" s="1"/>
  <c r="G808" i="7" a="1"/>
  <c r="G808" i="7" s="1"/>
  <c r="F808" i="7"/>
  <c r="G807" i="7" a="1"/>
  <c r="G807" i="7" s="1"/>
  <c r="F807" i="7"/>
  <c r="G806" i="7" a="1"/>
  <c r="G806" i="7" s="1"/>
  <c r="F806" i="7"/>
  <c r="F805" i="7"/>
  <c r="G805" i="7" s="1" a="1"/>
  <c r="G805" i="7" s="1"/>
  <c r="F804" i="7"/>
  <c r="G804" i="7" s="1" a="1"/>
  <c r="G804" i="7" s="1"/>
  <c r="G803" i="7" a="1"/>
  <c r="G803" i="7" s="1"/>
  <c r="F803" i="7"/>
  <c r="G802" i="7" a="1"/>
  <c r="G802" i="7" s="1"/>
  <c r="F802" i="7"/>
  <c r="F801" i="7"/>
  <c r="G801" i="7" s="1" a="1"/>
  <c r="G801" i="7" s="1"/>
  <c r="F800" i="7"/>
  <c r="G800" i="7" s="1" a="1"/>
  <c r="G800" i="7" s="1"/>
  <c r="F799" i="7"/>
  <c r="G799" i="7" s="1" a="1"/>
  <c r="G799" i="7" s="1"/>
  <c r="G798" i="7" a="1"/>
  <c r="G798" i="7"/>
  <c r="F798" i="7"/>
  <c r="G797" i="7" a="1"/>
  <c r="G797" i="7" s="1"/>
  <c r="F797" i="7"/>
  <c r="G796" i="7" a="1"/>
  <c r="G796" i="7" s="1"/>
  <c r="F796" i="7"/>
  <c r="G795" i="7" a="1"/>
  <c r="G795" i="7" s="1"/>
  <c r="F795" i="7"/>
  <c r="F794" i="7"/>
  <c r="G794" i="7" s="1" a="1"/>
  <c r="G794" i="7" s="1"/>
  <c r="G793" i="7" a="1"/>
  <c r="G793" i="7" s="1"/>
  <c r="F793" i="7"/>
  <c r="F792" i="7"/>
  <c r="G792" i="7" s="1" a="1"/>
  <c r="G792" i="7" s="1"/>
  <c r="F791" i="7"/>
  <c r="G791" i="7" s="1" a="1"/>
  <c r="G791" i="7" s="1"/>
  <c r="F790" i="7"/>
  <c r="G790" i="7" s="1" a="1"/>
  <c r="G790" i="7" s="1"/>
  <c r="F789" i="7"/>
  <c r="G789" i="7" s="1" a="1"/>
  <c r="G789" i="7" s="1"/>
  <c r="G788" i="7" a="1"/>
  <c r="G788" i="7" s="1"/>
  <c r="F788" i="7"/>
  <c r="G787" i="7" a="1"/>
  <c r="G787" i="7" s="1"/>
  <c r="F787" i="7"/>
  <c r="G786" i="7" a="1"/>
  <c r="G786" i="7" s="1"/>
  <c r="F786" i="7"/>
  <c r="G785" i="7" a="1"/>
  <c r="G785" i="7" s="1"/>
  <c r="F785" i="7"/>
  <c r="F784" i="7"/>
  <c r="G784" i="7" s="1" a="1"/>
  <c r="G784" i="7" s="1"/>
  <c r="G783" i="7" a="1"/>
  <c r="G783" i="7" s="1"/>
  <c r="F783" i="7"/>
  <c r="F782" i="7"/>
  <c r="G782" i="7" s="1" a="1"/>
  <c r="G782" i="7" s="1"/>
  <c r="F781" i="7"/>
  <c r="G781" i="7" s="1" a="1"/>
  <c r="G781" i="7" s="1"/>
  <c r="F780" i="7"/>
  <c r="G780" i="7" s="1" a="1"/>
  <c r="G780" i="7" s="1"/>
  <c r="F779" i="7"/>
  <c r="G779" i="7" s="1" a="1"/>
  <c r="G779" i="7" s="1"/>
  <c r="G778" i="7" a="1"/>
  <c r="G778" i="7" s="1"/>
  <c r="F778" i="7"/>
  <c r="G777" i="7" a="1"/>
  <c r="G777" i="7" s="1"/>
  <c r="F777" i="7"/>
  <c r="G776" i="7" a="1"/>
  <c r="G776" i="7" s="1"/>
  <c r="F776" i="7"/>
  <c r="F775" i="7"/>
  <c r="G775" i="7" s="1" a="1"/>
  <c r="G775" i="7" s="1"/>
  <c r="F774" i="7"/>
  <c r="G774" i="7" s="1" a="1"/>
  <c r="G774" i="7" s="1"/>
  <c r="G773" i="7" a="1"/>
  <c r="G773" i="7" s="1"/>
  <c r="F773" i="7"/>
  <c r="F772" i="7"/>
  <c r="G772" i="7" s="1" a="1"/>
  <c r="G772" i="7" s="1"/>
  <c r="F771" i="7"/>
  <c r="G771" i="7" s="1" a="1"/>
  <c r="G771" i="7" s="1"/>
  <c r="F770" i="7"/>
  <c r="G770" i="7" s="1" a="1"/>
  <c r="G770" i="7" s="1"/>
  <c r="F769" i="7"/>
  <c r="G769" i="7" s="1" a="1"/>
  <c r="G769" i="7" s="1"/>
  <c r="G768" i="7" a="1"/>
  <c r="G768" i="7" s="1"/>
  <c r="F768" i="7"/>
  <c r="G767" i="7" a="1"/>
  <c r="G767" i="7" s="1"/>
  <c r="F767" i="7"/>
  <c r="G766" i="7" a="1"/>
  <c r="G766" i="7" s="1"/>
  <c r="F766" i="7"/>
  <c r="F765" i="7"/>
  <c r="G765" i="7" s="1" a="1"/>
  <c r="G765" i="7" s="1"/>
  <c r="F764" i="7"/>
  <c r="G764" i="7" s="1" a="1"/>
  <c r="G764" i="7" s="1"/>
  <c r="G763" i="7" a="1"/>
  <c r="G763" i="7" s="1"/>
  <c r="F763" i="7"/>
  <c r="G762" i="7" a="1"/>
  <c r="G762" i="7" s="1"/>
  <c r="F762" i="7"/>
  <c r="F761" i="7"/>
  <c r="G761" i="7" s="1" a="1"/>
  <c r="G761" i="7" s="1"/>
  <c r="F760" i="7"/>
  <c r="G760" i="7" s="1" a="1"/>
  <c r="G760" i="7" s="1"/>
  <c r="F759" i="7"/>
  <c r="G759" i="7" s="1" a="1"/>
  <c r="G759" i="7" s="1"/>
  <c r="G758" i="7" a="1"/>
  <c r="G758" i="7" s="1"/>
  <c r="F758" i="7"/>
  <c r="F757" i="7"/>
  <c r="G757" i="7" s="1" a="1"/>
  <c r="G757" i="7" s="1"/>
  <c r="G756" i="7" a="1"/>
  <c r="G756" i="7" s="1"/>
  <c r="F756" i="7"/>
  <c r="F755" i="7"/>
  <c r="G755" i="7" s="1" a="1"/>
  <c r="G755" i="7" s="1"/>
  <c r="F754" i="7"/>
  <c r="G754" i="7" s="1" a="1"/>
  <c r="G754" i="7" s="1"/>
  <c r="F753" i="7"/>
  <c r="G753" i="7" s="1" a="1"/>
  <c r="G753" i="7" s="1"/>
  <c r="F752" i="7"/>
  <c r="G752" i="7" s="1" a="1"/>
  <c r="G752" i="7" s="1"/>
  <c r="F751" i="7"/>
  <c r="G751" i="7" s="1" a="1"/>
  <c r="G751" i="7" s="1"/>
  <c r="G750" i="7" a="1"/>
  <c r="G750" i="7"/>
  <c r="F750" i="7"/>
  <c r="G749" i="7" a="1"/>
  <c r="G749" i="7" s="1"/>
  <c r="F749" i="7"/>
  <c r="G748" i="7" a="1"/>
  <c r="G748" i="7" s="1"/>
  <c r="F748" i="7"/>
  <c r="G747" i="7" a="1"/>
  <c r="G747" i="7" s="1"/>
  <c r="F747" i="7"/>
  <c r="F746" i="7"/>
  <c r="G746" i="7" s="1" a="1"/>
  <c r="G746" i="7" s="1"/>
  <c r="F745" i="7"/>
  <c r="G745" i="7" s="1" a="1"/>
  <c r="G745" i="7" s="1"/>
  <c r="F744" i="7"/>
  <c r="G744" i="7" s="1" a="1"/>
  <c r="G744" i="7" s="1"/>
  <c r="G743" i="7" a="1"/>
  <c r="G743" i="7" s="1"/>
  <c r="F743" i="7"/>
  <c r="G742" i="7" a="1"/>
  <c r="G742" i="7" s="1"/>
  <c r="F742" i="7"/>
  <c r="F741" i="7"/>
  <c r="G741" i="7" s="1" a="1"/>
  <c r="G741" i="7" s="1"/>
  <c r="G740" i="7" a="1"/>
  <c r="G740" i="7" s="1"/>
  <c r="F740" i="7"/>
  <c r="F739" i="7"/>
  <c r="G739" i="7" s="1" a="1"/>
  <c r="G739" i="7" s="1"/>
  <c r="G738" i="7" a="1"/>
  <c r="G738" i="7" s="1"/>
  <c r="F738" i="7"/>
  <c r="F737" i="7"/>
  <c r="G737" i="7" s="1" a="1"/>
  <c r="G737" i="7" s="1"/>
  <c r="G736" i="7" a="1"/>
  <c r="G736" i="7"/>
  <c r="F736" i="7"/>
  <c r="G735" i="7" a="1"/>
  <c r="G735" i="7" s="1"/>
  <c r="F735" i="7"/>
  <c r="F734" i="7"/>
  <c r="G734" i="7" s="1" a="1"/>
  <c r="G734" i="7" s="1"/>
  <c r="G733" i="7" a="1"/>
  <c r="G733" i="7" s="1"/>
  <c r="F733" i="7"/>
  <c r="F732" i="7"/>
  <c r="G732" i="7" s="1" a="1"/>
  <c r="G732" i="7" s="1"/>
  <c r="G731" i="7" a="1"/>
  <c r="G731" i="7" s="1"/>
  <c r="F731" i="7"/>
  <c r="G730" i="7" a="1"/>
  <c r="G730" i="7" s="1"/>
  <c r="F730" i="7"/>
  <c r="G729" i="7" a="1"/>
  <c r="G729" i="7" s="1"/>
  <c r="F729" i="7"/>
  <c r="G728" i="7" a="1"/>
  <c r="G728" i="7" s="1"/>
  <c r="F728" i="7"/>
  <c r="F727" i="7"/>
  <c r="G727" i="7" s="1" a="1"/>
  <c r="G727" i="7" s="1"/>
  <c r="G726" i="7" a="1"/>
  <c r="G726" i="7" s="1"/>
  <c r="F726" i="7"/>
  <c r="F725" i="7"/>
  <c r="G725" i="7" s="1" a="1"/>
  <c r="G725" i="7" s="1"/>
  <c r="F724" i="7"/>
  <c r="G724" i="7" s="1" a="1"/>
  <c r="G724" i="7" s="1"/>
  <c r="G723" i="7" a="1"/>
  <c r="G723" i="7" s="1"/>
  <c r="F723" i="7"/>
  <c r="F722" i="7"/>
  <c r="G722" i="7" s="1" a="1"/>
  <c r="G722" i="7" s="1"/>
  <c r="G721" i="7" a="1"/>
  <c r="G721" i="7" s="1"/>
  <c r="F721" i="7"/>
  <c r="F720" i="7"/>
  <c r="G720" i="7" s="1" a="1"/>
  <c r="G720" i="7" s="1"/>
  <c r="G719" i="7" a="1"/>
  <c r="G719" i="7"/>
  <c r="F719" i="7"/>
  <c r="G718" i="7" a="1"/>
  <c r="G718" i="7" s="1"/>
  <c r="F718" i="7"/>
  <c r="G717" i="7"/>
  <c r="F717" i="7"/>
  <c r="G717" i="7" s="1" a="1"/>
  <c r="G716" i="7" a="1"/>
  <c r="G716" i="7" s="1"/>
  <c r="F716" i="7"/>
  <c r="F715" i="7"/>
  <c r="G715" i="7" s="1" a="1"/>
  <c r="G715" i="7" s="1"/>
  <c r="F714" i="7"/>
  <c r="G714" i="7" s="1" a="1"/>
  <c r="G714" i="7" s="1"/>
  <c r="G713" i="7" a="1"/>
  <c r="G713" i="7" s="1"/>
  <c r="F713" i="7"/>
  <c r="F712" i="7"/>
  <c r="G712" i="7" s="1" a="1"/>
  <c r="G712" i="7" s="1"/>
  <c r="G711" i="7" a="1"/>
  <c r="G711" i="7"/>
  <c r="F711" i="7"/>
  <c r="G710" i="7" a="1"/>
  <c r="G710" i="7" s="1"/>
  <c r="F710" i="7"/>
  <c r="G709" i="7" a="1"/>
  <c r="G709" i="7" s="1"/>
  <c r="F709" i="7"/>
  <c r="G708" i="7" a="1"/>
  <c r="G708" i="7" s="1"/>
  <c r="F708" i="7"/>
  <c r="F707" i="7"/>
  <c r="G707" i="7" s="1" a="1"/>
  <c r="G707" i="7" s="1"/>
  <c r="G706" i="7" a="1"/>
  <c r="G706" i="7" s="1"/>
  <c r="F706" i="7"/>
  <c r="F705" i="7"/>
  <c r="G705" i="7" s="1" a="1"/>
  <c r="G705" i="7" s="1"/>
  <c r="G704" i="7" a="1"/>
  <c r="G704" i="7" s="1"/>
  <c r="F704" i="7"/>
  <c r="G703" i="7" a="1"/>
  <c r="G703" i="7" s="1"/>
  <c r="F703" i="7"/>
  <c r="F702" i="7"/>
  <c r="G702" i="7" s="1" a="1"/>
  <c r="G702" i="7" s="1"/>
  <c r="G701" i="7" a="1"/>
  <c r="G701" i="7" s="1"/>
  <c r="F701" i="7"/>
  <c r="F700" i="7"/>
  <c r="G700" i="7" s="1" a="1"/>
  <c r="G700" i="7" s="1"/>
  <c r="G699" i="7" a="1"/>
  <c r="G699" i="7" s="1"/>
  <c r="F699" i="7"/>
  <c r="G698" i="7" a="1"/>
  <c r="G698" i="7" s="1"/>
  <c r="F698" i="7"/>
  <c r="F697" i="7"/>
  <c r="G697" i="7" s="1" a="1"/>
  <c r="G697" i="7" s="1"/>
  <c r="G696" i="7" a="1"/>
  <c r="G696" i="7" s="1"/>
  <c r="F696" i="7"/>
  <c r="F695" i="7"/>
  <c r="G695" i="7" s="1" a="1"/>
  <c r="G695" i="7" s="1"/>
  <c r="G694" i="7" a="1"/>
  <c r="G694" i="7" s="1"/>
  <c r="F694" i="7"/>
  <c r="G693" i="7" a="1"/>
  <c r="G693" i="7"/>
  <c r="F693" i="7"/>
  <c r="F692" i="7"/>
  <c r="G692" i="7" s="1" a="1"/>
  <c r="G692" i="7" s="1"/>
  <c r="G691" i="7" a="1"/>
  <c r="G691" i="7" s="1"/>
  <c r="F691" i="7"/>
  <c r="F690" i="7"/>
  <c r="G690" i="7" s="1" a="1"/>
  <c r="G690" i="7" s="1"/>
  <c r="G689" i="7" a="1"/>
  <c r="G689" i="7" s="1"/>
  <c r="F689" i="7"/>
  <c r="G688" i="7" a="1"/>
  <c r="G688" i="7" s="1"/>
  <c r="F688" i="7"/>
  <c r="F687" i="7"/>
  <c r="G687" i="7" s="1" a="1"/>
  <c r="G687" i="7" s="1"/>
  <c r="G686" i="7" a="1"/>
  <c r="G686" i="7" s="1"/>
  <c r="F686" i="7"/>
  <c r="F685" i="7"/>
  <c r="G685" i="7" s="1" a="1"/>
  <c r="G685" i="7" s="1"/>
  <c r="G684" i="7" a="1"/>
  <c r="G684" i="7" s="1"/>
  <c r="F684" i="7"/>
  <c r="G683" i="7" a="1"/>
  <c r="G683" i="7" s="1"/>
  <c r="F683" i="7"/>
  <c r="F682" i="7"/>
  <c r="G682" i="7" s="1" a="1"/>
  <c r="G682" i="7" s="1"/>
  <c r="G681" i="7" a="1"/>
  <c r="G681" i="7"/>
  <c r="F681" i="7"/>
  <c r="G680" i="7" a="1"/>
  <c r="G680" i="7" s="1"/>
  <c r="F680" i="7"/>
  <c r="G679" i="7" a="1"/>
  <c r="G679" i="7" s="1"/>
  <c r="F679" i="7"/>
  <c r="F678" i="7"/>
  <c r="G678" i="7" s="1" a="1"/>
  <c r="G678" i="7" s="1"/>
  <c r="F677" i="7"/>
  <c r="G677" i="7" s="1" a="1"/>
  <c r="G677" i="7" s="1"/>
  <c r="G676" i="7" a="1"/>
  <c r="G676" i="7" s="1"/>
  <c r="F676" i="7"/>
  <c r="F675" i="7"/>
  <c r="G675" i="7" s="1" a="1"/>
  <c r="G675" i="7" s="1"/>
  <c r="G674" i="7" a="1"/>
  <c r="G674" i="7" s="1"/>
  <c r="F674" i="7"/>
  <c r="G673" i="7" a="1"/>
  <c r="G673" i="7" s="1"/>
  <c r="F673" i="7"/>
  <c r="F672" i="7"/>
  <c r="G672" i="7" s="1" a="1"/>
  <c r="G672" i="7" s="1"/>
  <c r="G671" i="7" a="1"/>
  <c r="G671" i="7"/>
  <c r="F671" i="7"/>
  <c r="G670" i="7" a="1"/>
  <c r="G670" i="7" s="1"/>
  <c r="F670" i="7"/>
  <c r="G669" i="7" a="1"/>
  <c r="G669" i="7" s="1"/>
  <c r="F669" i="7"/>
  <c r="G668" i="7" a="1"/>
  <c r="G668" i="7" s="1"/>
  <c r="F668" i="7"/>
  <c r="F667" i="7"/>
  <c r="G667" i="7" s="1" a="1"/>
  <c r="G667" i="7" s="1"/>
  <c r="G666" i="7" a="1"/>
  <c r="G666" i="7" s="1"/>
  <c r="F666" i="7"/>
  <c r="F665" i="7"/>
  <c r="G665" i="7" s="1" a="1"/>
  <c r="G665" i="7" s="1"/>
  <c r="G664" i="7" a="1"/>
  <c r="G664" i="7" s="1"/>
  <c r="F664" i="7"/>
  <c r="G663" i="7" a="1"/>
  <c r="G663" i="7" s="1"/>
  <c r="F663" i="7"/>
  <c r="F662" i="7"/>
  <c r="G662" i="7" s="1" a="1"/>
  <c r="G662" i="7" s="1"/>
  <c r="G661" i="7" a="1"/>
  <c r="G661" i="7" s="1"/>
  <c r="F661" i="7"/>
  <c r="F660" i="7"/>
  <c r="G660" i="7" s="1" a="1"/>
  <c r="G660" i="7" s="1"/>
  <c r="G659" i="7" a="1"/>
  <c r="G659" i="7" s="1"/>
  <c r="F659" i="7"/>
  <c r="F658" i="7"/>
  <c r="G658" i="7" s="1" a="1"/>
  <c r="G658" i="7" s="1"/>
  <c r="G657" i="7"/>
  <c r="F657" i="7"/>
  <c r="G657" i="7" s="1" a="1"/>
  <c r="G656" i="7" a="1"/>
  <c r="G656" i="7" s="1"/>
  <c r="F656" i="7"/>
  <c r="F655" i="7"/>
  <c r="G655" i="7" s="1" a="1"/>
  <c r="G655" i="7" s="1"/>
  <c r="F654" i="7"/>
  <c r="G654" i="7" s="1" a="1"/>
  <c r="G654" i="7" s="1"/>
  <c r="G653" i="7" a="1"/>
  <c r="G653" i="7" s="1"/>
  <c r="F653" i="7"/>
  <c r="F652" i="7"/>
  <c r="G652" i="7" s="1" a="1"/>
  <c r="G652" i="7" s="1"/>
  <c r="G651" i="7" a="1"/>
  <c r="G651" i="7" s="1"/>
  <c r="F651" i="7"/>
  <c r="G650" i="7" a="1"/>
  <c r="G650" i="7" s="1"/>
  <c r="F650" i="7"/>
  <c r="G649" i="7" a="1"/>
  <c r="G649" i="7" s="1"/>
  <c r="F649" i="7"/>
  <c r="F648" i="7"/>
  <c r="G648" i="7" s="1" a="1"/>
  <c r="G648" i="7" s="1"/>
  <c r="F647" i="7"/>
  <c r="G647" i="7" s="1" a="1"/>
  <c r="G647" i="7" s="1"/>
  <c r="G646" i="7" a="1"/>
  <c r="G646" i="7" s="1"/>
  <c r="F646" i="7"/>
  <c r="F645" i="7"/>
  <c r="G645" i="7" s="1" a="1"/>
  <c r="G645" i="7" s="1"/>
  <c r="G644" i="7" a="1"/>
  <c r="G644" i="7" s="1"/>
  <c r="F644" i="7"/>
  <c r="G643" i="7" a="1"/>
  <c r="G643" i="7" s="1"/>
  <c r="F643" i="7"/>
  <c r="F642" i="7"/>
  <c r="G642" i="7" s="1" a="1"/>
  <c r="G642" i="7" s="1"/>
  <c r="G641" i="7" a="1"/>
  <c r="G641" i="7" s="1"/>
  <c r="F641" i="7"/>
  <c r="G640" i="7" a="1"/>
  <c r="G640" i="7" s="1"/>
  <c r="F640" i="7"/>
  <c r="G639" i="7" a="1"/>
  <c r="G639" i="7" s="1"/>
  <c r="F639" i="7"/>
  <c r="G638" i="7" a="1"/>
  <c r="G638" i="7" s="1"/>
  <c r="F638" i="7"/>
  <c r="F637" i="7"/>
  <c r="G637" i="7" s="1" a="1"/>
  <c r="G637" i="7" s="1"/>
  <c r="G636" i="7" a="1"/>
  <c r="G636" i="7" s="1"/>
  <c r="F636" i="7"/>
  <c r="F635" i="7"/>
  <c r="G635" i="7" s="1" a="1"/>
  <c r="G635" i="7" s="1"/>
  <c r="F634" i="7"/>
  <c r="G634" i="7" s="1" a="1"/>
  <c r="G634" i="7" s="1"/>
  <c r="G633" i="7" a="1"/>
  <c r="G633" i="7" s="1"/>
  <c r="F633" i="7"/>
  <c r="F632" i="7"/>
  <c r="G632" i="7" s="1" a="1"/>
  <c r="G632" i="7" s="1"/>
  <c r="G631" i="7" a="1"/>
  <c r="G631" i="7" s="1"/>
  <c r="F631" i="7"/>
  <c r="F630" i="7"/>
  <c r="G630" i="7" s="1" a="1"/>
  <c r="G630" i="7" s="1"/>
  <c r="G629" i="7" a="1"/>
  <c r="G629" i="7" s="1"/>
  <c r="F629" i="7"/>
  <c r="G628" i="7" a="1"/>
  <c r="G628" i="7" s="1"/>
  <c r="F628" i="7"/>
  <c r="F627" i="7"/>
  <c r="G627" i="7" s="1" a="1"/>
  <c r="G627" i="7" s="1"/>
  <c r="G626" i="7" a="1"/>
  <c r="G626" i="7" s="1"/>
  <c r="F626" i="7"/>
  <c r="F625" i="7"/>
  <c r="G625" i="7" s="1" a="1"/>
  <c r="G625" i="7" s="1"/>
  <c r="F624" i="7"/>
  <c r="G624" i="7" s="1" a="1"/>
  <c r="G624" i="7" s="1"/>
  <c r="G623" i="7" a="1"/>
  <c r="G623" i="7" s="1"/>
  <c r="F623" i="7"/>
  <c r="G622" i="7" a="1"/>
  <c r="G622" i="7" s="1"/>
  <c r="F622" i="7"/>
  <c r="G621" i="7" a="1"/>
  <c r="G621" i="7" s="1"/>
  <c r="F621" i="7"/>
  <c r="F620" i="7"/>
  <c r="G620" i="7" s="1" a="1"/>
  <c r="G620" i="7" s="1"/>
  <c r="G619" i="7" a="1"/>
  <c r="G619" i="7" s="1"/>
  <c r="F619" i="7"/>
  <c r="F618" i="7"/>
  <c r="G618" i="7" s="1" a="1"/>
  <c r="G618" i="7" s="1"/>
  <c r="G617" i="7"/>
  <c r="F617" i="7"/>
  <c r="G617" i="7" s="1" a="1"/>
  <c r="G616" i="7" a="1"/>
  <c r="G616" i="7" s="1"/>
  <c r="F616" i="7"/>
  <c r="F615" i="7"/>
  <c r="G615" i="7" s="1" a="1"/>
  <c r="G615" i="7" s="1"/>
  <c r="G614" i="7" a="1"/>
  <c r="G614" i="7" s="1"/>
  <c r="F614" i="7"/>
  <c r="G613" i="7" a="1"/>
  <c r="G613" i="7" s="1"/>
  <c r="F613" i="7"/>
  <c r="F612" i="7"/>
  <c r="G612" i="7" s="1" a="1"/>
  <c r="G612" i="7" s="1"/>
  <c r="G611" i="7" a="1"/>
  <c r="G611" i="7" s="1"/>
  <c r="F611" i="7"/>
  <c r="F610" i="7"/>
  <c r="G610" i="7" s="1" a="1"/>
  <c r="G610" i="7" s="1"/>
  <c r="G609" i="7" a="1"/>
  <c r="G609" i="7" s="1"/>
  <c r="F609" i="7"/>
  <c r="G608" i="7" a="1"/>
  <c r="G608" i="7" s="1"/>
  <c r="F608" i="7"/>
  <c r="F607" i="7"/>
  <c r="G607" i="7" s="1" a="1"/>
  <c r="G607" i="7" s="1"/>
  <c r="F606" i="7"/>
  <c r="G606" i="7" s="1" a="1"/>
  <c r="G606" i="7" s="1"/>
  <c r="F605" i="7"/>
  <c r="G605" i="7" s="1" a="1"/>
  <c r="G605" i="7" s="1"/>
  <c r="F604" i="7"/>
  <c r="G604" i="7" s="1" a="1"/>
  <c r="G604" i="7" s="1"/>
  <c r="G603" i="7" a="1"/>
  <c r="G603" i="7" s="1"/>
  <c r="F603" i="7"/>
  <c r="G602" i="7" a="1"/>
  <c r="G602" i="7" s="1"/>
  <c r="F602" i="7"/>
  <c r="G601" i="7" a="1"/>
  <c r="G601" i="7" s="1"/>
  <c r="F601" i="7"/>
  <c r="F600" i="7"/>
  <c r="G600" i="7" s="1" a="1"/>
  <c r="G600" i="7" s="1"/>
  <c r="G599" i="7" a="1"/>
  <c r="G599" i="7" s="1"/>
  <c r="F599" i="7"/>
  <c r="F598" i="7"/>
  <c r="G598" i="7" s="1" a="1"/>
  <c r="G598" i="7" s="1"/>
  <c r="G597" i="7"/>
  <c r="F597" i="7"/>
  <c r="G597" i="7" s="1" a="1"/>
  <c r="G596" i="7" a="1"/>
  <c r="G596" i="7" s="1"/>
  <c r="F596" i="7"/>
  <c r="F595" i="7"/>
  <c r="G595" i="7" s="1" a="1"/>
  <c r="G595" i="7" s="1"/>
  <c r="G594" i="7" a="1"/>
  <c r="G594" i="7" s="1"/>
  <c r="F594" i="7"/>
  <c r="G593" i="7" a="1"/>
  <c r="G593" i="7" s="1"/>
  <c r="F593" i="7"/>
  <c r="F592" i="7"/>
  <c r="G592" i="7" s="1" a="1"/>
  <c r="G592" i="7" s="1"/>
  <c r="G591" i="7" a="1"/>
  <c r="G591" i="7" s="1"/>
  <c r="F591" i="7"/>
  <c r="F590" i="7"/>
  <c r="G590" i="7" s="1" a="1"/>
  <c r="G590" i="7" s="1"/>
  <c r="G589" i="7" a="1"/>
  <c r="G589" i="7" s="1"/>
  <c r="F589" i="7"/>
  <c r="G588" i="7" a="1"/>
  <c r="G588" i="7" s="1"/>
  <c r="F588" i="7"/>
  <c r="F587" i="7"/>
  <c r="G587" i="7" s="1" a="1"/>
  <c r="G587" i="7" s="1"/>
  <c r="F586" i="7"/>
  <c r="G586" i="7" s="1" a="1"/>
  <c r="G586" i="7" s="1"/>
  <c r="F585" i="7"/>
  <c r="G585" i="7" s="1" a="1"/>
  <c r="G585" i="7" s="1"/>
  <c r="F584" i="7"/>
  <c r="G584" i="7" s="1" a="1"/>
  <c r="G584" i="7" s="1"/>
  <c r="G583" i="7" a="1"/>
  <c r="G583" i="7" s="1"/>
  <c r="F583" i="7"/>
  <c r="G582" i="7" a="1"/>
  <c r="G582" i="7" s="1"/>
  <c r="F582" i="7"/>
  <c r="G581" i="7" a="1"/>
  <c r="G581" i="7" s="1"/>
  <c r="F581" i="7"/>
  <c r="F580" i="7"/>
  <c r="G580" i="7" s="1" a="1"/>
  <c r="G580" i="7" s="1"/>
  <c r="G579" i="7" a="1"/>
  <c r="G579" i="7" s="1"/>
  <c r="F579" i="7"/>
  <c r="F578" i="7"/>
  <c r="G578" i="7" s="1" a="1"/>
  <c r="G578" i="7" s="1"/>
  <c r="F577" i="7"/>
  <c r="G577" i="7" s="1" a="1"/>
  <c r="G577" i="7" s="1"/>
  <c r="G576" i="7" a="1"/>
  <c r="G576" i="7" s="1"/>
  <c r="F576" i="7"/>
  <c r="F575" i="7"/>
  <c r="G575" i="7" s="1" a="1"/>
  <c r="G575" i="7" s="1"/>
  <c r="G574" i="7" a="1"/>
  <c r="G574" i="7" s="1"/>
  <c r="F574" i="7"/>
  <c r="G573" i="7" a="1"/>
  <c r="G573" i="7" s="1"/>
  <c r="F573" i="7"/>
  <c r="F572" i="7"/>
  <c r="G572" i="7" s="1" a="1"/>
  <c r="G572" i="7" s="1"/>
  <c r="G571" i="7" a="1"/>
  <c r="G571" i="7" s="1"/>
  <c r="F571" i="7"/>
  <c r="F570" i="7"/>
  <c r="G570" i="7" s="1" a="1"/>
  <c r="G570" i="7" s="1"/>
  <c r="G569" i="7" a="1"/>
  <c r="G569" i="7" s="1"/>
  <c r="F569" i="7"/>
  <c r="G568" i="7" a="1"/>
  <c r="G568" i="7" s="1"/>
  <c r="F568" i="7"/>
  <c r="F567" i="7"/>
  <c r="G567" i="7" s="1" a="1"/>
  <c r="G567" i="7" s="1"/>
  <c r="F566" i="7"/>
  <c r="G566" i="7" s="1" a="1"/>
  <c r="G566" i="7" s="1"/>
  <c r="G565" i="7"/>
  <c r="F565" i="7"/>
  <c r="G565" i="7" s="1" a="1"/>
  <c r="F564" i="7"/>
  <c r="G564" i="7" s="1" a="1"/>
  <c r="G564" i="7" s="1"/>
  <c r="G563" i="7" a="1"/>
  <c r="G563" i="7" s="1"/>
  <c r="F563" i="7"/>
  <c r="G562" i="7" a="1"/>
  <c r="G562" i="7" s="1"/>
  <c r="F562" i="7"/>
  <c r="G561" i="7" a="1"/>
  <c r="G561" i="7" s="1"/>
  <c r="F561" i="7"/>
  <c r="F560" i="7"/>
  <c r="G560" i="7" s="1" a="1"/>
  <c r="G560" i="7" s="1"/>
  <c r="G559" i="7" a="1"/>
  <c r="G559" i="7" s="1"/>
  <c r="F559" i="7"/>
  <c r="F558" i="7"/>
  <c r="G558" i="7" s="1" a="1"/>
  <c r="G558" i="7" s="1"/>
  <c r="F557" i="7"/>
  <c r="G557" i="7" s="1" a="1"/>
  <c r="G557" i="7" s="1"/>
  <c r="G556" i="7" a="1"/>
  <c r="G556" i="7" s="1"/>
  <c r="F556" i="7"/>
  <c r="F555" i="7"/>
  <c r="G555" i="7" s="1" a="1"/>
  <c r="G555" i="7" s="1"/>
  <c r="G554" i="7" a="1"/>
  <c r="G554" i="7" s="1"/>
  <c r="F554" i="7"/>
  <c r="G553" i="7" a="1"/>
  <c r="G553" i="7" s="1"/>
  <c r="F553" i="7"/>
  <c r="F552" i="7"/>
  <c r="G552" i="7" s="1" a="1"/>
  <c r="G552" i="7" s="1"/>
  <c r="G551" i="7" a="1"/>
  <c r="G551" i="7" s="1"/>
  <c r="F551" i="7"/>
  <c r="F550" i="7"/>
  <c r="G550" i="7" s="1" a="1"/>
  <c r="G550" i="7" s="1"/>
  <c r="G549" i="7" a="1"/>
  <c r="G549" i="7"/>
  <c r="F549" i="7"/>
  <c r="G548" i="7" a="1"/>
  <c r="G548" i="7" s="1"/>
  <c r="F548" i="7"/>
  <c r="F547" i="7"/>
  <c r="G547" i="7" s="1" a="1"/>
  <c r="G547" i="7" s="1"/>
  <c r="F546" i="7"/>
  <c r="G546" i="7" s="1" a="1"/>
  <c r="G546" i="7" s="1"/>
  <c r="F545" i="7"/>
  <c r="G545" i="7" s="1" a="1"/>
  <c r="G545" i="7" s="1"/>
  <c r="F544" i="7"/>
  <c r="G544" i="7" s="1" a="1"/>
  <c r="G544" i="7" s="1"/>
  <c r="G543" i="7" a="1"/>
  <c r="G543" i="7" s="1"/>
  <c r="F543" i="7"/>
  <c r="G542" i="7" a="1"/>
  <c r="G542" i="7" s="1"/>
  <c r="F542" i="7"/>
  <c r="G541" i="7" a="1"/>
  <c r="G541" i="7" s="1"/>
  <c r="F541" i="7"/>
  <c r="F540" i="7"/>
  <c r="G540" i="7" s="1" a="1"/>
  <c r="G540" i="7" s="1"/>
  <c r="G539" i="7" a="1"/>
  <c r="G539" i="7" s="1"/>
  <c r="F539" i="7"/>
  <c r="F538" i="7"/>
  <c r="G538" i="7" s="1" a="1"/>
  <c r="G538" i="7" s="1"/>
  <c r="F537" i="7"/>
  <c r="G537" i="7" s="1" a="1"/>
  <c r="G537" i="7" s="1"/>
  <c r="G536" i="7" a="1"/>
  <c r="G536" i="7" s="1"/>
  <c r="F536" i="7"/>
  <c r="F535" i="7"/>
  <c r="G535" i="7" s="1" a="1"/>
  <c r="G535" i="7" s="1"/>
  <c r="G534" i="7" a="1"/>
  <c r="G534" i="7" s="1"/>
  <c r="F534" i="7"/>
  <c r="G533" i="7" a="1"/>
  <c r="G533" i="7" s="1"/>
  <c r="F533" i="7"/>
  <c r="F532" i="7"/>
  <c r="G532" i="7" s="1" a="1"/>
  <c r="G532" i="7" s="1"/>
  <c r="G531" i="7" a="1"/>
  <c r="G531" i="7" s="1"/>
  <c r="F531" i="7"/>
  <c r="F530" i="7"/>
  <c r="G530" i="7" s="1" a="1"/>
  <c r="G530" i="7" s="1"/>
  <c r="G529" i="7" a="1"/>
  <c r="G529" i="7" s="1"/>
  <c r="F529" i="7"/>
  <c r="G528" i="7" a="1"/>
  <c r="G528" i="7" s="1"/>
  <c r="F528" i="7"/>
  <c r="F527" i="7"/>
  <c r="G527" i="7" s="1" a="1"/>
  <c r="G527" i="7" s="1"/>
  <c r="F526" i="7"/>
  <c r="G526" i="7" s="1" a="1"/>
  <c r="G526" i="7" s="1"/>
  <c r="F525" i="7"/>
  <c r="G525" i="7" s="1" a="1"/>
  <c r="G525" i="7" s="1"/>
  <c r="F524" i="7"/>
  <c r="G524" i="7" s="1" a="1"/>
  <c r="G524" i="7" s="1"/>
  <c r="G523" i="7" a="1"/>
  <c r="G523" i="7" s="1"/>
  <c r="F523" i="7"/>
  <c r="G522" i="7" a="1"/>
  <c r="G522" i="7" s="1"/>
  <c r="F522" i="7"/>
  <c r="G521" i="7" a="1"/>
  <c r="G521" i="7" s="1"/>
  <c r="F521" i="7"/>
  <c r="F520" i="7"/>
  <c r="G520" i="7" s="1" a="1"/>
  <c r="G520" i="7" s="1"/>
  <c r="G519" i="7" a="1"/>
  <c r="G519" i="7" s="1"/>
  <c r="F519" i="7"/>
  <c r="F518" i="7"/>
  <c r="G518" i="7" s="1" a="1"/>
  <c r="G518" i="7" s="1"/>
  <c r="F517" i="7"/>
  <c r="G517" i="7" s="1" a="1"/>
  <c r="G517" i="7" s="1"/>
  <c r="G516" i="7" a="1"/>
  <c r="G516" i="7" s="1"/>
  <c r="F516" i="7"/>
  <c r="F515" i="7"/>
  <c r="G515" i="7" s="1" a="1"/>
  <c r="G515" i="7" s="1"/>
  <c r="G514" i="7" a="1"/>
  <c r="G514" i="7" s="1"/>
  <c r="F514" i="7"/>
  <c r="G513" i="7" a="1"/>
  <c r="G513" i="7" s="1"/>
  <c r="F513" i="7"/>
  <c r="F512" i="7"/>
  <c r="G512" i="7" s="1" a="1"/>
  <c r="G512" i="7" s="1"/>
  <c r="G511" i="7" a="1"/>
  <c r="G511" i="7" s="1"/>
  <c r="F511" i="7"/>
  <c r="F510" i="7"/>
  <c r="G510" i="7" s="1" a="1"/>
  <c r="G510" i="7" s="1"/>
  <c r="G509" i="7" a="1"/>
  <c r="G509" i="7" s="1"/>
  <c r="F509" i="7"/>
  <c r="G508" i="7" a="1"/>
  <c r="G508" i="7" s="1"/>
  <c r="F508" i="7"/>
  <c r="F507" i="7"/>
  <c r="G507" i="7" s="1" a="1"/>
  <c r="G507" i="7" s="1"/>
  <c r="F506" i="7"/>
  <c r="G506" i="7" s="1" a="1"/>
  <c r="G506" i="7" s="1"/>
  <c r="F505" i="7"/>
  <c r="G505" i="7" s="1" a="1"/>
  <c r="G505" i="7" s="1"/>
  <c r="F504" i="7"/>
  <c r="G504" i="7" s="1" a="1"/>
  <c r="G504" i="7" s="1"/>
  <c r="G503" i="7" a="1"/>
  <c r="G503" i="7" s="1"/>
  <c r="F503" i="7"/>
  <c r="G502" i="7" a="1"/>
  <c r="G502" i="7" s="1"/>
  <c r="F502" i="7"/>
  <c r="G501" i="7" a="1"/>
  <c r="G501" i="7" s="1"/>
  <c r="F501" i="7"/>
  <c r="F500" i="7"/>
  <c r="G500" i="7" s="1" a="1"/>
  <c r="G500" i="7" s="1"/>
  <c r="G499" i="7" a="1"/>
  <c r="G499" i="7"/>
  <c r="F499" i="7"/>
  <c r="F498" i="7"/>
  <c r="G498" i="7" s="1" a="1"/>
  <c r="G498" i="7" s="1"/>
  <c r="F497" i="7"/>
  <c r="G497" i="7" s="1" a="1"/>
  <c r="G497" i="7" s="1"/>
  <c r="G496" i="7" a="1"/>
  <c r="G496" i="7" s="1"/>
  <c r="F496" i="7"/>
  <c r="F495" i="7"/>
  <c r="G495" i="7" s="1" a="1"/>
  <c r="G495" i="7" s="1"/>
  <c r="G494" i="7" a="1"/>
  <c r="G494" i="7" s="1"/>
  <c r="F494" i="7"/>
  <c r="G493" i="7" a="1"/>
  <c r="G493" i="7" s="1"/>
  <c r="F493" i="7"/>
  <c r="F492" i="7"/>
  <c r="G492" i="7" s="1" a="1"/>
  <c r="G492" i="7" s="1"/>
  <c r="G491" i="7" a="1"/>
  <c r="G491" i="7" s="1"/>
  <c r="F491" i="7"/>
  <c r="F490" i="7"/>
  <c r="G490" i="7" s="1" a="1"/>
  <c r="G490" i="7" s="1"/>
  <c r="G489" i="7" a="1"/>
  <c r="G489" i="7" s="1"/>
  <c r="F489" i="7"/>
  <c r="G488" i="7" a="1"/>
  <c r="G488" i="7" s="1"/>
  <c r="F488" i="7"/>
  <c r="F487" i="7"/>
  <c r="G487" i="7" s="1" a="1"/>
  <c r="G487" i="7" s="1"/>
  <c r="G486" i="7" a="1"/>
  <c r="G486" i="7" s="1"/>
  <c r="F486" i="7"/>
  <c r="F485" i="7"/>
  <c r="G485" i="7" s="1" a="1"/>
  <c r="G485" i="7" s="1"/>
  <c r="G484" i="7" a="1"/>
  <c r="G484" i="7" s="1"/>
  <c r="F484" i="7"/>
  <c r="F483" i="7"/>
  <c r="G483" i="7" s="1" a="1"/>
  <c r="G483" i="7" s="1"/>
  <c r="F482" i="7"/>
  <c r="G482" i="7" s="1" a="1"/>
  <c r="G482" i="7" s="1"/>
  <c r="G481" i="7" a="1"/>
  <c r="G481" i="7" s="1"/>
  <c r="F481" i="7"/>
  <c r="G480" i="7" a="1"/>
  <c r="G480" i="7" s="1"/>
  <c r="F480" i="7"/>
  <c r="G479" i="7" a="1"/>
  <c r="G479" i="7"/>
  <c r="F479" i="7"/>
  <c r="G478" i="7" a="1"/>
  <c r="G478" i="7" s="1"/>
  <c r="F478" i="7"/>
  <c r="F477" i="7"/>
  <c r="G477" i="7" s="1" a="1"/>
  <c r="G477" i="7" s="1"/>
  <c r="G476" i="7" a="1"/>
  <c r="G476" i="7" s="1"/>
  <c r="F476" i="7"/>
  <c r="G475" i="7"/>
  <c r="F475" i="7"/>
  <c r="G475" i="7" s="1" a="1"/>
  <c r="G474" i="7" a="1"/>
  <c r="G474" i="7" s="1"/>
  <c r="F474" i="7"/>
  <c r="F473" i="7"/>
  <c r="G473" i="7" s="1" a="1"/>
  <c r="G473" i="7" s="1"/>
  <c r="G472" i="7" a="1"/>
  <c r="G472" i="7" s="1"/>
  <c r="F472" i="7"/>
  <c r="G471" i="7" a="1"/>
  <c r="G471" i="7" s="1"/>
  <c r="F471" i="7"/>
  <c r="G470" i="7" a="1"/>
  <c r="G470" i="7" s="1"/>
  <c r="F470" i="7"/>
  <c r="G469" i="7" a="1"/>
  <c r="G469" i="7" s="1"/>
  <c r="F469" i="7"/>
  <c r="F468" i="7"/>
  <c r="G468" i="7" s="1" a="1"/>
  <c r="G468" i="7" s="1"/>
  <c r="F467" i="7"/>
  <c r="G467" i="7" s="1" a="1"/>
  <c r="G467" i="7" s="1"/>
  <c r="G466" i="7" a="1"/>
  <c r="G466" i="7" s="1"/>
  <c r="F466" i="7"/>
  <c r="F465" i="7"/>
  <c r="G465" i="7" s="1" a="1"/>
  <c r="G465" i="7" s="1"/>
  <c r="F464" i="7"/>
  <c r="G464" i="7" s="1" a="1"/>
  <c r="G464" i="7" s="1"/>
  <c r="F463" i="7"/>
  <c r="G463" i="7" s="1" a="1"/>
  <c r="G463" i="7" s="1"/>
  <c r="F462" i="7"/>
  <c r="G462" i="7" s="1" a="1"/>
  <c r="G462" i="7" s="1"/>
  <c r="G461" i="7" a="1"/>
  <c r="G461" i="7" s="1"/>
  <c r="F461" i="7"/>
  <c r="F460" i="7"/>
  <c r="G460" i="7" s="1" a="1"/>
  <c r="G460" i="7" s="1"/>
  <c r="G459" i="7" a="1"/>
  <c r="G459" i="7" s="1"/>
  <c r="F459" i="7"/>
  <c r="F458" i="7"/>
  <c r="G458" i="7" s="1" a="1"/>
  <c r="G458" i="7" s="1"/>
  <c r="F457" i="7"/>
  <c r="G457" i="7" s="1" a="1"/>
  <c r="G457" i="7" s="1"/>
  <c r="F456" i="7"/>
  <c r="G456" i="7" s="1" a="1"/>
  <c r="G456" i="7" s="1"/>
  <c r="F455" i="7"/>
  <c r="G455" i="7" s="1" a="1"/>
  <c r="G455" i="7" s="1"/>
  <c r="G454" i="7" a="1"/>
  <c r="G454" i="7" s="1"/>
  <c r="F454" i="7"/>
  <c r="G453" i="7" a="1"/>
  <c r="G453" i="7" s="1"/>
  <c r="F453" i="7"/>
  <c r="F452" i="7"/>
  <c r="G452" i="7" s="1" a="1"/>
  <c r="G452" i="7" s="1"/>
  <c r="G451" i="7" a="1"/>
  <c r="G451" i="7"/>
  <c r="F451" i="7"/>
  <c r="F450" i="7"/>
  <c r="G450" i="7" s="1" a="1"/>
  <c r="G450" i="7" s="1"/>
  <c r="G449" i="7" a="1"/>
  <c r="G449" i="7" s="1"/>
  <c r="F449" i="7"/>
  <c r="F448" i="7"/>
  <c r="G448" i="7" s="1" a="1"/>
  <c r="G448" i="7" s="1"/>
  <c r="G447" i="7" a="1"/>
  <c r="G447" i="7" s="1"/>
  <c r="F447" i="7"/>
  <c r="G446" i="7" a="1"/>
  <c r="G446" i="7" s="1"/>
  <c r="F446" i="7"/>
  <c r="F445" i="7"/>
  <c r="G445" i="7" s="1" a="1"/>
  <c r="G445" i="7" s="1"/>
  <c r="G444" i="7" a="1"/>
  <c r="G444" i="7" s="1"/>
  <c r="F444" i="7"/>
  <c r="F443" i="7"/>
  <c r="G443" i="7" s="1" a="1"/>
  <c r="G443" i="7" s="1"/>
  <c r="G442" i="7" a="1"/>
  <c r="G442" i="7" s="1"/>
  <c r="F442" i="7"/>
  <c r="F441" i="7"/>
  <c r="G441" i="7" s="1" a="1"/>
  <c r="G441" i="7" s="1"/>
  <c r="G440" i="7" a="1"/>
  <c r="G440" i="7" s="1"/>
  <c r="F440" i="7"/>
  <c r="G439" i="7" a="1"/>
  <c r="G439" i="7"/>
  <c r="F439" i="7"/>
  <c r="F438" i="7"/>
  <c r="G438" i="7" s="1" a="1"/>
  <c r="G438" i="7" s="1"/>
  <c r="G437" i="7" a="1"/>
  <c r="G437" i="7" s="1"/>
  <c r="F437" i="7"/>
  <c r="F436" i="7"/>
  <c r="G436" i="7" s="1" a="1"/>
  <c r="G436" i="7" s="1"/>
  <c r="F435" i="7"/>
  <c r="G435" i="7" s="1" a="1"/>
  <c r="G435" i="7" s="1"/>
  <c r="F434" i="7"/>
  <c r="G434" i="7" s="1" a="1"/>
  <c r="G434" i="7" s="1"/>
  <c r="G433" i="7" a="1"/>
  <c r="G433" i="7" s="1"/>
  <c r="F433" i="7"/>
  <c r="F432" i="7"/>
  <c r="G432" i="7" s="1" a="1"/>
  <c r="G432" i="7" s="1"/>
  <c r="G431" i="7" a="1"/>
  <c r="G431" i="7" s="1"/>
  <c r="F431" i="7"/>
  <c r="F430" i="7"/>
  <c r="G430" i="7" s="1" a="1"/>
  <c r="G430" i="7" s="1"/>
  <c r="G429" i="7" a="1"/>
  <c r="G429" i="7" s="1"/>
  <c r="F429" i="7"/>
  <c r="G428" i="7" a="1"/>
  <c r="G428" i="7" s="1"/>
  <c r="F428" i="7"/>
  <c r="F427" i="7"/>
  <c r="G427" i="7" s="1" a="1"/>
  <c r="G427" i="7" s="1"/>
  <c r="G426" i="7" a="1"/>
  <c r="G426" i="7" s="1"/>
  <c r="F426" i="7"/>
  <c r="F425" i="7"/>
  <c r="G425" i="7" s="1" a="1"/>
  <c r="G425" i="7" s="1"/>
  <c r="G424" i="7" a="1"/>
  <c r="G424" i="7" s="1"/>
  <c r="F424" i="7"/>
  <c r="F423" i="7"/>
  <c r="G423" i="7" s="1" a="1"/>
  <c r="G423" i="7" s="1"/>
  <c r="G422" i="7" a="1"/>
  <c r="G422" i="7" s="1"/>
  <c r="F422" i="7"/>
  <c r="F421" i="7"/>
  <c r="G421" i="7" s="1" a="1"/>
  <c r="G421" i="7" s="1"/>
  <c r="F420" i="7"/>
  <c r="G420" i="7" s="1" a="1"/>
  <c r="G420" i="7" s="1"/>
  <c r="G419" i="7" a="1"/>
  <c r="G419" i="7" s="1"/>
  <c r="F419" i="7"/>
  <c r="F418" i="7"/>
  <c r="G418" i="7" s="1" a="1"/>
  <c r="G418" i="7" s="1"/>
  <c r="G417" i="7" a="1"/>
  <c r="G417" i="7" s="1"/>
  <c r="F417" i="7"/>
  <c r="F416" i="7"/>
  <c r="G416" i="7" s="1" a="1"/>
  <c r="G416" i="7" s="1"/>
  <c r="F415" i="7"/>
  <c r="G415" i="7" s="1" a="1"/>
  <c r="G415" i="7" s="1"/>
  <c r="F414" i="7"/>
  <c r="G414" i="7" s="1" a="1"/>
  <c r="G414" i="7" s="1"/>
  <c r="F413" i="7"/>
  <c r="G413" i="7" s="1" a="1"/>
  <c r="G413" i="7" s="1"/>
  <c r="F412" i="7"/>
  <c r="G412" i="7" s="1" a="1"/>
  <c r="G412" i="7" s="1"/>
  <c r="G411" i="7" a="1"/>
  <c r="G411" i="7" s="1"/>
  <c r="F411" i="7"/>
  <c r="G410" i="7" a="1"/>
  <c r="G410" i="7" s="1"/>
  <c r="F410" i="7"/>
  <c r="G409" i="7" a="1"/>
  <c r="G409" i="7" s="1"/>
  <c r="F409" i="7"/>
  <c r="G408" i="7" a="1"/>
  <c r="G408" i="7" s="1"/>
  <c r="F408" i="7"/>
  <c r="F407" i="7"/>
  <c r="G407" i="7" s="1" a="1"/>
  <c r="G407" i="7" s="1"/>
  <c r="F406" i="7"/>
  <c r="G406" i="7" s="1" a="1"/>
  <c r="G406" i="7" s="1"/>
  <c r="F405" i="7"/>
  <c r="G405" i="7" s="1" a="1"/>
  <c r="G405" i="7" s="1"/>
  <c r="G404" i="7" a="1"/>
  <c r="G404" i="7" s="1"/>
  <c r="F404" i="7"/>
  <c r="G403" i="7" a="1"/>
  <c r="G403" i="7" s="1"/>
  <c r="F403" i="7"/>
  <c r="F402" i="7"/>
  <c r="G402" i="7" s="1" a="1"/>
  <c r="G402" i="7" s="1"/>
  <c r="G401" i="7" a="1"/>
  <c r="G401" i="7" s="1"/>
  <c r="F401" i="7"/>
  <c r="F400" i="7"/>
  <c r="G400" i="7" s="1" a="1"/>
  <c r="G400" i="7" s="1"/>
  <c r="F399" i="7"/>
  <c r="G399" i="7" s="1" a="1"/>
  <c r="G399" i="7" s="1"/>
  <c r="G398" i="7" a="1"/>
  <c r="G398" i="7" s="1"/>
  <c r="F398" i="7"/>
  <c r="F397" i="7"/>
  <c r="G397" i="7" s="1" a="1"/>
  <c r="G397" i="7" s="1"/>
  <c r="G396" i="7" a="1"/>
  <c r="G396" i="7" s="1"/>
  <c r="F396" i="7"/>
  <c r="F395" i="7"/>
  <c r="G395" i="7" s="1" a="1"/>
  <c r="G395" i="7" s="1"/>
  <c r="G394" i="7" a="1"/>
  <c r="G394" i="7" s="1"/>
  <c r="F394" i="7"/>
  <c r="G393" i="7" a="1"/>
  <c r="G393" i="7" s="1"/>
  <c r="F393" i="7"/>
  <c r="F392" i="7"/>
  <c r="G392" i="7" s="1" a="1"/>
  <c r="G392" i="7" s="1"/>
  <c r="G391" i="7" a="1"/>
  <c r="G391" i="7" s="1"/>
  <c r="F391" i="7"/>
  <c r="F390" i="7"/>
  <c r="G390" i="7" s="1" a="1"/>
  <c r="G390" i="7" s="1"/>
  <c r="F389" i="7"/>
  <c r="G389" i="7" s="1" a="1"/>
  <c r="G389" i="7" s="1"/>
  <c r="G388" i="7" a="1"/>
  <c r="G388" i="7" s="1"/>
  <c r="F388" i="7"/>
  <c r="F387" i="7"/>
  <c r="G387" i="7" s="1" a="1"/>
  <c r="G387" i="7" s="1"/>
  <c r="G386" i="7" a="1"/>
  <c r="G386" i="7" s="1"/>
  <c r="F386" i="7"/>
  <c r="F385" i="7"/>
  <c r="G385" i="7" s="1" a="1"/>
  <c r="G385" i="7" s="1"/>
  <c r="G384" i="7" a="1"/>
  <c r="G384" i="7" s="1"/>
  <c r="F384" i="7"/>
  <c r="G383" i="7" a="1"/>
  <c r="G383" i="7" s="1"/>
  <c r="F383" i="7"/>
  <c r="F382" i="7"/>
  <c r="G382" i="7" s="1" a="1"/>
  <c r="G382" i="7" s="1"/>
  <c r="G381" i="7" a="1"/>
  <c r="G381" i="7" s="1"/>
  <c r="F381" i="7"/>
  <c r="F380" i="7"/>
  <c r="G380" i="7" s="1" a="1"/>
  <c r="G380" i="7" s="1"/>
  <c r="F379" i="7"/>
  <c r="G379" i="7" s="1" a="1"/>
  <c r="G379" i="7" s="1"/>
  <c r="G378" i="7" a="1"/>
  <c r="G378" i="7" s="1"/>
  <c r="F378" i="7"/>
  <c r="F377" i="7"/>
  <c r="G377" i="7" s="1" a="1"/>
  <c r="G377" i="7" s="1"/>
  <c r="G376" i="7" a="1"/>
  <c r="G376" i="7" s="1"/>
  <c r="F376" i="7"/>
  <c r="F375" i="7"/>
  <c r="G375" i="7" s="1" a="1"/>
  <c r="G375" i="7" s="1"/>
  <c r="G374" i="7" a="1"/>
  <c r="G374" i="7" s="1"/>
  <c r="F374" i="7"/>
  <c r="G373" i="7" a="1"/>
  <c r="G373" i="7" s="1"/>
  <c r="F373" i="7"/>
  <c r="F372" i="7"/>
  <c r="G372" i="7" s="1" a="1"/>
  <c r="G372" i="7" s="1"/>
  <c r="G371" i="7" a="1"/>
  <c r="G371" i="7" s="1"/>
  <c r="F371" i="7"/>
  <c r="F370" i="7"/>
  <c r="G370" i="7" s="1" a="1"/>
  <c r="G370" i="7" s="1"/>
  <c r="F369" i="7"/>
  <c r="G369" i="7" s="1" a="1"/>
  <c r="G369" i="7" s="1"/>
  <c r="G368" i="7" a="1"/>
  <c r="G368" i="7" s="1"/>
  <c r="F368" i="7"/>
  <c r="F367" i="7"/>
  <c r="G367" i="7" s="1" a="1"/>
  <c r="G367" i="7" s="1"/>
  <c r="G366" i="7" a="1"/>
  <c r="G366" i="7" s="1"/>
  <c r="F366" i="7"/>
  <c r="F365" i="7"/>
  <c r="G365" i="7" s="1" a="1"/>
  <c r="G365" i="7" s="1"/>
  <c r="G364" i="7" a="1"/>
  <c r="G364" i="7" s="1"/>
  <c r="F364" i="7"/>
  <c r="G363" i="7" a="1"/>
  <c r="G363" i="7" s="1"/>
  <c r="F363" i="7"/>
  <c r="F362" i="7"/>
  <c r="G362" i="7" s="1" a="1"/>
  <c r="G362" i="7" s="1"/>
  <c r="G361" i="7" a="1"/>
  <c r="G361" i="7" s="1"/>
  <c r="F361" i="7"/>
  <c r="F360" i="7"/>
  <c r="G360" i="7" s="1" a="1"/>
  <c r="G360" i="7" s="1"/>
  <c r="F359" i="7"/>
  <c r="G359" i="7" s="1" a="1"/>
  <c r="G359" i="7" s="1"/>
  <c r="G358" i="7" a="1"/>
  <c r="G358" i="7"/>
  <c r="F358" i="7"/>
  <c r="F357" i="7"/>
  <c r="G357" i="7" s="1" a="1"/>
  <c r="G357" i="7" s="1"/>
  <c r="G356" i="7" a="1"/>
  <c r="G356" i="7" s="1"/>
  <c r="F356" i="7"/>
  <c r="F355" i="7"/>
  <c r="G355" i="7" s="1" a="1"/>
  <c r="G355" i="7" s="1"/>
  <c r="G354" i="7" a="1"/>
  <c r="G354" i="7" s="1"/>
  <c r="F354" i="7"/>
  <c r="G353" i="7" a="1"/>
  <c r="G353" i="7" s="1"/>
  <c r="F353" i="7"/>
  <c r="F352" i="7"/>
  <c r="G352" i="7" s="1" a="1"/>
  <c r="G352" i="7" s="1"/>
  <c r="G351" i="7" a="1"/>
  <c r="G351" i="7" s="1"/>
  <c r="F351" i="7"/>
  <c r="F350" i="7"/>
  <c r="G350" i="7" s="1" a="1"/>
  <c r="G350" i="7" s="1"/>
  <c r="F349" i="7"/>
  <c r="G349" i="7" s="1" a="1"/>
  <c r="G349" i="7" s="1"/>
  <c r="G348" i="7" a="1"/>
  <c r="G348" i="7" s="1"/>
  <c r="F348" i="7"/>
  <c r="F347" i="7"/>
  <c r="G347" i="7" s="1" a="1"/>
  <c r="G347" i="7" s="1"/>
  <c r="G346" i="7" a="1"/>
  <c r="G346" i="7" s="1"/>
  <c r="F346" i="7"/>
  <c r="F345" i="7"/>
  <c r="G345" i="7" s="1" a="1"/>
  <c r="G345" i="7" s="1"/>
  <c r="G344" i="7" a="1"/>
  <c r="G344" i="7" s="1"/>
  <c r="F344" i="7"/>
  <c r="G343" i="7" a="1"/>
  <c r="G343" i="7" s="1"/>
  <c r="F343" i="7"/>
  <c r="F342" i="7"/>
  <c r="G342" i="7" s="1" a="1"/>
  <c r="G342" i="7" s="1"/>
  <c r="G341" i="7" a="1"/>
  <c r="G341" i="7" s="1"/>
  <c r="F341" i="7"/>
  <c r="F340" i="7"/>
  <c r="G340" i="7" s="1" a="1"/>
  <c r="G340" i="7" s="1"/>
  <c r="G339" i="7" a="1"/>
  <c r="G339" i="7" s="1"/>
  <c r="F339" i="7"/>
  <c r="G338" i="7" a="1"/>
  <c r="G338" i="7" s="1"/>
  <c r="F338" i="7"/>
  <c r="G337" i="7" a="1"/>
  <c r="G337" i="7" s="1"/>
  <c r="F337" i="7"/>
  <c r="G336" i="7" a="1"/>
  <c r="G336" i="7" s="1"/>
  <c r="F336" i="7"/>
  <c r="G335" i="7" a="1"/>
  <c r="G335" i="7" s="1"/>
  <c r="F335" i="7"/>
  <c r="G334" i="7" a="1"/>
  <c r="G334" i="7" s="1"/>
  <c r="F334" i="7"/>
  <c r="G333" i="7" a="1"/>
  <c r="G333" i="7" s="1"/>
  <c r="F333" i="7"/>
  <c r="G332" i="7" a="1"/>
  <c r="G332" i="7"/>
  <c r="F332" i="7"/>
  <c r="G331" i="7" a="1"/>
  <c r="G331" i="7" s="1"/>
  <c r="F331" i="7"/>
  <c r="G330" i="7" a="1"/>
  <c r="G330" i="7" s="1"/>
  <c r="F330" i="7"/>
  <c r="G329" i="7" a="1"/>
  <c r="G329" i="7" s="1"/>
  <c r="F329" i="7"/>
  <c r="G328" i="7" a="1"/>
  <c r="G328" i="7" s="1"/>
  <c r="F328" i="7"/>
  <c r="G327" i="7" a="1"/>
  <c r="G327" i="7" s="1"/>
  <c r="F327" i="7"/>
  <c r="G326" i="7" a="1"/>
  <c r="G326" i="7" s="1"/>
  <c r="F326" i="7"/>
  <c r="G325" i="7" a="1"/>
  <c r="G325" i="7" s="1"/>
  <c r="F325" i="7"/>
  <c r="G324" i="7" a="1"/>
  <c r="G324" i="7" s="1"/>
  <c r="F324" i="7"/>
  <c r="G323" i="7" a="1"/>
  <c r="G323" i="7" s="1"/>
  <c r="F323" i="7"/>
  <c r="G322" i="7" a="1"/>
  <c r="G322" i="7"/>
  <c r="F322" i="7"/>
  <c r="G321" i="7" a="1"/>
  <c r="G321" i="7" s="1"/>
  <c r="F321" i="7"/>
  <c r="G320" i="7" a="1"/>
  <c r="G320" i="7" s="1"/>
  <c r="F320" i="7"/>
  <c r="G319" i="7" a="1"/>
  <c r="G319" i="7" s="1"/>
  <c r="F319" i="7"/>
  <c r="G318" i="7" a="1"/>
  <c r="G318" i="7" s="1"/>
  <c r="F318" i="7"/>
  <c r="G317" i="7" a="1"/>
  <c r="G317" i="7" s="1"/>
  <c r="F317" i="7"/>
  <c r="G316" i="7" a="1"/>
  <c r="G316" i="7" s="1"/>
  <c r="F316" i="7"/>
  <c r="G315" i="7" a="1"/>
  <c r="G315" i="7"/>
  <c r="F315" i="7"/>
  <c r="G314" i="7" a="1"/>
  <c r="G314" i="7" s="1"/>
  <c r="F314" i="7"/>
  <c r="G313" i="7" a="1"/>
  <c r="G313" i="7" s="1"/>
  <c r="F313" i="7"/>
  <c r="G312" i="7" a="1"/>
  <c r="G312" i="7"/>
  <c r="F312" i="7"/>
  <c r="G311" i="7" a="1"/>
  <c r="G311" i="7" s="1"/>
  <c r="F311" i="7"/>
  <c r="G310" i="7" a="1"/>
  <c r="G310" i="7"/>
  <c r="F310" i="7"/>
  <c r="G309" i="7" a="1"/>
  <c r="G309" i="7" s="1"/>
  <c r="F309" i="7"/>
  <c r="G308" i="7" a="1"/>
  <c r="G308" i="7" s="1"/>
  <c r="F308" i="7"/>
  <c r="G307" i="7" a="1"/>
  <c r="G307" i="7" s="1"/>
  <c r="F307" i="7"/>
  <c r="G306" i="7" a="1"/>
  <c r="G306" i="7"/>
  <c r="F306" i="7"/>
  <c r="G305" i="7" a="1"/>
  <c r="G305" i="7"/>
  <c r="F305" i="7"/>
  <c r="G304" i="7" a="1"/>
  <c r="G304" i="7"/>
  <c r="F304" i="7"/>
  <c r="G303" i="7" a="1"/>
  <c r="G303" i="7" s="1"/>
  <c r="F303" i="7"/>
  <c r="G302" i="7" a="1"/>
  <c r="G302" i="7" s="1"/>
  <c r="F302" i="7"/>
  <c r="G301" i="7" a="1"/>
  <c r="G301" i="7" s="1"/>
  <c r="F301" i="7"/>
  <c r="G300" i="7" a="1"/>
  <c r="G300" i="7"/>
  <c r="F300" i="7"/>
  <c r="G299" i="7" a="1"/>
  <c r="G299" i="7" s="1"/>
  <c r="F299" i="7"/>
  <c r="G298" i="7" a="1"/>
  <c r="G298" i="7" s="1"/>
  <c r="F298" i="7"/>
  <c r="G297" i="7" a="1"/>
  <c r="G297" i="7"/>
  <c r="F297" i="7"/>
  <c r="G296" i="7" a="1"/>
  <c r="G296" i="7"/>
  <c r="F296" i="7"/>
  <c r="G295" i="7" a="1"/>
  <c r="G295" i="7" s="1"/>
  <c r="F295" i="7"/>
  <c r="G294" i="7" a="1"/>
  <c r="G294" i="7" s="1"/>
  <c r="F294" i="7"/>
  <c r="G293" i="7" a="1"/>
  <c r="G293" i="7"/>
  <c r="F293" i="7"/>
  <c r="G292" i="7" a="1"/>
  <c r="G292" i="7" s="1"/>
  <c r="F292" i="7"/>
  <c r="G291" i="7" a="1"/>
  <c r="G291" i="7" s="1"/>
  <c r="F291" i="7"/>
  <c r="G290" i="7" a="1"/>
  <c r="G290" i="7"/>
  <c r="F290" i="7"/>
  <c r="G289" i="7" a="1"/>
  <c r="G289" i="7" s="1"/>
  <c r="F289" i="7"/>
  <c r="G288" i="7" a="1"/>
  <c r="G288" i="7" s="1"/>
  <c r="F288" i="7"/>
  <c r="G287" i="7" a="1"/>
  <c r="G287" i="7"/>
  <c r="F287" i="7"/>
  <c r="G286" i="7" a="1"/>
  <c r="G286" i="7"/>
  <c r="F286" i="7"/>
  <c r="G285" i="7" a="1"/>
  <c r="G285" i="7"/>
  <c r="F285" i="7"/>
  <c r="G284" i="7" a="1"/>
  <c r="G284" i="7" s="1"/>
  <c r="F284" i="7"/>
  <c r="G283" i="7" a="1"/>
  <c r="G283" i="7" s="1"/>
  <c r="F283" i="7"/>
  <c r="G282" i="7" a="1"/>
  <c r="G282" i="7" s="1"/>
  <c r="F282" i="7"/>
  <c r="G281" i="7" a="1"/>
  <c r="G281" i="7" s="1"/>
  <c r="F281" i="7"/>
  <c r="G280" i="7" a="1"/>
  <c r="G280" i="7" s="1"/>
  <c r="F280" i="7"/>
  <c r="G279" i="7" a="1"/>
  <c r="G279" i="7" s="1"/>
  <c r="F279" i="7"/>
  <c r="G278" i="7" a="1"/>
  <c r="G278" i="7" s="1"/>
  <c r="F278" i="7"/>
  <c r="G277" i="7" a="1"/>
  <c r="G277" i="7" s="1"/>
  <c r="F277" i="7"/>
  <c r="G276" i="7" a="1"/>
  <c r="G276" i="7" s="1"/>
  <c r="F276" i="7"/>
  <c r="G275" i="7" a="1"/>
  <c r="G275" i="7" s="1"/>
  <c r="F275" i="7"/>
  <c r="G274" i="7" a="1"/>
  <c r="G274" i="7" s="1"/>
  <c r="F274" i="7"/>
  <c r="G273" i="7" a="1"/>
  <c r="G273" i="7" s="1"/>
  <c r="F273" i="7"/>
  <c r="G272" i="7" a="1"/>
  <c r="G272" i="7"/>
  <c r="F272" i="7"/>
  <c r="G271" i="7" a="1"/>
  <c r="G271" i="7" s="1"/>
  <c r="F271" i="7"/>
  <c r="G270" i="7" a="1"/>
  <c r="G270" i="7" s="1"/>
  <c r="F270" i="7"/>
  <c r="G269" i="7" a="1"/>
  <c r="G269" i="7" s="1"/>
  <c r="F269" i="7"/>
  <c r="G268" i="7" a="1"/>
  <c r="G268" i="7" s="1"/>
  <c r="F268" i="7"/>
  <c r="G267" i="7" a="1"/>
  <c r="G267" i="7" s="1"/>
  <c r="F267" i="7"/>
  <c r="G266" i="7" a="1"/>
  <c r="G266" i="7" s="1"/>
  <c r="F266" i="7"/>
  <c r="G265" i="7" a="1"/>
  <c r="G265" i="7"/>
  <c r="F265" i="7"/>
  <c r="G264" i="7" a="1"/>
  <c r="G264" i="7" s="1"/>
  <c r="F264" i="7"/>
  <c r="G263" i="7" a="1"/>
  <c r="G263" i="7" s="1"/>
  <c r="F263" i="7"/>
  <c r="G262" i="7" a="1"/>
  <c r="G262" i="7"/>
  <c r="F262" i="7"/>
  <c r="G261" i="7" a="1"/>
  <c r="G261" i="7" s="1"/>
  <c r="F261" i="7"/>
  <c r="G260" i="7" a="1"/>
  <c r="G260" i="7"/>
  <c r="F260" i="7"/>
  <c r="G259" i="7" a="1"/>
  <c r="G259" i="7" s="1"/>
  <c r="F259" i="7"/>
  <c r="G258" i="7" a="1"/>
  <c r="G258" i="7" s="1"/>
  <c r="F258" i="7"/>
  <c r="G257" i="7" a="1"/>
  <c r="G257" i="7" s="1"/>
  <c r="F257" i="7"/>
  <c r="G256" i="7" a="1"/>
  <c r="G256" i="7" s="1"/>
  <c r="F256" i="7"/>
  <c r="G255" i="7" a="1"/>
  <c r="G255" i="7"/>
  <c r="F255" i="7"/>
  <c r="G254" i="7" a="1"/>
  <c r="G254" i="7"/>
  <c r="F254" i="7"/>
  <c r="G253" i="7" a="1"/>
  <c r="G253" i="7" s="1"/>
  <c r="F253" i="7"/>
  <c r="G252" i="7" a="1"/>
  <c r="G252" i="7" s="1"/>
  <c r="F252" i="7"/>
  <c r="G251" i="7" a="1"/>
  <c r="G251" i="7" s="1"/>
  <c r="F251" i="7"/>
  <c r="G250" i="7" a="1"/>
  <c r="G250" i="7"/>
  <c r="F250" i="7"/>
  <c r="G249" i="7" a="1"/>
  <c r="G249" i="7" s="1"/>
  <c r="F249" i="7"/>
  <c r="G248" i="7" a="1"/>
  <c r="G248" i="7" s="1"/>
  <c r="F248" i="7"/>
  <c r="G247" i="7" a="1"/>
  <c r="G247" i="7" s="1"/>
  <c r="F247" i="7"/>
  <c r="G246" i="7" a="1"/>
  <c r="G246" i="7" s="1"/>
  <c r="F246" i="7"/>
  <c r="G245" i="7" a="1"/>
  <c r="G245" i="7" s="1"/>
  <c r="F245" i="7"/>
  <c r="G244" i="7" a="1"/>
  <c r="G244" i="7" s="1"/>
  <c r="F244" i="7"/>
  <c r="G243" i="7" a="1"/>
  <c r="G243" i="7"/>
  <c r="F243" i="7"/>
  <c r="G242" i="7" a="1"/>
  <c r="G242" i="7" s="1"/>
  <c r="F242" i="7"/>
  <c r="G241" i="7" a="1"/>
  <c r="G241" i="7" s="1"/>
  <c r="F241" i="7"/>
  <c r="G240" i="7" a="1"/>
  <c r="G240" i="7" s="1"/>
  <c r="F240" i="7"/>
  <c r="G239" i="7" a="1"/>
  <c r="G239" i="7" s="1"/>
  <c r="F239" i="7"/>
  <c r="G238" i="7" a="1"/>
  <c r="G238" i="7" s="1"/>
  <c r="F238" i="7"/>
  <c r="G237" i="7" a="1"/>
  <c r="G237" i="7" s="1"/>
  <c r="F237" i="7"/>
  <c r="G236" i="7" a="1"/>
  <c r="G236" i="7" s="1"/>
  <c r="F236" i="7"/>
  <c r="G235" i="7" a="1"/>
  <c r="G235" i="7" s="1"/>
  <c r="F235" i="7"/>
  <c r="G234" i="7" a="1"/>
  <c r="G234" i="7"/>
  <c r="F234" i="7"/>
  <c r="G233" i="7" a="1"/>
  <c r="G233" i="7" s="1"/>
  <c r="F233" i="7"/>
  <c r="G232" i="7" a="1"/>
  <c r="G232" i="7" s="1"/>
  <c r="F232" i="7"/>
  <c r="G231" i="7" a="1"/>
  <c r="G231" i="7"/>
  <c r="F231" i="7"/>
  <c r="G230" i="7" a="1"/>
  <c r="G230" i="7"/>
  <c r="F230" i="7"/>
  <c r="G229" i="7" a="1"/>
  <c r="G229" i="7" s="1"/>
  <c r="F229" i="7"/>
  <c r="G228" i="7" a="1"/>
  <c r="G228" i="7" s="1"/>
  <c r="F228" i="7"/>
  <c r="G227" i="7" a="1"/>
  <c r="G227" i="7"/>
  <c r="F227" i="7"/>
  <c r="G226" i="7" a="1"/>
  <c r="G226" i="7"/>
  <c r="F226" i="7"/>
  <c r="G225" i="7" a="1"/>
  <c r="G225" i="7" s="1"/>
  <c r="F225" i="7"/>
  <c r="G224" i="7" a="1"/>
  <c r="G224" i="7" s="1"/>
  <c r="F224" i="7"/>
  <c r="G223" i="7" a="1"/>
  <c r="G223" i="7"/>
  <c r="F223" i="7"/>
  <c r="G222" i="7" a="1"/>
  <c r="G222" i="7" s="1"/>
  <c r="F222" i="7"/>
  <c r="G221" i="7" a="1"/>
  <c r="G221" i="7"/>
  <c r="F221" i="7"/>
  <c r="G220" i="7" a="1"/>
  <c r="G220" i="7"/>
  <c r="F220" i="7"/>
  <c r="G219" i="7" a="1"/>
  <c r="G219" i="7" s="1"/>
  <c r="F219" i="7"/>
  <c r="G218" i="7" a="1"/>
  <c r="G218" i="7" s="1"/>
  <c r="F218" i="7"/>
  <c r="G217" i="7" a="1"/>
  <c r="G217" i="7" s="1"/>
  <c r="F217" i="7"/>
  <c r="G216" i="7" a="1"/>
  <c r="G216" i="7" s="1"/>
  <c r="F216" i="7"/>
  <c r="G215" i="7" a="1"/>
  <c r="G215" i="7"/>
  <c r="F215" i="7"/>
  <c r="G214" i="7" a="1"/>
  <c r="G214" i="7" s="1"/>
  <c r="F214" i="7"/>
  <c r="G213" i="7" a="1"/>
  <c r="G213" i="7" s="1"/>
  <c r="F213" i="7"/>
  <c r="G212" i="7" a="1"/>
  <c r="G212" i="7" s="1"/>
  <c r="F212" i="7"/>
  <c r="G211" i="7" a="1"/>
  <c r="G211" i="7"/>
  <c r="F211" i="7"/>
  <c r="G210" i="7" a="1"/>
  <c r="G210" i="7" s="1"/>
  <c r="F210" i="7"/>
  <c r="G209" i="7" a="1"/>
  <c r="G209" i="7" s="1"/>
  <c r="F209" i="7"/>
  <c r="G208" i="7" a="1"/>
  <c r="G208" i="7" s="1"/>
  <c r="F208" i="7"/>
  <c r="G207" i="7" a="1"/>
  <c r="G207" i="7" s="1"/>
  <c r="F207" i="7"/>
  <c r="G206" i="7" a="1"/>
  <c r="G206" i="7" s="1"/>
  <c r="F206" i="7"/>
  <c r="G205" i="7" a="1"/>
  <c r="G205" i="7" s="1"/>
  <c r="F205" i="7"/>
  <c r="G204" i="7" a="1"/>
  <c r="G204" i="7" s="1"/>
  <c r="F204" i="7"/>
  <c r="G203" i="7" a="1"/>
  <c r="G203" i="7" s="1"/>
  <c r="F203" i="7"/>
  <c r="G202" i="7" a="1"/>
  <c r="G202" i="7" s="1"/>
  <c r="F202" i="7"/>
  <c r="G201" i="7" a="1"/>
  <c r="G201" i="7" s="1"/>
  <c r="F201" i="7"/>
  <c r="G200" i="7" a="1"/>
  <c r="G200" i="7" s="1"/>
  <c r="F200" i="7"/>
  <c r="G199" i="7" a="1"/>
  <c r="G199" i="7" s="1"/>
  <c r="F199" i="7"/>
  <c r="G198" i="7" a="1"/>
  <c r="G198" i="7" s="1"/>
  <c r="F198" i="7"/>
  <c r="G197" i="7" a="1"/>
  <c r="G197" i="7" s="1"/>
  <c r="F197" i="7"/>
  <c r="G196" i="7" a="1"/>
  <c r="G196" i="7" s="1"/>
  <c r="F196" i="7"/>
  <c r="G195" i="7" a="1"/>
  <c r="G195" i="7" s="1"/>
  <c r="F195" i="7"/>
  <c r="G194" i="7" a="1"/>
  <c r="G194" i="7"/>
  <c r="F194" i="7"/>
  <c r="G193" i="7" a="1"/>
  <c r="G193" i="7" s="1"/>
  <c r="F193" i="7"/>
  <c r="G192" i="7" a="1"/>
  <c r="G192" i="7" s="1"/>
  <c r="F192" i="7"/>
  <c r="G191" i="7" a="1"/>
  <c r="G191" i="7"/>
  <c r="F191" i="7"/>
  <c r="G190" i="7" a="1"/>
  <c r="G190" i="7" s="1"/>
  <c r="F190" i="7"/>
  <c r="G189" i="7" a="1"/>
  <c r="G189" i="7" s="1"/>
  <c r="F189" i="7"/>
  <c r="G188" i="7" a="1"/>
  <c r="G188" i="7" s="1"/>
  <c r="F188" i="7"/>
  <c r="G187" i="7" a="1"/>
  <c r="G187" i="7" s="1"/>
  <c r="F187" i="7"/>
  <c r="G186" i="7" a="1"/>
  <c r="G186" i="7" s="1"/>
  <c r="F186" i="7"/>
  <c r="G185" i="7" a="1"/>
  <c r="G185" i="7" s="1"/>
  <c r="F185" i="7"/>
  <c r="G184" i="7" a="1"/>
  <c r="G184" i="7" s="1"/>
  <c r="F184" i="7"/>
  <c r="G183" i="7" a="1"/>
  <c r="G183" i="7"/>
  <c r="F183" i="7"/>
  <c r="G182" i="7" a="1"/>
  <c r="G182" i="7" s="1"/>
  <c r="F182" i="7"/>
  <c r="G181" i="7" a="1"/>
  <c r="G181" i="7" s="1"/>
  <c r="F181" i="7"/>
  <c r="G180" i="7" a="1"/>
  <c r="G180" i="7" s="1"/>
  <c r="F180" i="7"/>
  <c r="G179" i="7" a="1"/>
  <c r="G179" i="7" s="1"/>
  <c r="F179" i="7"/>
  <c r="G178" i="7" a="1"/>
  <c r="G178" i="7" s="1"/>
  <c r="F178" i="7"/>
  <c r="G177" i="7" a="1"/>
  <c r="G177" i="7" s="1"/>
  <c r="F177" i="7"/>
  <c r="G176" i="7" a="1"/>
  <c r="G176" i="7" s="1"/>
  <c r="F176" i="7"/>
  <c r="G175" i="7" a="1"/>
  <c r="G175" i="7" s="1"/>
  <c r="F175" i="7"/>
  <c r="G174" i="7" a="1"/>
  <c r="G174" i="7" s="1"/>
  <c r="F174" i="7"/>
  <c r="G173" i="7" a="1"/>
  <c r="G173" i="7" s="1"/>
  <c r="F173" i="7"/>
  <c r="G172" i="7" a="1"/>
  <c r="G172" i="7" s="1"/>
  <c r="F172" i="7"/>
  <c r="G171" i="7" a="1"/>
  <c r="G171" i="7" s="1"/>
  <c r="F171" i="7"/>
  <c r="G170" i="7" a="1"/>
  <c r="G170" i="7" s="1"/>
  <c r="F170" i="7"/>
  <c r="G169" i="7" a="1"/>
  <c r="G169" i="7" s="1"/>
  <c r="F169" i="7"/>
  <c r="G168" i="7" a="1"/>
  <c r="G168" i="7" s="1"/>
  <c r="F168" i="7"/>
  <c r="G167" i="7" a="1"/>
  <c r="G167" i="7" s="1"/>
  <c r="F167" i="7"/>
  <c r="G166" i="7" a="1"/>
  <c r="G166" i="7" s="1"/>
  <c r="F166" i="7"/>
  <c r="G165" i="7" a="1"/>
  <c r="G165" i="7"/>
  <c r="F165" i="7"/>
  <c r="G164" i="7" a="1"/>
  <c r="G164" i="7"/>
  <c r="F164" i="7"/>
  <c r="G163" i="7" a="1"/>
  <c r="G163" i="7" s="1"/>
  <c r="F163" i="7"/>
  <c r="G162" i="7" a="1"/>
  <c r="G162" i="7" s="1"/>
  <c r="F162" i="7"/>
  <c r="G161" i="7" a="1"/>
  <c r="G161" i="7"/>
  <c r="F161" i="7"/>
  <c r="G160" i="7" a="1"/>
  <c r="G160" i="7"/>
  <c r="F160" i="7"/>
  <c r="G159" i="7" a="1"/>
  <c r="G159" i="7" s="1"/>
  <c r="F159" i="7"/>
  <c r="G158" i="7" a="1"/>
  <c r="G158" i="7" s="1"/>
  <c r="F158" i="7"/>
  <c r="G157" i="7" a="1"/>
  <c r="G157" i="7"/>
  <c r="F157" i="7"/>
  <c r="G156" i="7" a="1"/>
  <c r="G156" i="7"/>
  <c r="F156" i="7"/>
  <c r="G155" i="7" a="1"/>
  <c r="G155" i="7"/>
  <c r="F155" i="7"/>
  <c r="G154" i="7" a="1"/>
  <c r="G154" i="7" s="1"/>
  <c r="F154" i="7"/>
  <c r="G153" i="7" a="1"/>
  <c r="G153" i="7" s="1"/>
  <c r="F153" i="7"/>
  <c r="G152" i="7" a="1"/>
  <c r="G152" i="7" s="1"/>
  <c r="F152" i="7"/>
  <c r="G151" i="7" a="1"/>
  <c r="G151" i="7"/>
  <c r="F151" i="7"/>
  <c r="G150" i="7" a="1"/>
  <c r="G150" i="7" s="1"/>
  <c r="F150" i="7"/>
  <c r="G149" i="7" a="1"/>
  <c r="G149" i="7" s="1"/>
  <c r="F149" i="7"/>
  <c r="G148" i="7" a="1"/>
  <c r="G148" i="7" s="1"/>
  <c r="F148" i="7"/>
  <c r="G147" i="7" a="1"/>
  <c r="G147" i="7" s="1"/>
  <c r="F147" i="7"/>
  <c r="G146" i="7" a="1"/>
  <c r="G146" i="7" s="1"/>
  <c r="F146" i="7"/>
  <c r="G145" i="7" a="1"/>
  <c r="G145" i="7" s="1"/>
  <c r="F145" i="7"/>
  <c r="G144" i="7" a="1"/>
  <c r="G144" i="7" s="1"/>
  <c r="F144" i="7"/>
  <c r="G143" i="7" a="1"/>
  <c r="G143" i="7" s="1"/>
  <c r="F143" i="7"/>
  <c r="G142" i="7" a="1"/>
  <c r="G142" i="7" s="1"/>
  <c r="F142" i="7"/>
  <c r="G141" i="7" a="1"/>
  <c r="G141" i="7" s="1"/>
  <c r="F141" i="7"/>
  <c r="G140" i="7" a="1"/>
  <c r="G140" i="7" s="1"/>
  <c r="F140" i="7"/>
  <c r="G139" i="7" a="1"/>
  <c r="G139" i="7" s="1"/>
  <c r="F139" i="7"/>
  <c r="G138" i="7" a="1"/>
  <c r="G138" i="7" s="1"/>
  <c r="F138" i="7"/>
  <c r="G137" i="7" a="1"/>
  <c r="G137" i="7" s="1"/>
  <c r="F137" i="7"/>
  <c r="G136" i="7" a="1"/>
  <c r="G136" i="7" s="1"/>
  <c r="F136" i="7"/>
  <c r="G135" i="7" a="1"/>
  <c r="G135" i="7"/>
  <c r="F135" i="7"/>
  <c r="G134" i="7" a="1"/>
  <c r="G134" i="7" s="1"/>
  <c r="F134" i="7"/>
  <c r="G133" i="7" a="1"/>
  <c r="G133" i="7" s="1"/>
  <c r="F133" i="7"/>
  <c r="G132" i="7" a="1"/>
  <c r="G132" i="7" s="1"/>
  <c r="F132" i="7"/>
  <c r="G131" i="7" a="1"/>
  <c r="G131" i="7" s="1"/>
  <c r="F131" i="7"/>
  <c r="G130" i="7" a="1"/>
  <c r="G130" i="7" s="1"/>
  <c r="F130" i="7"/>
  <c r="G129" i="7" a="1"/>
  <c r="G129" i="7" s="1"/>
  <c r="F129" i="7"/>
  <c r="G128" i="7" a="1"/>
  <c r="G128" i="7" s="1"/>
  <c r="F128" i="7"/>
  <c r="G127" i="7" a="1"/>
  <c r="G127" i="7" s="1"/>
  <c r="F127" i="7"/>
  <c r="G126" i="7" a="1"/>
  <c r="G126" i="7" s="1"/>
  <c r="F126" i="7"/>
  <c r="G125" i="7" a="1"/>
  <c r="G125" i="7"/>
  <c r="F125" i="7"/>
  <c r="G124" i="7" a="1"/>
  <c r="G124" i="7"/>
  <c r="F124" i="7"/>
  <c r="G123" i="7" a="1"/>
  <c r="G123" i="7" s="1"/>
  <c r="F123" i="7"/>
  <c r="G122" i="7" a="1"/>
  <c r="G122" i="7" s="1"/>
  <c r="F122" i="7"/>
  <c r="G121" i="7" a="1"/>
  <c r="G121" i="7" s="1"/>
  <c r="F121" i="7"/>
  <c r="G120" i="7" a="1"/>
  <c r="G120" i="7" s="1"/>
  <c r="F120" i="7"/>
  <c r="G119" i="7" a="1"/>
  <c r="G119" i="7" s="1"/>
  <c r="F119" i="7"/>
  <c r="G118" i="7" a="1"/>
  <c r="G118" i="7" s="1"/>
  <c r="F118" i="7"/>
  <c r="G117" i="7" a="1"/>
  <c r="G117" i="7" s="1"/>
  <c r="F117" i="7"/>
  <c r="G116" i="7" a="1"/>
  <c r="G116" i="7"/>
  <c r="F116" i="7"/>
  <c r="G115" i="7" a="1"/>
  <c r="G115" i="7" s="1"/>
  <c r="F115" i="7"/>
  <c r="G114" i="7" a="1"/>
  <c r="G114" i="7" s="1"/>
  <c r="F114" i="7"/>
  <c r="G113" i="7" a="1"/>
  <c r="G113" i="7"/>
  <c r="F113" i="7"/>
  <c r="G112" i="7" a="1"/>
  <c r="G112" i="7" s="1"/>
  <c r="F112" i="7"/>
  <c r="G111" i="7" a="1"/>
  <c r="G111" i="7" s="1"/>
  <c r="F111" i="7"/>
  <c r="G110" i="7" a="1"/>
  <c r="G110" i="7" s="1"/>
  <c r="F110" i="7"/>
  <c r="G109" i="7" a="1"/>
  <c r="G109" i="7" s="1"/>
  <c r="F109" i="7"/>
  <c r="G108" i="7" a="1"/>
  <c r="G108" i="7" s="1"/>
  <c r="F108" i="7"/>
  <c r="G107" i="7" a="1"/>
  <c r="G107" i="7" s="1"/>
  <c r="F107" i="7"/>
  <c r="G106" i="7" a="1"/>
  <c r="G106" i="7" s="1"/>
  <c r="F106" i="7"/>
  <c r="G105" i="7" a="1"/>
  <c r="G105" i="7"/>
  <c r="F105" i="7"/>
  <c r="G104" i="7" a="1"/>
  <c r="G104" i="7"/>
  <c r="F104" i="7"/>
  <c r="G103" i="7" a="1"/>
  <c r="G103" i="7" s="1"/>
  <c r="F103" i="7"/>
  <c r="G102" i="7" a="1"/>
  <c r="G102" i="7" s="1"/>
  <c r="F102" i="7"/>
  <c r="G101" i="7" a="1"/>
  <c r="G101" i="7"/>
  <c r="F101" i="7"/>
  <c r="G100" i="7" a="1"/>
  <c r="G100" i="7" s="1"/>
  <c r="F100" i="7"/>
  <c r="G99" i="7" a="1"/>
  <c r="G99" i="7" s="1"/>
  <c r="F99" i="7"/>
  <c r="G98" i="7" a="1"/>
  <c r="G98" i="7" s="1"/>
  <c r="F98" i="7"/>
  <c r="G97" i="7" a="1"/>
  <c r="G97" i="7" s="1"/>
  <c r="F97" i="7"/>
  <c r="G96" i="7" a="1"/>
  <c r="G96" i="7"/>
  <c r="F96" i="7"/>
  <c r="G95" i="7" a="1"/>
  <c r="G95" i="7" s="1"/>
  <c r="F95" i="7"/>
  <c r="G94" i="7" a="1"/>
  <c r="G94" i="7" s="1"/>
  <c r="F94" i="7"/>
  <c r="G93" i="7" a="1"/>
  <c r="G93" i="7" s="1"/>
  <c r="F93" i="7"/>
  <c r="G92" i="7" a="1"/>
  <c r="G92" i="7" s="1"/>
  <c r="F92" i="7"/>
  <c r="G91" i="7" a="1"/>
  <c r="G91" i="7" s="1"/>
  <c r="F91" i="7"/>
  <c r="G90" i="7" a="1"/>
  <c r="G90" i="7" s="1"/>
  <c r="F90" i="7"/>
  <c r="G89" i="7" a="1"/>
  <c r="G89" i="7"/>
  <c r="F89" i="7"/>
  <c r="G88" i="7" a="1"/>
  <c r="G88" i="7" s="1"/>
  <c r="F88" i="7"/>
  <c r="G87" i="7" a="1"/>
  <c r="G87" i="7" s="1"/>
  <c r="F87" i="7"/>
  <c r="G86" i="7" a="1"/>
  <c r="G86" i="7" s="1"/>
  <c r="F86" i="7"/>
  <c r="G85" i="7" a="1"/>
  <c r="G85" i="7" s="1"/>
  <c r="F85" i="7"/>
  <c r="G84" i="7" a="1"/>
  <c r="G84" i="7" s="1"/>
  <c r="F84" i="7"/>
  <c r="G83" i="7" a="1"/>
  <c r="G83" i="7"/>
  <c r="F83" i="7"/>
  <c r="G82" i="7" a="1"/>
  <c r="G82" i="7" s="1"/>
  <c r="F82" i="7"/>
  <c r="G81" i="7" a="1"/>
  <c r="G81" i="7"/>
  <c r="F81" i="7"/>
  <c r="G80" i="7" a="1"/>
  <c r="G80" i="7" s="1"/>
  <c r="F80" i="7"/>
  <c r="G79" i="7" a="1"/>
  <c r="G79" i="7" s="1"/>
  <c r="F79" i="7"/>
  <c r="G78" i="7" a="1"/>
  <c r="G78" i="7" s="1"/>
  <c r="F78" i="7"/>
  <c r="G77" i="7" a="1"/>
  <c r="G77" i="7"/>
  <c r="F77" i="7"/>
  <c r="G76" i="7" a="1"/>
  <c r="G76" i="7" s="1"/>
  <c r="F76" i="7"/>
  <c r="G75" i="7" a="1"/>
  <c r="G75" i="7" s="1"/>
  <c r="F75" i="7"/>
  <c r="G74" i="7" a="1"/>
  <c r="G74" i="7" s="1"/>
  <c r="F74" i="7"/>
  <c r="G73" i="7" a="1"/>
  <c r="G73" i="7"/>
  <c r="F73" i="7"/>
  <c r="G72" i="7" a="1"/>
  <c r="G72" i="7" s="1"/>
  <c r="F72" i="7"/>
  <c r="G71" i="7" a="1"/>
  <c r="G71" i="7" s="1"/>
  <c r="F71" i="7"/>
  <c r="G70" i="7" a="1"/>
  <c r="G70" i="7" s="1"/>
  <c r="F70" i="7"/>
  <c r="G69" i="7" a="1"/>
  <c r="G69" i="7" s="1"/>
  <c r="F69" i="7"/>
  <c r="G68" i="7" a="1"/>
  <c r="G68" i="7" s="1"/>
  <c r="F68" i="7"/>
  <c r="G67" i="7" a="1"/>
  <c r="G67" i="7" s="1"/>
  <c r="F67" i="7"/>
  <c r="G66" i="7" a="1"/>
  <c r="G66" i="7"/>
  <c r="F66" i="7"/>
  <c r="G65" i="7" a="1"/>
  <c r="G65" i="7"/>
  <c r="F65" i="7"/>
  <c r="G64" i="7" a="1"/>
  <c r="G64" i="7" s="1"/>
  <c r="F64" i="7"/>
  <c r="G63" i="7" a="1"/>
  <c r="G63" i="7" s="1"/>
  <c r="F63" i="7"/>
  <c r="G62" i="7" a="1"/>
  <c r="G62" i="7" s="1"/>
  <c r="F62" i="7"/>
  <c r="G61" i="7" a="1"/>
  <c r="G61" i="7" s="1"/>
  <c r="F61" i="7"/>
  <c r="G60" i="7" a="1"/>
  <c r="G60" i="7" s="1"/>
  <c r="F60" i="7"/>
  <c r="G59" i="7" a="1"/>
  <c r="G59" i="7" s="1"/>
  <c r="F59" i="7"/>
  <c r="G58" i="7" a="1"/>
  <c r="G58" i="7" s="1"/>
  <c r="F58" i="7"/>
  <c r="G57" i="7" a="1"/>
  <c r="G57" i="7" s="1"/>
  <c r="F57" i="7"/>
  <c r="G56" i="7" a="1"/>
  <c r="G56" i="7" s="1"/>
  <c r="F56" i="7"/>
  <c r="G55" i="7" a="1"/>
  <c r="G55" i="7" s="1"/>
  <c r="F55" i="7"/>
  <c r="G54" i="7" a="1"/>
  <c r="G54" i="7"/>
  <c r="F54" i="7"/>
  <c r="G53" i="7" a="1"/>
  <c r="G53" i="7" s="1"/>
  <c r="F53" i="7"/>
  <c r="G52" i="7" a="1"/>
  <c r="G52" i="7" s="1"/>
  <c r="F52" i="7"/>
  <c r="G51" i="7" a="1"/>
  <c r="G51" i="7" s="1"/>
  <c r="F51" i="7"/>
  <c r="G50" i="7" a="1"/>
  <c r="G50" i="7" s="1"/>
  <c r="F50" i="7"/>
  <c r="G49" i="7" a="1"/>
  <c r="G49" i="7" s="1"/>
  <c r="F49" i="7"/>
  <c r="G48" i="7" a="1"/>
  <c r="G48" i="7" s="1"/>
  <c r="F48" i="7"/>
  <c r="G47" i="7" a="1"/>
  <c r="G47" i="7" s="1"/>
  <c r="F47" i="7"/>
  <c r="G46" i="7" a="1"/>
  <c r="G46" i="7" s="1"/>
  <c r="F46" i="7"/>
  <c r="G45" i="7" a="1"/>
  <c r="G45" i="7" s="1"/>
  <c r="F45" i="7"/>
  <c r="G44" i="7" a="1"/>
  <c r="G44" i="7" s="1"/>
  <c r="F44" i="7"/>
  <c r="G43" i="7" a="1"/>
  <c r="G43" i="7" s="1"/>
  <c r="F43" i="7"/>
  <c r="G42" i="7" a="1"/>
  <c r="G42" i="7" s="1"/>
  <c r="F42" i="7"/>
  <c r="G41" i="7" a="1"/>
  <c r="G41" i="7" s="1"/>
  <c r="F41" i="7"/>
  <c r="G40" i="7" a="1"/>
  <c r="G40" i="7" s="1"/>
  <c r="F40" i="7"/>
  <c r="G39" i="7" a="1"/>
  <c r="G39" i="7"/>
  <c r="F39" i="7"/>
  <c r="G38" i="7" a="1"/>
  <c r="G38" i="7" s="1"/>
  <c r="F38" i="7"/>
  <c r="G37" i="7" a="1"/>
  <c r="G37" i="7" s="1"/>
  <c r="F37" i="7"/>
  <c r="G36" i="7" a="1"/>
  <c r="G36" i="7" s="1"/>
  <c r="F36" i="7"/>
  <c r="G35" i="7" a="1"/>
  <c r="G35" i="7" s="1"/>
  <c r="F35" i="7"/>
  <c r="G34" i="7" a="1"/>
  <c r="G34" i="7" s="1"/>
  <c r="F34" i="7"/>
  <c r="G33" i="7" a="1"/>
  <c r="G33" i="7" s="1"/>
  <c r="F33" i="7"/>
  <c r="G32" i="7" a="1"/>
  <c r="G32" i="7" s="1"/>
  <c r="F32" i="7"/>
  <c r="G31" i="7" a="1"/>
  <c r="G31" i="7"/>
  <c r="F31" i="7"/>
  <c r="G30" i="7" a="1"/>
  <c r="G30" i="7" s="1"/>
  <c r="F30" i="7"/>
  <c r="G29" i="7" a="1"/>
  <c r="G29" i="7" s="1"/>
  <c r="F29" i="7"/>
  <c r="G28" i="7" a="1"/>
  <c r="G28" i="7" s="1"/>
  <c r="F28" i="7"/>
  <c r="G27" i="7" a="1"/>
  <c r="G27" i="7"/>
  <c r="F27" i="7"/>
  <c r="G26" i="7" a="1"/>
  <c r="G26" i="7" s="1"/>
  <c r="F26" i="7"/>
  <c r="G25" i="7" a="1"/>
  <c r="G25" i="7" s="1"/>
  <c r="F25" i="7"/>
  <c r="G24" i="7" a="1"/>
  <c r="G24" i="7" s="1"/>
  <c r="F24" i="7"/>
  <c r="G23" i="7" a="1"/>
  <c r="G23" i="7"/>
  <c r="F23" i="7"/>
  <c r="G22" i="7" a="1"/>
  <c r="G22" i="7" s="1"/>
  <c r="F22" i="7"/>
  <c r="G21" i="7" a="1"/>
  <c r="G21" i="7" s="1"/>
  <c r="F21" i="7"/>
  <c r="G20" i="7" a="1"/>
  <c r="G20" i="7" s="1"/>
  <c r="F20" i="7"/>
  <c r="G19" i="7" a="1"/>
  <c r="G19" i="7" s="1"/>
  <c r="F19" i="7"/>
  <c r="G18" i="7" a="1"/>
  <c r="G18" i="7" s="1"/>
  <c r="F18" i="7"/>
  <c r="G17" i="7" a="1"/>
  <c r="G17" i="7" s="1"/>
  <c r="F17" i="7"/>
  <c r="G16" i="7" a="1"/>
  <c r="G16" i="7"/>
  <c r="F16" i="7"/>
  <c r="G15" i="7" a="1"/>
  <c r="G15" i="7"/>
  <c r="F15" i="7"/>
  <c r="G14" i="7" a="1"/>
  <c r="G14" i="7" s="1"/>
  <c r="F14" i="7"/>
  <c r="G13" i="7" a="1"/>
  <c r="G13" i="7" s="1"/>
  <c r="F13" i="7"/>
  <c r="G12" i="7" a="1"/>
  <c r="G12" i="7" s="1"/>
  <c r="F12" i="7"/>
  <c r="G11" i="7" a="1"/>
  <c r="G11" i="7" s="1"/>
  <c r="F11" i="7"/>
  <c r="G10" i="7" a="1"/>
  <c r="G10" i="7" s="1"/>
  <c r="F10" i="7"/>
  <c r="G9" i="7" a="1"/>
  <c r="G9" i="7" s="1"/>
  <c r="F9" i="7"/>
  <c r="G8" i="7" a="1"/>
  <c r="G8" i="7" s="1"/>
  <c r="F8" i="7"/>
  <c r="G7" i="7" a="1"/>
  <c r="G7" i="7" s="1"/>
  <c r="F7" i="7"/>
  <c r="G6" i="7" a="1"/>
  <c r="G6" i="7" s="1"/>
  <c r="F6" i="7"/>
  <c r="G5" i="7" a="1"/>
  <c r="G5" i="7" s="1"/>
  <c r="F5" i="7"/>
  <c r="G4" i="7" a="1"/>
  <c r="G4" i="7"/>
  <c r="F4" i="7"/>
  <c r="B64" i="5"/>
  <c r="F38" i="5"/>
  <c r="D38" i="5"/>
  <c r="H37" i="5"/>
  <c r="F37" i="5"/>
  <c r="D37" i="5"/>
  <c r="H36" i="5"/>
  <c r="F36" i="5"/>
  <c r="D36" i="5"/>
  <c r="B32" i="5"/>
  <c r="G31" i="5"/>
  <c r="G30" i="5"/>
  <c r="G29" i="5"/>
  <c r="G28" i="5"/>
  <c r="G27" i="5"/>
  <c r="G26" i="5"/>
  <c r="G25" i="5"/>
  <c r="G24" i="5"/>
  <c r="G23" i="5"/>
  <c r="G22" i="5"/>
  <c r="G21" i="5"/>
  <c r="G20" i="5"/>
  <c r="G19" i="5"/>
  <c r="G18" i="5"/>
  <c r="G17" i="5"/>
  <c r="G16" i="5"/>
  <c r="G15" i="5"/>
  <c r="G14" i="5"/>
  <c r="G13" i="5"/>
  <c r="G12" i="5"/>
  <c r="G11" i="5"/>
  <c r="G10" i="5"/>
  <c r="G9" i="5"/>
  <c r="G8" i="5"/>
  <c r="G7" i="5"/>
  <c r="G6" i="5"/>
  <c r="AD131" i="2"/>
  <c r="AD130" i="2"/>
  <c r="AE130" i="2" s="1"/>
  <c r="AD127" i="2"/>
  <c r="AE127" i="2" s="1"/>
  <c r="AD64" i="2"/>
  <c r="AE64" i="2" s="1"/>
  <c r="AD20" i="2"/>
  <c r="AD4" i="2"/>
  <c r="E130" i="10"/>
  <c r="C130" i="10"/>
  <c r="C129" i="10"/>
  <c r="E129" i="10" s="1"/>
  <c r="C128" i="10"/>
  <c r="E128" i="10" s="1"/>
  <c r="C127" i="10"/>
  <c r="E127" i="10" s="1"/>
  <c r="C126" i="10"/>
  <c r="C252" i="8"/>
  <c r="F174" i="4"/>
  <c r="D174" i="4"/>
  <c r="C174" i="4"/>
  <c r="F173" i="4"/>
  <c r="D173" i="4"/>
  <c r="C173" i="4"/>
  <c r="C167" i="4"/>
  <c r="D167" i="4" s="1"/>
  <c r="F167" i="4" s="1"/>
  <c r="F156" i="4"/>
  <c r="D156" i="4"/>
  <c r="C156" i="4"/>
  <c r="F150" i="4"/>
  <c r="D150" i="4"/>
  <c r="C150" i="4"/>
  <c r="F149" i="4"/>
  <c r="D149" i="4"/>
  <c r="C149" i="4"/>
  <c r="F148" i="4"/>
  <c r="D148" i="4"/>
  <c r="C148" i="4"/>
  <c r="F147" i="4"/>
  <c r="D147" i="4"/>
  <c r="C147" i="4"/>
  <c r="F144" i="4"/>
  <c r="D144" i="4"/>
  <c r="C144" i="4"/>
  <c r="F143" i="4"/>
  <c r="D143" i="4"/>
  <c r="C143" i="4"/>
  <c r="F142" i="4"/>
  <c r="D142" i="4"/>
  <c r="C142" i="4"/>
  <c r="F141" i="4"/>
  <c r="D141" i="4"/>
  <c r="C141" i="4"/>
  <c r="G122" i="4"/>
  <c r="B122" i="4"/>
  <c r="D121" i="4"/>
  <c r="C121" i="4"/>
  <c r="D120" i="4"/>
  <c r="C120" i="4"/>
  <c r="D119" i="4"/>
  <c r="C119" i="4"/>
  <c r="G113" i="4"/>
  <c r="B113" i="4"/>
  <c r="D112" i="4"/>
  <c r="C112" i="4"/>
  <c r="D111" i="4"/>
  <c r="C111" i="4"/>
  <c r="D110" i="4"/>
  <c r="C110" i="4"/>
  <c r="G105" i="4"/>
  <c r="F105" i="4"/>
  <c r="E105" i="4"/>
  <c r="F100" i="4"/>
  <c r="E100" i="4"/>
  <c r="F96" i="4"/>
  <c r="E96" i="4"/>
  <c r="F94" i="4"/>
  <c r="E94" i="4"/>
  <c r="F93" i="4"/>
  <c r="E93" i="4"/>
  <c r="F87" i="4"/>
  <c r="E87" i="4"/>
  <c r="F86" i="4"/>
  <c r="E86" i="4"/>
  <c r="F85" i="4"/>
  <c r="E85" i="4"/>
  <c r="F84" i="4"/>
  <c r="E84" i="4"/>
  <c r="F83" i="4"/>
  <c r="E83" i="4"/>
  <c r="F82" i="4"/>
  <c r="E82" i="4"/>
  <c r="F81" i="4"/>
  <c r="E81" i="4"/>
  <c r="F80" i="4"/>
  <c r="E80" i="4"/>
  <c r="F79" i="4"/>
  <c r="E79" i="4"/>
  <c r="F76" i="4"/>
  <c r="E76" i="4"/>
  <c r="F75" i="4"/>
  <c r="E75" i="4"/>
  <c r="F74" i="4"/>
  <c r="E74" i="4"/>
  <c r="F73" i="4"/>
  <c r="E73" i="4"/>
  <c r="F72" i="4"/>
  <c r="E72" i="4"/>
  <c r="F71" i="4"/>
  <c r="E71" i="4"/>
  <c r="F67" i="4"/>
  <c r="E67" i="4"/>
  <c r="C66" i="4"/>
  <c r="F65" i="4"/>
  <c r="E65" i="4"/>
  <c r="C65" i="4"/>
  <c r="B65" i="4"/>
  <c r="C64" i="4"/>
  <c r="F58" i="4"/>
  <c r="E58" i="4"/>
  <c r="B58" i="4"/>
  <c r="F57" i="4"/>
  <c r="F56" i="4"/>
  <c r="F54" i="4"/>
  <c r="E54" i="4"/>
  <c r="B54" i="4"/>
  <c r="G53" i="4"/>
  <c r="F53" i="4"/>
  <c r="D53" i="4"/>
  <c r="B53" i="4"/>
  <c r="F52" i="4"/>
  <c r="F51" i="4"/>
  <c r="E51" i="4"/>
  <c r="D51" i="4"/>
  <c r="F49" i="4"/>
  <c r="F48" i="4"/>
  <c r="E42" i="4" a="1"/>
  <c r="E42" i="4" s="1"/>
  <c r="G41" i="4"/>
  <c r="E41" i="4" a="1"/>
  <c r="E41" i="4" s="1"/>
  <c r="B38" i="4"/>
  <c r="B66" i="4" s="1"/>
  <c r="E66" i="4" s="1"/>
  <c r="B35" i="4"/>
  <c r="C25" i="12" s="1"/>
  <c r="D25" i="12" s="1"/>
  <c r="F25" i="12" s="1"/>
  <c r="B34" i="4"/>
  <c r="B33" i="4"/>
  <c r="B32" i="4"/>
  <c r="B31" i="4" a="1"/>
  <c r="B31" i="4" s="1"/>
  <c r="B30" i="4" a="1"/>
  <c r="B30" i="4" s="1"/>
  <c r="C23" i="12" s="1"/>
  <c r="D23" i="12" s="1"/>
  <c r="F23" i="12" s="1"/>
  <c r="B29" i="4"/>
  <c r="C15" i="12" s="1"/>
  <c r="B28" i="4"/>
  <c r="B27" i="4"/>
  <c r="C13" i="12" s="1"/>
  <c r="D13" i="12" s="1"/>
  <c r="F13" i="12" s="1"/>
  <c r="B26" i="4"/>
  <c r="S154" i="3"/>
  <c r="S153" i="3"/>
  <c r="S155" i="3" s="1"/>
  <c r="S152" i="3"/>
  <c r="Q152" i="3"/>
  <c r="L152" i="3"/>
  <c r="S151" i="3"/>
  <c r="Q151" i="3"/>
  <c r="S150" i="3"/>
  <c r="Q150" i="3"/>
  <c r="S149" i="3"/>
  <c r="Q149" i="3"/>
  <c r="S148" i="3"/>
  <c r="Q148" i="3"/>
  <c r="S147" i="3"/>
  <c r="Q147" i="3"/>
  <c r="S146" i="3"/>
  <c r="Q146" i="3"/>
  <c r="S145" i="3"/>
  <c r="Q145" i="3"/>
  <c r="S144" i="3"/>
  <c r="Q144" i="3"/>
  <c r="S143" i="3"/>
  <c r="Q143" i="3"/>
  <c r="S142" i="3"/>
  <c r="Q142" i="3"/>
  <c r="S141" i="3"/>
  <c r="Q141" i="3"/>
  <c r="S140" i="3"/>
  <c r="Q140" i="3"/>
  <c r="S139" i="3"/>
  <c r="Q139" i="3"/>
  <c r="S138" i="3"/>
  <c r="Q138" i="3"/>
  <c r="S137" i="3"/>
  <c r="Q137" i="3"/>
  <c r="S132" i="3"/>
  <c r="S131" i="3"/>
  <c r="S130" i="3"/>
  <c r="Q130" i="3"/>
  <c r="L130" i="3"/>
  <c r="S129" i="3"/>
  <c r="Q129" i="3"/>
  <c r="S128" i="3"/>
  <c r="Q128" i="3"/>
  <c r="S127" i="3"/>
  <c r="Q127" i="3"/>
  <c r="S126" i="3"/>
  <c r="Q126" i="3"/>
  <c r="S125" i="3"/>
  <c r="Q125" i="3"/>
  <c r="S124" i="3"/>
  <c r="Q124" i="3"/>
  <c r="S123" i="3"/>
  <c r="Q123" i="3"/>
  <c r="S122" i="3"/>
  <c r="Q122" i="3"/>
  <c r="S121" i="3"/>
  <c r="Q121" i="3"/>
  <c r="S120" i="3"/>
  <c r="Q120" i="3"/>
  <c r="T116" i="3"/>
  <c r="Q114" i="3"/>
  <c r="J114" i="3"/>
  <c r="Q113" i="3"/>
  <c r="J113" i="3"/>
  <c r="Q112" i="3"/>
  <c r="J112" i="3"/>
  <c r="Q111" i="3"/>
  <c r="J111" i="3"/>
  <c r="Q110" i="3"/>
  <c r="J110" i="3"/>
  <c r="Q109" i="3"/>
  <c r="J109" i="3"/>
  <c r="Q108" i="3"/>
  <c r="J108" i="3"/>
  <c r="Q107" i="3"/>
  <c r="J107" i="3"/>
  <c r="Q106" i="3"/>
  <c r="J106" i="3"/>
  <c r="Q105" i="3"/>
  <c r="J105" i="3"/>
  <c r="Q104" i="3"/>
  <c r="J104" i="3"/>
  <c r="Q103" i="3"/>
  <c r="J103" i="3"/>
  <c r="Q102" i="3"/>
  <c r="J102" i="3"/>
  <c r="Q101" i="3"/>
  <c r="J101" i="3"/>
  <c r="Q100" i="3"/>
  <c r="J100" i="3"/>
  <c r="Q99" i="3"/>
  <c r="J99" i="3"/>
  <c r="Q98" i="3"/>
  <c r="J98" i="3"/>
  <c r="Q97" i="3"/>
  <c r="J97" i="3"/>
  <c r="Q96" i="3"/>
  <c r="J96" i="3"/>
  <c r="Q95" i="3"/>
  <c r="J95" i="3"/>
  <c r="Q94" i="3"/>
  <c r="J94" i="3"/>
  <c r="Q93" i="3"/>
  <c r="J93" i="3"/>
  <c r="Q92" i="3"/>
  <c r="J92" i="3"/>
  <c r="Q91" i="3"/>
  <c r="J91" i="3"/>
  <c r="Q90" i="3"/>
  <c r="J90" i="3"/>
  <c r="Q89" i="3"/>
  <c r="J89" i="3"/>
  <c r="Q88" i="3"/>
  <c r="J88" i="3"/>
  <c r="Q87" i="3"/>
  <c r="J87" i="3"/>
  <c r="Q86" i="3"/>
  <c r="J86" i="3"/>
  <c r="Q85" i="3"/>
  <c r="J85" i="3"/>
  <c r="Q84" i="3"/>
  <c r="J84" i="3"/>
  <c r="Q83" i="3"/>
  <c r="J83" i="3"/>
  <c r="Q82" i="3"/>
  <c r="J82" i="3"/>
  <c r="Q81" i="3"/>
  <c r="J81" i="3"/>
  <c r="Q80" i="3"/>
  <c r="J80" i="3"/>
  <c r="Q79" i="3"/>
  <c r="J79" i="3"/>
  <c r="Q78" i="3"/>
  <c r="J78" i="3"/>
  <c r="Q77" i="3"/>
  <c r="J77" i="3"/>
  <c r="Q76" i="3"/>
  <c r="J76" i="3"/>
  <c r="Q75" i="3"/>
  <c r="J75" i="3"/>
  <c r="Q74" i="3"/>
  <c r="J74" i="3"/>
  <c r="Q73" i="3"/>
  <c r="J73" i="3"/>
  <c r="Q72" i="3"/>
  <c r="J72" i="3"/>
  <c r="Q71" i="3"/>
  <c r="J71" i="3"/>
  <c r="Q70" i="3"/>
  <c r="J70" i="3"/>
  <c r="Q69" i="3"/>
  <c r="J69" i="3"/>
  <c r="Q68" i="3"/>
  <c r="J68" i="3"/>
  <c r="Q67" i="3"/>
  <c r="J67" i="3"/>
  <c r="Q66" i="3"/>
  <c r="J66" i="3"/>
  <c r="Q65" i="3"/>
  <c r="J65" i="3"/>
  <c r="Q64" i="3"/>
  <c r="J64" i="3"/>
  <c r="Q63" i="3"/>
  <c r="J63" i="3"/>
  <c r="Q62" i="3"/>
  <c r="J62" i="3"/>
  <c r="Q61" i="3"/>
  <c r="J61" i="3"/>
  <c r="Q60" i="3"/>
  <c r="J60" i="3"/>
  <c r="Q59" i="3"/>
  <c r="J59" i="3"/>
  <c r="Q58" i="3"/>
  <c r="J58" i="3"/>
  <c r="Q57" i="3"/>
  <c r="J57" i="3"/>
  <c r="Q56" i="3"/>
  <c r="J56" i="3"/>
  <c r="J55" i="3"/>
  <c r="Q54" i="3"/>
  <c r="J54" i="3"/>
  <c r="Q53" i="3"/>
  <c r="J53" i="3"/>
  <c r="J52" i="3"/>
  <c r="Q51" i="3"/>
  <c r="J51" i="3"/>
  <c r="J50" i="3"/>
  <c r="Q49" i="3"/>
  <c r="J49" i="3"/>
  <c r="Q48" i="3"/>
  <c r="J48" i="3"/>
  <c r="Q47" i="3"/>
  <c r="J47" i="3"/>
  <c r="Q46" i="3"/>
  <c r="J46" i="3"/>
  <c r="Q45" i="3"/>
  <c r="J45" i="3"/>
  <c r="Q44" i="3"/>
  <c r="J44" i="3"/>
  <c r="Q43" i="3"/>
  <c r="J43" i="3"/>
  <c r="Q42" i="3"/>
  <c r="J42" i="3"/>
  <c r="Q41" i="3"/>
  <c r="J41" i="3"/>
  <c r="Q40" i="3"/>
  <c r="J40" i="3"/>
  <c r="Q39" i="3"/>
  <c r="J39" i="3"/>
  <c r="Q38" i="3"/>
  <c r="J38" i="3"/>
  <c r="Q37" i="3"/>
  <c r="J37" i="3"/>
  <c r="Q36" i="3"/>
  <c r="J36" i="3"/>
  <c r="Q35" i="3"/>
  <c r="J35" i="3"/>
  <c r="Q34" i="3"/>
  <c r="J34" i="3"/>
  <c r="Q33" i="3"/>
  <c r="J33" i="3"/>
  <c r="Q32" i="3"/>
  <c r="J32" i="3"/>
  <c r="Q31" i="3"/>
  <c r="J31" i="3"/>
  <c r="J30" i="3"/>
  <c r="Q29" i="3"/>
  <c r="J29" i="3"/>
  <c r="Q28" i="3"/>
  <c r="J28" i="3"/>
  <c r="Q27" i="3"/>
  <c r="J27" i="3"/>
  <c r="Q26" i="3"/>
  <c r="J26" i="3"/>
  <c r="Q25" i="3"/>
  <c r="J25" i="3"/>
  <c r="Q24" i="3"/>
  <c r="J24" i="3"/>
  <c r="Q23" i="3"/>
  <c r="J23" i="3"/>
  <c r="Q22" i="3"/>
  <c r="J22" i="3"/>
  <c r="Q21" i="3"/>
  <c r="J21" i="3"/>
  <c r="Q20" i="3"/>
  <c r="J20" i="3"/>
  <c r="Q19" i="3"/>
  <c r="J19" i="3"/>
  <c r="Q18" i="3"/>
  <c r="J18" i="3"/>
  <c r="Q17" i="3"/>
  <c r="J17" i="3"/>
  <c r="Q16" i="3"/>
  <c r="J16" i="3"/>
  <c r="Q15" i="3"/>
  <c r="J15" i="3"/>
  <c r="Q14" i="3"/>
  <c r="J14" i="3"/>
  <c r="Q13" i="3"/>
  <c r="J13" i="3"/>
  <c r="Q12" i="3"/>
  <c r="J12" i="3"/>
  <c r="Q11" i="3"/>
  <c r="J11" i="3"/>
  <c r="Q10" i="3"/>
  <c r="J10" i="3"/>
  <c r="Q9" i="3"/>
  <c r="J9" i="3"/>
  <c r="Q8" i="3"/>
  <c r="J8" i="3"/>
  <c r="Q7" i="3"/>
  <c r="J7" i="3"/>
  <c r="Q6" i="3"/>
  <c r="J6" i="3"/>
  <c r="Q5" i="3"/>
  <c r="J5" i="3"/>
  <c r="Q4" i="3"/>
  <c r="J4" i="3"/>
  <c r="F34" i="6"/>
  <c r="C34" i="6"/>
  <c r="C33" i="6"/>
  <c r="E32" i="6"/>
  <c r="C32" i="6"/>
  <c r="E31" i="6"/>
  <c r="C31" i="6"/>
  <c r="E30" i="6"/>
  <c r="C30" i="6"/>
  <c r="P189" i="2" a="1"/>
  <c r="P189" i="2"/>
  <c r="O189" i="2" a="1"/>
  <c r="O189" i="2"/>
  <c r="C189" i="2"/>
  <c r="P188" i="2" a="1"/>
  <c r="P188" i="2" s="1"/>
  <c r="O188" i="2" a="1"/>
  <c r="O188" i="2" s="1"/>
  <c r="C188" i="2"/>
  <c r="P187" i="2" a="1"/>
  <c r="P187" i="2" s="1"/>
  <c r="O187" i="2" a="1"/>
  <c r="O187" i="2" s="1"/>
  <c r="B18" i="1" s="1"/>
  <c r="C187" i="2"/>
  <c r="D33" i="6" s="1"/>
  <c r="E33" i="6" s="1"/>
  <c r="AB185" i="2"/>
  <c r="AA185" i="2"/>
  <c r="V185" i="2"/>
  <c r="W185" i="2" s="1"/>
  <c r="R185" i="2"/>
  <c r="S185" i="2" s="1"/>
  <c r="AB184" i="2"/>
  <c r="AA184" i="2"/>
  <c r="V184" i="2"/>
  <c r="W184" i="2" s="1"/>
  <c r="R184" i="2"/>
  <c r="S184" i="2" s="1"/>
  <c r="AB183" i="2"/>
  <c r="AA183" i="2"/>
  <c r="V183" i="2"/>
  <c r="W183" i="2" s="1"/>
  <c r="R183" i="2"/>
  <c r="S183" i="2" s="1"/>
  <c r="AB182" i="2"/>
  <c r="AA182" i="2"/>
  <c r="V182" i="2"/>
  <c r="W182" i="2" s="1"/>
  <c r="R182" i="2"/>
  <c r="S182" i="2" s="1"/>
  <c r="AF181" i="2" a="1"/>
  <c r="AF181" i="2" s="1"/>
  <c r="AD181" i="2"/>
  <c r="AE181" i="2" s="1"/>
  <c r="AB181" i="2"/>
  <c r="AA181" i="2"/>
  <c r="V181" i="2"/>
  <c r="W181" i="2" s="1"/>
  <c r="R181" i="2"/>
  <c r="S181" i="2" s="1"/>
  <c r="AF180" i="2" a="1"/>
  <c r="AF180" i="2" s="1"/>
  <c r="AG180" i="2" s="1"/>
  <c r="AE180" i="2"/>
  <c r="AD180" i="2"/>
  <c r="AB180" i="2"/>
  <c r="AA180" i="2"/>
  <c r="R180" i="2"/>
  <c r="AF179" i="2" a="1"/>
  <c r="AF179" i="2" s="1"/>
  <c r="AD179" i="2"/>
  <c r="AE179" i="2" s="1"/>
  <c r="AB179" i="2"/>
  <c r="AA179" i="2"/>
  <c r="R179" i="2"/>
  <c r="AB178" i="2"/>
  <c r="AA178" i="2"/>
  <c r="V178" i="2"/>
  <c r="W178" i="2" s="1"/>
  <c r="R178" i="2"/>
  <c r="S178" i="2" s="1"/>
  <c r="AB177" i="2"/>
  <c r="AA177" i="2"/>
  <c r="R177" i="2"/>
  <c r="AB176" i="2"/>
  <c r="AA176" i="2"/>
  <c r="R176" i="2"/>
  <c r="AB175" i="2"/>
  <c r="AA175" i="2"/>
  <c r="R175" i="2"/>
  <c r="AB174" i="2"/>
  <c r="AA174" i="2"/>
  <c r="R174" i="2"/>
  <c r="AB173" i="2"/>
  <c r="AA173" i="2"/>
  <c r="R173" i="2"/>
  <c r="AB172" i="2"/>
  <c r="AA172" i="2"/>
  <c r="R172" i="2"/>
  <c r="AB171" i="2"/>
  <c r="AA171" i="2"/>
  <c r="R171" i="2"/>
  <c r="AB170" i="2"/>
  <c r="AA170" i="2"/>
  <c r="R170" i="2"/>
  <c r="AB169" i="2"/>
  <c r="AA169" i="2"/>
  <c r="R169" i="2"/>
  <c r="AB168" i="2"/>
  <c r="AA168" i="2"/>
  <c r="R168" i="2"/>
  <c r="AB167" i="2"/>
  <c r="AA167" i="2"/>
  <c r="R167" i="2"/>
  <c r="AF166" i="2" a="1"/>
  <c r="AF166" i="2" s="1"/>
  <c r="AE166" i="2"/>
  <c r="AD166" i="2"/>
  <c r="AB166" i="2"/>
  <c r="AA166" i="2"/>
  <c r="R166" i="2"/>
  <c r="AF165" i="2" a="1"/>
  <c r="AF165" i="2"/>
  <c r="AD165" i="2"/>
  <c r="AE165" i="2" s="1"/>
  <c r="AB165" i="2"/>
  <c r="AA165" i="2"/>
  <c r="R165" i="2"/>
  <c r="AF164" i="2" a="1"/>
  <c r="AF164" i="2" s="1"/>
  <c r="AD164" i="2"/>
  <c r="AE164" i="2" s="1"/>
  <c r="AB164" i="2"/>
  <c r="AA164" i="2"/>
  <c r="R164" i="2"/>
  <c r="AF163" i="2" a="1"/>
  <c r="AF163" i="2"/>
  <c r="AD163" i="2"/>
  <c r="AE163" i="2" s="1"/>
  <c r="AB163" i="2"/>
  <c r="AA163" i="2"/>
  <c r="R163" i="2"/>
  <c r="AF162" i="2" a="1"/>
  <c r="AF162" i="2" s="1"/>
  <c r="AD162" i="2"/>
  <c r="AE162" i="2" s="1"/>
  <c r="AB162" i="2"/>
  <c r="AA162" i="2"/>
  <c r="R162" i="2"/>
  <c r="AF161" i="2" a="1"/>
  <c r="AF161" i="2" s="1"/>
  <c r="AE161" i="2"/>
  <c r="AG161" i="2" s="1"/>
  <c r="AD161" i="2"/>
  <c r="AB161" i="2"/>
  <c r="AA161" i="2"/>
  <c r="R161" i="2"/>
  <c r="AF160" i="2" a="1"/>
  <c r="AF160" i="2"/>
  <c r="AD160" i="2"/>
  <c r="AE160" i="2" s="1"/>
  <c r="AB160" i="2"/>
  <c r="AA160" i="2"/>
  <c r="R160" i="2"/>
  <c r="AF159" i="2" a="1"/>
  <c r="AF159" i="2" s="1"/>
  <c r="AD159" i="2"/>
  <c r="AE159" i="2" s="1"/>
  <c r="AB159" i="2"/>
  <c r="AA159" i="2"/>
  <c r="R159" i="2"/>
  <c r="AF158" i="2" a="1"/>
  <c r="AF158" i="2"/>
  <c r="AD158" i="2"/>
  <c r="AE158" i="2" s="1"/>
  <c r="AB158" i="2"/>
  <c r="AA158" i="2"/>
  <c r="R158" i="2"/>
  <c r="AF157" i="2" a="1"/>
  <c r="AF157" i="2" s="1"/>
  <c r="AD157" i="2"/>
  <c r="AE157" i="2" s="1"/>
  <c r="AB157" i="2"/>
  <c r="AA157" i="2"/>
  <c r="R157" i="2"/>
  <c r="AF156" i="2" a="1"/>
  <c r="AF156" i="2" s="1"/>
  <c r="AG156" i="2" s="1"/>
  <c r="AE156" i="2"/>
  <c r="AD156" i="2"/>
  <c r="AB156" i="2"/>
  <c r="AA156" i="2"/>
  <c r="R156" i="2"/>
  <c r="AF155" i="2" a="1"/>
  <c r="AF155" i="2"/>
  <c r="AD155" i="2"/>
  <c r="AE155" i="2" s="1"/>
  <c r="AB155" i="2"/>
  <c r="AA155" i="2"/>
  <c r="R155" i="2"/>
  <c r="AF154" i="2" a="1"/>
  <c r="AF154" i="2" s="1"/>
  <c r="AG154" i="2" s="1"/>
  <c r="AD154" i="2"/>
  <c r="AE154" i="2" s="1"/>
  <c r="AB154" i="2"/>
  <c r="AA154" i="2"/>
  <c r="R154" i="2"/>
  <c r="AF153" i="2" a="1"/>
  <c r="AF153" i="2" s="1"/>
  <c r="AD153" i="2"/>
  <c r="AE153" i="2" s="1"/>
  <c r="AB153" i="2"/>
  <c r="AA153" i="2"/>
  <c r="R153" i="2"/>
  <c r="AF152" i="2" a="1"/>
  <c r="AF152" i="2" s="1"/>
  <c r="AD152" i="2"/>
  <c r="AE152" i="2" s="1"/>
  <c r="AB152" i="2"/>
  <c r="AA152" i="2"/>
  <c r="R152" i="2"/>
  <c r="AF151" i="2" a="1"/>
  <c r="AF151" i="2" s="1"/>
  <c r="AG151" i="2" s="1"/>
  <c r="AE151" i="2"/>
  <c r="AD151" i="2"/>
  <c r="AB151" i="2"/>
  <c r="AA151" i="2"/>
  <c r="R151" i="2"/>
  <c r="AF150" i="2" a="1"/>
  <c r="AF150" i="2" s="1"/>
  <c r="AD150" i="2"/>
  <c r="AE150" i="2" s="1"/>
  <c r="AB150" i="2"/>
  <c r="AA150" i="2"/>
  <c r="R150" i="2"/>
  <c r="AF149" i="2" a="1"/>
  <c r="AF149" i="2" s="1"/>
  <c r="AD149" i="2"/>
  <c r="AE149" i="2" s="1"/>
  <c r="AB149" i="2"/>
  <c r="AA149" i="2"/>
  <c r="R149" i="2"/>
  <c r="AF148" i="2" a="1"/>
  <c r="AF148" i="2" s="1"/>
  <c r="AG148" i="2" s="1"/>
  <c r="AD148" i="2"/>
  <c r="AE148" i="2" s="1"/>
  <c r="AB148" i="2"/>
  <c r="AA148" i="2"/>
  <c r="R148" i="2"/>
  <c r="AF147" i="2" a="1"/>
  <c r="AF147" i="2" s="1"/>
  <c r="AD147" i="2"/>
  <c r="AE147" i="2" s="1"/>
  <c r="AB147" i="2"/>
  <c r="AA147" i="2"/>
  <c r="R147" i="2"/>
  <c r="AF146" i="2" a="1"/>
  <c r="AF146" i="2" s="1"/>
  <c r="AG146" i="2" s="1"/>
  <c r="AE146" i="2"/>
  <c r="AD146" i="2"/>
  <c r="AB146" i="2"/>
  <c r="AA146" i="2"/>
  <c r="R146" i="2"/>
  <c r="AF145" i="2" a="1"/>
  <c r="AF145" i="2" s="1"/>
  <c r="AD145" i="2"/>
  <c r="AE145" i="2" s="1"/>
  <c r="AB145" i="2"/>
  <c r="AA145" i="2"/>
  <c r="R145" i="2"/>
  <c r="AF144" i="2" a="1"/>
  <c r="AF144" i="2" s="1"/>
  <c r="AD144" i="2"/>
  <c r="AE144" i="2" s="1"/>
  <c r="AB144" i="2"/>
  <c r="AA144" i="2"/>
  <c r="R144" i="2"/>
  <c r="AF143" i="2" a="1"/>
  <c r="AF143" i="2"/>
  <c r="AD143" i="2"/>
  <c r="AE143" i="2" s="1"/>
  <c r="AB143" i="2"/>
  <c r="AA143" i="2"/>
  <c r="R143" i="2"/>
  <c r="AF142" i="2" a="1"/>
  <c r="AF142" i="2" s="1"/>
  <c r="AD142" i="2"/>
  <c r="AE142" i="2" s="1"/>
  <c r="AB142" i="2"/>
  <c r="AA142" i="2"/>
  <c r="R142" i="2"/>
  <c r="AG141" i="2"/>
  <c r="AF141" i="2" a="1"/>
  <c r="AF141" i="2" s="1"/>
  <c r="AE141" i="2"/>
  <c r="AD141" i="2"/>
  <c r="AB141" i="2"/>
  <c r="AA141" i="2"/>
  <c r="R141" i="2"/>
  <c r="AF140" i="2" a="1"/>
  <c r="AF140" i="2"/>
  <c r="AD140" i="2"/>
  <c r="AE140" i="2" s="1"/>
  <c r="AB140" i="2"/>
  <c r="AA140" i="2"/>
  <c r="R140" i="2"/>
  <c r="AF139" i="2" a="1"/>
  <c r="AF139" i="2" s="1"/>
  <c r="AD139" i="2"/>
  <c r="AE139" i="2" s="1"/>
  <c r="AB139" i="2"/>
  <c r="AA139" i="2"/>
  <c r="R139" i="2"/>
  <c r="AF138" i="2" a="1"/>
  <c r="AF138" i="2"/>
  <c r="AD138" i="2"/>
  <c r="AE138" i="2" s="1"/>
  <c r="AB138" i="2"/>
  <c r="AA138" i="2"/>
  <c r="R138" i="2"/>
  <c r="AB137" i="2"/>
  <c r="AA137" i="2"/>
  <c r="R137" i="2"/>
  <c r="AB136" i="2"/>
  <c r="AA136" i="2"/>
  <c r="R136" i="2"/>
  <c r="AB135" i="2"/>
  <c r="AA135" i="2"/>
  <c r="R135" i="2"/>
  <c r="AB134" i="2"/>
  <c r="AA134" i="2"/>
  <c r="R134" i="2"/>
  <c r="AB133" i="2"/>
  <c r="AA133" i="2"/>
  <c r="R133" i="2"/>
  <c r="AB132" i="2"/>
  <c r="AA132" i="2"/>
  <c r="R132" i="2"/>
  <c r="AF131" i="2" a="1"/>
  <c r="AF131" i="2" s="1"/>
  <c r="AE131" i="2"/>
  <c r="AB131" i="2"/>
  <c r="AA131" i="2"/>
  <c r="R131" i="2"/>
  <c r="AF130" i="2" a="1"/>
  <c r="AF130" i="2"/>
  <c r="AB130" i="2"/>
  <c r="AA130" i="2"/>
  <c r="R130" i="2"/>
  <c r="AB129" i="2"/>
  <c r="AA129" i="2"/>
  <c r="R129" i="2"/>
  <c r="AF128" i="2" a="1"/>
  <c r="AF128" i="2"/>
  <c r="AD128" i="2"/>
  <c r="AE128" i="2" s="1"/>
  <c r="AB128" i="2"/>
  <c r="AA128" i="2"/>
  <c r="R128" i="2"/>
  <c r="AF127" i="2" a="1"/>
  <c r="AF127" i="2" s="1"/>
  <c r="AB127" i="2"/>
  <c r="AA127" i="2"/>
  <c r="R127" i="2"/>
  <c r="AF126" i="2" a="1"/>
  <c r="AF126" i="2"/>
  <c r="AG126" i="2" s="1"/>
  <c r="AD126" i="2"/>
  <c r="AE126" i="2" s="1"/>
  <c r="AB126" i="2"/>
  <c r="AA126" i="2"/>
  <c r="R126" i="2"/>
  <c r="AF125" i="2" a="1"/>
  <c r="AF125" i="2"/>
  <c r="AD125" i="2"/>
  <c r="AE125" i="2" s="1"/>
  <c r="AB125" i="2"/>
  <c r="AA125" i="2"/>
  <c r="R125" i="2"/>
  <c r="AF124" i="2" a="1"/>
  <c r="AF124" i="2" s="1"/>
  <c r="AG124" i="2" s="1"/>
  <c r="AD124" i="2"/>
  <c r="AE124" i="2" s="1"/>
  <c r="AB124" i="2"/>
  <c r="AA124" i="2"/>
  <c r="R124" i="2"/>
  <c r="AF123" i="2" a="1"/>
  <c r="AF123" i="2"/>
  <c r="AD123" i="2"/>
  <c r="AE123" i="2" s="1"/>
  <c r="AB123" i="2"/>
  <c r="AA123" i="2"/>
  <c r="R123" i="2"/>
  <c r="AF122" i="2" a="1"/>
  <c r="AF122" i="2"/>
  <c r="AD122" i="2"/>
  <c r="AE122" i="2" s="1"/>
  <c r="AB122" i="2"/>
  <c r="AA122" i="2"/>
  <c r="R122" i="2"/>
  <c r="AB121" i="2"/>
  <c r="AA121" i="2"/>
  <c r="R121" i="2"/>
  <c r="AB120" i="2"/>
  <c r="AA120" i="2"/>
  <c r="R120" i="2"/>
  <c r="AB119" i="2"/>
  <c r="AA119" i="2"/>
  <c r="R119" i="2"/>
  <c r="AB118" i="2"/>
  <c r="AA118" i="2"/>
  <c r="R118" i="2"/>
  <c r="AB117" i="2"/>
  <c r="AA117" i="2"/>
  <c r="R117" i="2"/>
  <c r="AF116" i="2" a="1"/>
  <c r="AF116" i="2"/>
  <c r="AD116" i="2"/>
  <c r="AE116" i="2" s="1"/>
  <c r="AB116" i="2"/>
  <c r="AA116" i="2"/>
  <c r="R116" i="2"/>
  <c r="AF115" i="2" a="1"/>
  <c r="AF115" i="2" s="1"/>
  <c r="AD115" i="2"/>
  <c r="AE115" i="2" s="1"/>
  <c r="AB115" i="2"/>
  <c r="AA115" i="2"/>
  <c r="R115" i="2"/>
  <c r="AF114" i="2" a="1"/>
  <c r="AF114" i="2" s="1"/>
  <c r="AD114" i="2"/>
  <c r="AE114" i="2" s="1"/>
  <c r="AB114" i="2"/>
  <c r="AA114" i="2"/>
  <c r="R114" i="2"/>
  <c r="AF113" i="2" a="1"/>
  <c r="AF113" i="2"/>
  <c r="AD113" i="2"/>
  <c r="AE113" i="2" s="1"/>
  <c r="AB113" i="2"/>
  <c r="AA113" i="2"/>
  <c r="R113" i="2"/>
  <c r="AF112" i="2" a="1"/>
  <c r="AF112" i="2" s="1"/>
  <c r="AD112" i="2"/>
  <c r="AE112" i="2" s="1"/>
  <c r="AB112" i="2"/>
  <c r="AA112" i="2"/>
  <c r="R112" i="2"/>
  <c r="AF111" i="2" a="1"/>
  <c r="AF111" i="2"/>
  <c r="AD111" i="2"/>
  <c r="AE111" i="2" s="1"/>
  <c r="AB111" i="2"/>
  <c r="AA111" i="2"/>
  <c r="V111" i="2"/>
  <c r="W111" i="2" s="1"/>
  <c r="R111" i="2"/>
  <c r="S111" i="2" s="1"/>
  <c r="AF110" i="2" a="1"/>
  <c r="AF110" i="2"/>
  <c r="AD110" i="2"/>
  <c r="AE110" i="2" s="1"/>
  <c r="AB110" i="2"/>
  <c r="AA110" i="2"/>
  <c r="R110" i="2"/>
  <c r="AG109" i="2"/>
  <c r="AF109" i="2" a="1"/>
  <c r="AF109" i="2"/>
  <c r="AD109" i="2"/>
  <c r="AE109" i="2" s="1"/>
  <c r="AB109" i="2"/>
  <c r="AA109" i="2"/>
  <c r="R109" i="2"/>
  <c r="AF108" i="2" a="1"/>
  <c r="AF108" i="2"/>
  <c r="AD108" i="2"/>
  <c r="AE108" i="2" s="1"/>
  <c r="AB108" i="2"/>
  <c r="AA108" i="2"/>
  <c r="R108" i="2"/>
  <c r="AF107" i="2" a="1"/>
  <c r="AF107" i="2" s="1"/>
  <c r="AD107" i="2"/>
  <c r="AE107" i="2" s="1"/>
  <c r="AB107" i="2"/>
  <c r="AA107" i="2"/>
  <c r="R107" i="2"/>
  <c r="AF106" i="2" a="1"/>
  <c r="AF106" i="2" s="1"/>
  <c r="AG106" i="2" s="1"/>
  <c r="AE106" i="2"/>
  <c r="AD106" i="2"/>
  <c r="AB106" i="2"/>
  <c r="AA106" i="2"/>
  <c r="R106" i="2"/>
  <c r="AF105" i="2" a="1"/>
  <c r="AF105" i="2"/>
  <c r="AG105" i="2" s="1"/>
  <c r="AD105" i="2"/>
  <c r="AE105" i="2" s="1"/>
  <c r="AB105" i="2"/>
  <c r="AA105" i="2"/>
  <c r="R105" i="2"/>
  <c r="AF104" i="2" a="1"/>
  <c r="AF104" i="2"/>
  <c r="AD104" i="2"/>
  <c r="AE104" i="2" s="1"/>
  <c r="AB104" i="2"/>
  <c r="AA104" i="2"/>
  <c r="R104" i="2"/>
  <c r="AF103" i="2" a="1"/>
  <c r="AF103" i="2" s="1"/>
  <c r="AD103" i="2"/>
  <c r="AE103" i="2" s="1"/>
  <c r="AB103" i="2"/>
  <c r="AA103" i="2"/>
  <c r="R103" i="2"/>
  <c r="AF102" i="2" a="1"/>
  <c r="AF102" i="2"/>
  <c r="AD102" i="2"/>
  <c r="AE102" i="2" s="1"/>
  <c r="AB102" i="2"/>
  <c r="AA102" i="2"/>
  <c r="R102" i="2"/>
  <c r="AF101" i="2" a="1"/>
  <c r="AF101" i="2" s="1"/>
  <c r="AG101" i="2" s="1"/>
  <c r="AD101" i="2"/>
  <c r="AE101" i="2" s="1"/>
  <c r="AB101" i="2"/>
  <c r="AA101" i="2"/>
  <c r="R101" i="2"/>
  <c r="AF100" i="2" a="1"/>
  <c r="AF100" i="2"/>
  <c r="AG100" i="2" s="1"/>
  <c r="AE100" i="2"/>
  <c r="AD100" i="2"/>
  <c r="AB100" i="2"/>
  <c r="AA100" i="2"/>
  <c r="R100" i="2"/>
  <c r="AF99" i="2" a="1"/>
  <c r="AF99" i="2"/>
  <c r="AD99" i="2"/>
  <c r="AE99" i="2" s="1"/>
  <c r="AB99" i="2"/>
  <c r="AA99" i="2"/>
  <c r="R99" i="2"/>
  <c r="AF98" i="2" a="1"/>
  <c r="AF98" i="2" s="1"/>
  <c r="AD98" i="2"/>
  <c r="AE98" i="2" s="1"/>
  <c r="AB98" i="2"/>
  <c r="AA98" i="2"/>
  <c r="R98" i="2"/>
  <c r="AF97" i="2" a="1"/>
  <c r="AF97" i="2"/>
  <c r="AD97" i="2"/>
  <c r="AE97" i="2" s="1"/>
  <c r="AG97" i="2" s="1"/>
  <c r="AB97" i="2"/>
  <c r="AA97" i="2"/>
  <c r="R97" i="2"/>
  <c r="AB96" i="2"/>
  <c r="AA96" i="2"/>
  <c r="R96" i="2"/>
  <c r="AB95" i="2"/>
  <c r="AA95" i="2"/>
  <c r="R95" i="2"/>
  <c r="AB94" i="2"/>
  <c r="AA94" i="2"/>
  <c r="R94" i="2"/>
  <c r="AB93" i="2"/>
  <c r="AA93" i="2"/>
  <c r="R93" i="2"/>
  <c r="AF92" i="2" a="1"/>
  <c r="AF92" i="2"/>
  <c r="AD92" i="2"/>
  <c r="AE92" i="2" s="1"/>
  <c r="AG92" i="2" s="1"/>
  <c r="AB92" i="2"/>
  <c r="AA92" i="2"/>
  <c r="R92" i="2"/>
  <c r="AG91" i="2"/>
  <c r="AF91" i="2" a="1"/>
  <c r="AF91" i="2" s="1"/>
  <c r="AD91" i="2"/>
  <c r="AE91" i="2" s="1"/>
  <c r="AB91" i="2"/>
  <c r="AA91" i="2"/>
  <c r="R91" i="2"/>
  <c r="AF90" i="2" a="1"/>
  <c r="AF90" i="2" s="1"/>
  <c r="AD90" i="2"/>
  <c r="AE90" i="2" s="1"/>
  <c r="AB90" i="2"/>
  <c r="AA90" i="2"/>
  <c r="R90" i="2"/>
  <c r="AF89" i="2" a="1"/>
  <c r="AF89" i="2"/>
  <c r="AD89" i="2"/>
  <c r="AE89" i="2" s="1"/>
  <c r="AB89" i="2"/>
  <c r="AA89" i="2"/>
  <c r="V89" i="2"/>
  <c r="W89" i="2" s="1"/>
  <c r="R89" i="2"/>
  <c r="S89" i="2" s="1"/>
  <c r="AF88" i="2" a="1"/>
  <c r="AF88" i="2" s="1"/>
  <c r="AD88" i="2"/>
  <c r="AE88" i="2" s="1"/>
  <c r="AB88" i="2"/>
  <c r="AA88" i="2"/>
  <c r="R88" i="2"/>
  <c r="AF87" i="2" a="1"/>
  <c r="AF87" i="2"/>
  <c r="AD87" i="2"/>
  <c r="AE87" i="2" s="1"/>
  <c r="AB87" i="2"/>
  <c r="AA87" i="2"/>
  <c r="R87" i="2"/>
  <c r="AF86" i="2" a="1"/>
  <c r="AF86" i="2" s="1"/>
  <c r="AG86" i="2" s="1"/>
  <c r="AD86" i="2"/>
  <c r="AE86" i="2" s="1"/>
  <c r="AB86" i="2"/>
  <c r="AA86" i="2"/>
  <c r="R86" i="2"/>
  <c r="AF85" i="2" a="1"/>
  <c r="AF85" i="2" s="1"/>
  <c r="AG85" i="2" s="1"/>
  <c r="AE85" i="2"/>
  <c r="AD85" i="2"/>
  <c r="AB85" i="2"/>
  <c r="AA85" i="2"/>
  <c r="R85" i="2"/>
  <c r="AF84" i="2" a="1"/>
  <c r="AF84" i="2"/>
  <c r="AD84" i="2"/>
  <c r="AE84" i="2" s="1"/>
  <c r="AB84" i="2"/>
  <c r="AA84" i="2"/>
  <c r="R84" i="2"/>
  <c r="AF83" i="2" a="1"/>
  <c r="AF83" i="2" s="1"/>
  <c r="AD83" i="2"/>
  <c r="AE83" i="2" s="1"/>
  <c r="AB83" i="2"/>
  <c r="AA83" i="2"/>
  <c r="R83" i="2"/>
  <c r="AF82" i="2" a="1"/>
  <c r="AF82" i="2"/>
  <c r="AD82" i="2"/>
  <c r="AE82" i="2" s="1"/>
  <c r="AB82" i="2"/>
  <c r="AA82" i="2"/>
  <c r="R82" i="2"/>
  <c r="AF81" i="2" a="1"/>
  <c r="AF81" i="2" s="1"/>
  <c r="AD81" i="2"/>
  <c r="AE81" i="2" s="1"/>
  <c r="AG81" i="2" s="1"/>
  <c r="AB81" i="2"/>
  <c r="AA81" i="2"/>
  <c r="R81" i="2"/>
  <c r="AB80" i="2"/>
  <c r="AA80" i="2"/>
  <c r="R80" i="2"/>
  <c r="AB79" i="2"/>
  <c r="AA79" i="2"/>
  <c r="R79" i="2"/>
  <c r="AB78" i="2"/>
  <c r="AA78" i="2"/>
  <c r="V78" i="2"/>
  <c r="W78" i="2" s="1"/>
  <c r="R78" i="2"/>
  <c r="S78" i="2" s="1"/>
  <c r="AF77" i="2" a="1"/>
  <c r="AF77" i="2" s="1"/>
  <c r="AE77" i="2"/>
  <c r="AD77" i="2"/>
  <c r="AB77" i="2"/>
  <c r="AA77" i="2"/>
  <c r="R77" i="2"/>
  <c r="AF76" i="2" a="1"/>
  <c r="AF76" i="2"/>
  <c r="AD76" i="2"/>
  <c r="AE76" i="2" s="1"/>
  <c r="AB76" i="2"/>
  <c r="AA76" i="2"/>
  <c r="R76" i="2"/>
  <c r="AF75" i="2" a="1"/>
  <c r="AF75" i="2" s="1"/>
  <c r="AD75" i="2"/>
  <c r="AE75" i="2" s="1"/>
  <c r="AB75" i="2"/>
  <c r="AA75" i="2"/>
  <c r="R75" i="2"/>
  <c r="AF74" i="2" a="1"/>
  <c r="AF74" i="2"/>
  <c r="AD74" i="2"/>
  <c r="AE74" i="2" s="1"/>
  <c r="AB74" i="2"/>
  <c r="AA74" i="2"/>
  <c r="R74" i="2"/>
  <c r="AF73" i="2" a="1"/>
  <c r="AF73" i="2" s="1"/>
  <c r="AG73" i="2" s="1"/>
  <c r="AD73" i="2"/>
  <c r="AE73" i="2" s="1"/>
  <c r="AB73" i="2"/>
  <c r="AA73" i="2"/>
  <c r="R73" i="2"/>
  <c r="AB72" i="2"/>
  <c r="AA72" i="2"/>
  <c r="R72" i="2"/>
  <c r="AF71" i="2" a="1"/>
  <c r="AF71" i="2"/>
  <c r="AD71" i="2"/>
  <c r="AE71" i="2" s="1"/>
  <c r="AG71" i="2" s="1"/>
  <c r="AB71" i="2"/>
  <c r="AA71" i="2"/>
  <c r="R71" i="2"/>
  <c r="AB70" i="2"/>
  <c r="AA70" i="2"/>
  <c r="R70" i="2"/>
  <c r="AB69" i="2"/>
  <c r="AA69" i="2"/>
  <c r="R69" i="2"/>
  <c r="AB68" i="2"/>
  <c r="AA68" i="2"/>
  <c r="R68" i="2"/>
  <c r="AB67" i="2"/>
  <c r="AA67" i="2"/>
  <c r="R67" i="2"/>
  <c r="AB66" i="2"/>
  <c r="AA66" i="2"/>
  <c r="R66" i="2"/>
  <c r="AF65" i="2" a="1"/>
  <c r="AF65" i="2" s="1"/>
  <c r="AD65" i="2"/>
  <c r="AE65" i="2" s="1"/>
  <c r="AB65" i="2"/>
  <c r="AA65" i="2"/>
  <c r="R65" i="2"/>
  <c r="AF64" i="2" a="1"/>
  <c r="AF64" i="2"/>
  <c r="AB64" i="2"/>
  <c r="AA64" i="2"/>
  <c r="R64" i="2"/>
  <c r="AB63" i="2"/>
  <c r="AA63" i="2"/>
  <c r="R63" i="2"/>
  <c r="AF62" i="2" a="1"/>
  <c r="AF62" i="2"/>
  <c r="AG62" i="2" s="1"/>
  <c r="AD62" i="2"/>
  <c r="AE62" i="2" s="1"/>
  <c r="AB62" i="2"/>
  <c r="AA62" i="2"/>
  <c r="R62" i="2"/>
  <c r="AF61" i="2" a="1"/>
  <c r="AF61" i="2" s="1"/>
  <c r="AD61" i="2"/>
  <c r="AE61" i="2" s="1"/>
  <c r="AB61" i="2"/>
  <c r="AA61" i="2"/>
  <c r="R61" i="2"/>
  <c r="AF60" i="2" a="1"/>
  <c r="AF60" i="2" s="1"/>
  <c r="AD60" i="2"/>
  <c r="AE60" i="2" s="1"/>
  <c r="AB60" i="2"/>
  <c r="AA60" i="2"/>
  <c r="R60" i="2"/>
  <c r="AB59" i="2"/>
  <c r="AA59" i="2"/>
  <c r="R59" i="2"/>
  <c r="AB58" i="2"/>
  <c r="AA58" i="2"/>
  <c r="R58" i="2"/>
  <c r="AB57" i="2"/>
  <c r="AA57" i="2"/>
  <c r="R57" i="2"/>
  <c r="AF56" i="2" a="1"/>
  <c r="AF56" i="2" s="1"/>
  <c r="AD56" i="2"/>
  <c r="AE56" i="2" s="1"/>
  <c r="AB56" i="2"/>
  <c r="AA56" i="2"/>
  <c r="R56" i="2"/>
  <c r="AF55" i="2" a="1"/>
  <c r="AF55" i="2"/>
  <c r="AE55" i="2"/>
  <c r="AD55" i="2"/>
  <c r="AB55" i="2"/>
  <c r="AA55" i="2"/>
  <c r="R55" i="2"/>
  <c r="AF54" i="2" a="1"/>
  <c r="AF54" i="2" s="1"/>
  <c r="AG54" i="2" s="1"/>
  <c r="AD54" i="2"/>
  <c r="AE54" i="2" s="1"/>
  <c r="AB54" i="2"/>
  <c r="AA54" i="2"/>
  <c r="R54" i="2"/>
  <c r="AF53" i="2" a="1"/>
  <c r="AF53" i="2" s="1"/>
  <c r="AG53" i="2" s="1"/>
  <c r="AD53" i="2"/>
  <c r="AE53" i="2" s="1"/>
  <c r="AB53" i="2"/>
  <c r="AA53" i="2"/>
  <c r="R53" i="2"/>
  <c r="AF52" i="2" a="1"/>
  <c r="AF52" i="2"/>
  <c r="AE52" i="2"/>
  <c r="AD52" i="2"/>
  <c r="AB52" i="2"/>
  <c r="AA52" i="2"/>
  <c r="R52" i="2"/>
  <c r="AB51" i="2"/>
  <c r="AA51" i="2"/>
  <c r="R51" i="2"/>
  <c r="AF50" i="2" a="1"/>
  <c r="AF50" i="2"/>
  <c r="AE50" i="2"/>
  <c r="AD50" i="2"/>
  <c r="AB50" i="2"/>
  <c r="AA50" i="2"/>
  <c r="V50" i="2"/>
  <c r="W50" i="2" s="1"/>
  <c r="R50" i="2"/>
  <c r="S50" i="2" s="1"/>
  <c r="AF49" i="2" a="1"/>
  <c r="AF49" i="2"/>
  <c r="AD49" i="2"/>
  <c r="AE49" i="2" s="1"/>
  <c r="AB49" i="2"/>
  <c r="AA49" i="2"/>
  <c r="R49" i="2"/>
  <c r="AF48" i="2" a="1"/>
  <c r="AF48" i="2" s="1"/>
  <c r="AG48" i="2" s="1"/>
  <c r="AD48" i="2"/>
  <c r="AE48" i="2" s="1"/>
  <c r="AB48" i="2"/>
  <c r="AA48" i="2"/>
  <c r="R48" i="2"/>
  <c r="AF47" i="2" a="1"/>
  <c r="AF47" i="2"/>
  <c r="AD47" i="2"/>
  <c r="AE47" i="2" s="1"/>
  <c r="AB47" i="2"/>
  <c r="AA47" i="2"/>
  <c r="R47" i="2"/>
  <c r="AF46" i="2" a="1"/>
  <c r="AF46" i="2" s="1"/>
  <c r="AG46" i="2" s="1"/>
  <c r="AD46" i="2"/>
  <c r="AE46" i="2" s="1"/>
  <c r="AB46" i="2"/>
  <c r="AA46" i="2"/>
  <c r="R46" i="2"/>
  <c r="AF45" i="2" a="1"/>
  <c r="AF45" i="2" s="1"/>
  <c r="AG45" i="2" s="1"/>
  <c r="AE45" i="2"/>
  <c r="AD45" i="2"/>
  <c r="AB45" i="2"/>
  <c r="AA45" i="2"/>
  <c r="R45" i="2"/>
  <c r="AF44" i="2" a="1"/>
  <c r="AF44" i="2"/>
  <c r="AD44" i="2"/>
  <c r="AE44" i="2" s="1"/>
  <c r="AB44" i="2"/>
  <c r="AA44" i="2"/>
  <c r="R44" i="2"/>
  <c r="AB43" i="2"/>
  <c r="AA43" i="2"/>
  <c r="R43" i="2"/>
  <c r="AB42" i="2"/>
  <c r="AA42" i="2"/>
  <c r="R42" i="2"/>
  <c r="AB41" i="2"/>
  <c r="AA41" i="2"/>
  <c r="R41" i="2"/>
  <c r="AB40" i="2"/>
  <c r="AA40" i="2"/>
  <c r="R40" i="2"/>
  <c r="AB39" i="2"/>
  <c r="AA39" i="2"/>
  <c r="R39" i="2"/>
  <c r="AB38" i="2"/>
  <c r="AA38" i="2"/>
  <c r="R38" i="2"/>
  <c r="AB37" i="2"/>
  <c r="AA37" i="2"/>
  <c r="R37" i="2"/>
  <c r="AB36" i="2"/>
  <c r="AA36" i="2"/>
  <c r="R36" i="2"/>
  <c r="AB35" i="2"/>
  <c r="AA35" i="2"/>
  <c r="R35" i="2"/>
  <c r="AF34" i="2" a="1"/>
  <c r="AF34" i="2" s="1"/>
  <c r="AG34" i="2" s="1"/>
  <c r="AD34" i="2"/>
  <c r="AE34" i="2" s="1"/>
  <c r="AB34" i="2"/>
  <c r="AA34" i="2"/>
  <c r="V34" i="2"/>
  <c r="W34" i="2" s="1"/>
  <c r="R34" i="2"/>
  <c r="S34" i="2" s="1"/>
  <c r="AF33" i="2" a="1"/>
  <c r="AF33" i="2" s="1"/>
  <c r="AD33" i="2"/>
  <c r="AE33" i="2" s="1"/>
  <c r="AB33" i="2"/>
  <c r="AA33" i="2"/>
  <c r="R33" i="2"/>
  <c r="AF32" i="2" a="1"/>
  <c r="AF32" i="2"/>
  <c r="AD32" i="2"/>
  <c r="AE32" i="2" s="1"/>
  <c r="AB32" i="2"/>
  <c r="AA32" i="2"/>
  <c r="R32" i="2"/>
  <c r="AF31" i="2" a="1"/>
  <c r="AF31" i="2" s="1"/>
  <c r="AD31" i="2"/>
  <c r="AE31" i="2" s="1"/>
  <c r="AB31" i="2"/>
  <c r="AA31" i="2"/>
  <c r="R31" i="2"/>
  <c r="AF30" i="2" a="1"/>
  <c r="AF30" i="2" s="1"/>
  <c r="AD30" i="2"/>
  <c r="AE30" i="2" s="1"/>
  <c r="AB30" i="2"/>
  <c r="AA30" i="2"/>
  <c r="R30" i="2"/>
  <c r="AF29" i="2" a="1"/>
  <c r="AF29" i="2" s="1"/>
  <c r="AG29" i="2" s="1"/>
  <c r="AD29" i="2"/>
  <c r="AE29" i="2" s="1"/>
  <c r="AB29" i="2"/>
  <c r="AA29" i="2"/>
  <c r="R29" i="2"/>
  <c r="AB28" i="2"/>
  <c r="AA28" i="2"/>
  <c r="R28" i="2"/>
  <c r="AB27" i="2"/>
  <c r="AA27" i="2"/>
  <c r="V27" i="2"/>
  <c r="W27" i="2" s="1"/>
  <c r="R27" i="2"/>
  <c r="S27" i="2" s="1"/>
  <c r="AB26" i="2"/>
  <c r="AA26" i="2"/>
  <c r="V26" i="2"/>
  <c r="W26" i="2" s="1"/>
  <c r="R26" i="2"/>
  <c r="S26" i="2" s="1"/>
  <c r="AB25" i="2"/>
  <c r="AA25" i="2"/>
  <c r="R25" i="2"/>
  <c r="AF24" i="2" a="1"/>
  <c r="AF24" i="2" s="1"/>
  <c r="AD24" i="2"/>
  <c r="AE24" i="2" s="1"/>
  <c r="AB24" i="2"/>
  <c r="AA24" i="2"/>
  <c r="R24" i="2"/>
  <c r="AF23" i="2" a="1"/>
  <c r="AF23" i="2"/>
  <c r="AD23" i="2"/>
  <c r="AE23" i="2" s="1"/>
  <c r="AB23" i="2"/>
  <c r="AA23" i="2"/>
  <c r="R23" i="2"/>
  <c r="AF22" i="2" a="1"/>
  <c r="AF22" i="2" s="1"/>
  <c r="AD22" i="2"/>
  <c r="AE22" i="2" s="1"/>
  <c r="AG22" i="2" s="1"/>
  <c r="AB22" i="2"/>
  <c r="AA22" i="2"/>
  <c r="R22" i="2"/>
  <c r="AF21" i="2" a="1"/>
  <c r="AF21" i="2"/>
  <c r="AG21" i="2" s="1"/>
  <c r="AE21" i="2"/>
  <c r="AD21" i="2"/>
  <c r="AB21" i="2"/>
  <c r="AA21" i="2"/>
  <c r="R21" i="2"/>
  <c r="AF20" i="2" a="1"/>
  <c r="AF20" i="2"/>
  <c r="AE20" i="2"/>
  <c r="AG20" i="2" s="1"/>
  <c r="AB20" i="2"/>
  <c r="AA20" i="2"/>
  <c r="R20" i="2"/>
  <c r="AB19" i="2"/>
  <c r="AA19" i="2"/>
  <c r="R19" i="2"/>
  <c r="AB18" i="2"/>
  <c r="AA18" i="2"/>
  <c r="R18" i="2"/>
  <c r="AB17" i="2"/>
  <c r="AA17" i="2"/>
  <c r="R17" i="2"/>
  <c r="AF16" i="2" a="1"/>
  <c r="AF16" i="2" s="1"/>
  <c r="AD16" i="2"/>
  <c r="AE16" i="2" s="1"/>
  <c r="AB16" i="2"/>
  <c r="AA16" i="2"/>
  <c r="R16" i="2"/>
  <c r="AF15" i="2" a="1"/>
  <c r="AF15" i="2"/>
  <c r="AD15" i="2"/>
  <c r="AE15" i="2" s="1"/>
  <c r="AB15" i="2"/>
  <c r="AA15" i="2"/>
  <c r="R15" i="2"/>
  <c r="AF14" i="2" a="1"/>
  <c r="AF14" i="2"/>
  <c r="AD14" i="2"/>
  <c r="AE14" i="2" s="1"/>
  <c r="AB14" i="2"/>
  <c r="AA14" i="2"/>
  <c r="R14" i="2"/>
  <c r="AF13" i="2" a="1"/>
  <c r="AF13" i="2" s="1"/>
  <c r="AD13" i="2"/>
  <c r="AE13" i="2" s="1"/>
  <c r="AB13" i="2"/>
  <c r="AA13" i="2"/>
  <c r="R13" i="2"/>
  <c r="AF12" i="2" a="1"/>
  <c r="AF12" i="2"/>
  <c r="AD12" i="2"/>
  <c r="AE12" i="2" s="1"/>
  <c r="AB12" i="2"/>
  <c r="AA12" i="2"/>
  <c r="R12" i="2"/>
  <c r="AG11" i="2"/>
  <c r="AF11" i="2" a="1"/>
  <c r="AF11" i="2"/>
  <c r="AD11" i="2"/>
  <c r="AE11" i="2" s="1"/>
  <c r="AB11" i="2"/>
  <c r="AA11" i="2"/>
  <c r="R11" i="2"/>
  <c r="AF10" i="2" a="1"/>
  <c r="AF10" i="2"/>
  <c r="AD10" i="2"/>
  <c r="AE10" i="2" s="1"/>
  <c r="AB10" i="2"/>
  <c r="AA10" i="2"/>
  <c r="R10" i="2"/>
  <c r="AB9" i="2"/>
  <c r="AA9" i="2"/>
  <c r="R9" i="2"/>
  <c r="AB8" i="2"/>
  <c r="AA8" i="2"/>
  <c r="R8" i="2"/>
  <c r="AF7" i="2" a="1"/>
  <c r="AF7" i="2" s="1"/>
  <c r="AG7" i="2" s="1"/>
  <c r="AD7" i="2"/>
  <c r="AE7" i="2" s="1"/>
  <c r="AB7" i="2"/>
  <c r="AA7" i="2"/>
  <c r="R7" i="2"/>
  <c r="AF6" i="2" a="1"/>
  <c r="AF6" i="2"/>
  <c r="AD6" i="2"/>
  <c r="AE6" i="2" s="1"/>
  <c r="AG6" i="2" s="1"/>
  <c r="AB6" i="2"/>
  <c r="AA6" i="2"/>
  <c r="R6" i="2"/>
  <c r="AF5" i="2" a="1"/>
  <c r="AF5" i="2"/>
  <c r="AD5" i="2"/>
  <c r="AE5" i="2" s="1"/>
  <c r="AG5" i="2" s="1"/>
  <c r="AB5" i="2"/>
  <c r="AA5" i="2"/>
  <c r="R5" i="2"/>
  <c r="AF4" i="2" a="1"/>
  <c r="AF4" i="2"/>
  <c r="AE4" i="2"/>
  <c r="AB4" i="2"/>
  <c r="AA4" i="2"/>
  <c r="V4" i="2"/>
  <c r="R4" i="2"/>
  <c r="AG144" i="2" l="1"/>
  <c r="AG112" i="2"/>
  <c r="AG149" i="2"/>
  <c r="AG114" i="2"/>
  <c r="AG179" i="2"/>
  <c r="AG160" i="2"/>
  <c r="AG104" i="2"/>
  <c r="AG107" i="2"/>
  <c r="AG113" i="2"/>
  <c r="AG122" i="2"/>
  <c r="C168" i="4"/>
  <c r="D168" i="4" s="1"/>
  <c r="F168" i="4" s="1"/>
  <c r="AG14" i="2"/>
  <c r="AG32" i="2"/>
  <c r="AG61" i="2"/>
  <c r="AG65" i="2"/>
  <c r="AG16" i="2"/>
  <c r="AG98" i="2"/>
  <c r="AG159" i="2"/>
  <c r="AG77" i="2"/>
  <c r="AG47" i="2"/>
  <c r="AG10" i="2"/>
  <c r="AG50" i="2"/>
  <c r="AG52" i="2"/>
  <c r="AG55" i="2"/>
  <c r="AG166" i="2"/>
  <c r="AG123" i="2"/>
  <c r="AG128" i="2"/>
  <c r="AG15" i="2"/>
  <c r="AG23" i="2"/>
  <c r="AG150" i="2"/>
  <c r="AG155" i="2"/>
  <c r="AG33" i="2"/>
  <c r="AG74" i="2"/>
  <c r="AG82" i="2"/>
  <c r="AG87" i="2"/>
  <c r="AG90" i="2"/>
  <c r="AG158" i="2"/>
  <c r="AG99" i="2"/>
  <c r="AG102" i="2"/>
  <c r="AG145" i="2"/>
  <c r="AG130" i="2"/>
  <c r="AG165" i="2"/>
  <c r="AA187" i="2"/>
  <c r="C16" i="12" s="1"/>
  <c r="AG64" i="2"/>
  <c r="AG110" i="2"/>
  <c r="AG116" i="2"/>
  <c r="AG125" i="2"/>
  <c r="AG139" i="2"/>
  <c r="B36" i="4"/>
  <c r="AG60" i="2"/>
  <c r="AG83" i="2"/>
  <c r="AG89" i="2"/>
  <c r="AG140" i="2"/>
  <c r="C18" i="1"/>
  <c r="C24" i="12"/>
  <c r="D24" i="12" s="1"/>
  <c r="F24" i="12" s="1"/>
  <c r="E43" i="4"/>
  <c r="F41" i="4"/>
  <c r="C126" i="4" s="1"/>
  <c r="D126" i="4" s="1"/>
  <c r="F126" i="4" s="1"/>
  <c r="C125" i="4"/>
  <c r="D125" i="4" s="1"/>
  <c r="F125" i="4" s="1"/>
  <c r="AG30" i="2"/>
  <c r="AC187" i="2" s="1"/>
  <c r="AG56" i="2"/>
  <c r="AG13" i="2"/>
  <c r="AG76" i="2"/>
  <c r="AG88" i="2"/>
  <c r="AG44" i="2"/>
  <c r="AG12" i="2"/>
  <c r="AG24" i="2"/>
  <c r="AG84" i="2"/>
  <c r="AG103" i="2"/>
  <c r="C26" i="12"/>
  <c r="AG49" i="2"/>
  <c r="AG75" i="2"/>
  <c r="AG108" i="2"/>
  <c r="B44" i="12"/>
  <c r="AG162" i="2"/>
  <c r="AG31" i="2"/>
  <c r="AG164" i="2"/>
  <c r="AG181" i="2"/>
  <c r="AG4" i="2"/>
  <c r="AG143" i="2"/>
  <c r="AG115" i="2"/>
  <c r="B16" i="1"/>
  <c r="C14" i="12"/>
  <c r="AG138" i="2"/>
  <c r="AG163" i="2"/>
  <c r="C16" i="1"/>
  <c r="C170" i="4"/>
  <c r="D170" i="4" s="1"/>
  <c r="F170" i="4" s="1"/>
  <c r="C22" i="12"/>
  <c r="D22" i="12" s="1"/>
  <c r="F22" i="12" s="1"/>
  <c r="AG127" i="2"/>
  <c r="AG152" i="2"/>
  <c r="F42" i="4"/>
  <c r="C128" i="4" s="1"/>
  <c r="D128" i="4" s="1"/>
  <c r="F128" i="4" s="1"/>
  <c r="C127" i="4"/>
  <c r="D127" i="4" s="1"/>
  <c r="F127" i="4" s="1"/>
  <c r="C15" i="1"/>
  <c r="B15" i="1"/>
  <c r="C12" i="12"/>
  <c r="D12" i="12" s="1"/>
  <c r="F12" i="12" s="1"/>
  <c r="G42" i="4"/>
  <c r="AG147" i="2"/>
  <c r="AG153" i="2"/>
  <c r="AG111" i="2"/>
  <c r="AG157" i="2"/>
  <c r="AG142" i="2"/>
  <c r="B47" i="12"/>
  <c r="D15" i="12"/>
  <c r="F15" i="12" s="1"/>
  <c r="AG131" i="2"/>
  <c r="C169" i="4"/>
  <c r="D169" i="4" s="1"/>
  <c r="F169" i="4" s="1"/>
  <c r="AB187" i="2"/>
  <c r="B17" i="1" s="1"/>
  <c r="J116" i="3"/>
  <c r="C47" i="12" s="1"/>
  <c r="D47" i="12" s="1"/>
  <c r="F47" i="12" s="1"/>
  <c r="C30" i="12"/>
  <c r="C31" i="12"/>
  <c r="C35" i="12" a="1"/>
  <c r="C35" i="12" s="1"/>
  <c r="D35" i="12" s="1"/>
  <c r="F35" i="12" s="1"/>
  <c r="C29" i="12"/>
  <c r="C36" i="12"/>
  <c r="D36" i="12" s="1"/>
  <c r="F36" i="12" s="1"/>
  <c r="C19" i="1"/>
  <c r="D28" i="12"/>
  <c r="F28" i="12" s="1"/>
  <c r="B19" i="1"/>
  <c r="B33" i="12"/>
  <c r="D33" i="12" s="1"/>
  <c r="F33" i="12" s="1"/>
  <c r="D27" i="12"/>
  <c r="F27" i="12" s="1"/>
  <c r="F66" i="4"/>
  <c r="E126" i="10"/>
  <c r="D252" i="8" a="1"/>
  <c r="D252" i="8" s="1"/>
  <c r="B252" i="8"/>
  <c r="C171" i="4"/>
  <c r="D171" i="4" s="1"/>
  <c r="F171" i="4" s="1"/>
  <c r="G50" i="4"/>
  <c r="B50" i="4"/>
  <c r="U157" i="3"/>
  <c r="S133" i="3"/>
  <c r="S157" i="3" s="1"/>
  <c r="R187" i="2"/>
  <c r="S4" i="2"/>
  <c r="W4" i="2"/>
  <c r="K4" i="3"/>
  <c r="R188" i="2"/>
  <c r="V5" i="2"/>
  <c r="S5" i="2"/>
  <c r="K5" i="3"/>
  <c r="V6" i="2"/>
  <c r="S6" i="2"/>
  <c r="K6" i="3"/>
  <c r="V7" i="2"/>
  <c r="S7" i="2"/>
  <c r="R189" i="2"/>
  <c r="B52" i="12" s="1"/>
  <c r="D52" i="12" s="1"/>
  <c r="F52" i="12" s="1"/>
  <c r="V8" i="2"/>
  <c r="S8" i="2"/>
  <c r="K7" i="3"/>
  <c r="V9" i="2"/>
  <c r="S9" i="2"/>
  <c r="K8" i="3"/>
  <c r="V10" i="2"/>
  <c r="S10" i="2"/>
  <c r="K9" i="3"/>
  <c r="V11" i="2"/>
  <c r="S11" i="2"/>
  <c r="K10" i="3"/>
  <c r="V12" i="2"/>
  <c r="S12" i="2"/>
  <c r="K11" i="3"/>
  <c r="V13" i="2"/>
  <c r="S13" i="2"/>
  <c r="K12" i="3"/>
  <c r="V14" i="2"/>
  <c r="S14" i="2"/>
  <c r="V15" i="2"/>
  <c r="W15" i="2" s="1"/>
  <c r="S15" i="2"/>
  <c r="K13" i="3"/>
  <c r="V16" i="2"/>
  <c r="S16" i="2"/>
  <c r="K14" i="3"/>
  <c r="V17" i="2"/>
  <c r="S17" i="2"/>
  <c r="K15" i="3"/>
  <c r="V18" i="2"/>
  <c r="S18" i="2"/>
  <c r="K16" i="3"/>
  <c r="V19" i="2"/>
  <c r="S19" i="2"/>
  <c r="K17" i="3"/>
  <c r="V20" i="2"/>
  <c r="S20" i="2"/>
  <c r="V21" i="2"/>
  <c r="W21" i="2" s="1"/>
  <c r="S21" i="2"/>
  <c r="K18" i="3"/>
  <c r="V22" i="2"/>
  <c r="S22" i="2"/>
  <c r="K19" i="3"/>
  <c r="V23" i="2"/>
  <c r="S23" i="2"/>
  <c r="K20" i="3"/>
  <c r="V24" i="2"/>
  <c r="S24" i="2"/>
  <c r="K21" i="3"/>
  <c r="V25" i="2"/>
  <c r="S25" i="2"/>
  <c r="K22" i="3"/>
  <c r="V28" i="2"/>
  <c r="S28" i="2"/>
  <c r="V29" i="2"/>
  <c r="W29" i="2" s="1"/>
  <c r="S29" i="2"/>
  <c r="K23" i="3"/>
  <c r="V30" i="2"/>
  <c r="S30" i="2"/>
  <c r="K24" i="3"/>
  <c r="V31" i="2"/>
  <c r="S31" i="2"/>
  <c r="V32" i="2"/>
  <c r="W32" i="2" s="1"/>
  <c r="S32" i="2"/>
  <c r="K25" i="3"/>
  <c r="V33" i="2"/>
  <c r="S33" i="2"/>
  <c r="K26" i="3"/>
  <c r="C30" i="5" s="1"/>
  <c r="V35" i="2"/>
  <c r="S35" i="2"/>
  <c r="K27" i="3"/>
  <c r="C31" i="5" s="1"/>
  <c r="V36" i="2"/>
  <c r="S36" i="2"/>
  <c r="K28" i="3"/>
  <c r="V37" i="2"/>
  <c r="S37" i="2"/>
  <c r="K29" i="3"/>
  <c r="V38" i="2"/>
  <c r="S38" i="2"/>
  <c r="K30" i="3"/>
  <c r="C27" i="5" s="1"/>
  <c r="V39" i="2"/>
  <c r="S39" i="2"/>
  <c r="K31" i="3"/>
  <c r="C20" i="5" s="1"/>
  <c r="V40" i="2"/>
  <c r="S40" i="2"/>
  <c r="K32" i="3"/>
  <c r="C21" i="5" s="1"/>
  <c r="V41" i="2"/>
  <c r="S41" i="2"/>
  <c r="K33" i="3"/>
  <c r="C22" i="5" s="1"/>
  <c r="V42" i="2"/>
  <c r="S42" i="2"/>
  <c r="K34" i="3"/>
  <c r="V43" i="2"/>
  <c r="S43" i="2"/>
  <c r="K35" i="3"/>
  <c r="V44" i="2"/>
  <c r="S44" i="2"/>
  <c r="V45" i="2"/>
  <c r="W45" i="2" s="1"/>
  <c r="S45" i="2"/>
  <c r="V46" i="2"/>
  <c r="W46" i="2" s="1"/>
  <c r="S46" i="2"/>
  <c r="V47" i="2"/>
  <c r="W47" i="2" s="1"/>
  <c r="S47" i="2"/>
  <c r="V48" i="2"/>
  <c r="W48" i="2" s="1"/>
  <c r="S48" i="2"/>
  <c r="V49" i="2"/>
  <c r="W49" i="2" s="1"/>
  <c r="S49" i="2"/>
  <c r="V51" i="2"/>
  <c r="W51" i="2" s="1"/>
  <c r="S51" i="2"/>
  <c r="K36" i="3"/>
  <c r="V52" i="2"/>
  <c r="S52" i="2"/>
  <c r="V53" i="2"/>
  <c r="W53" i="2" s="1"/>
  <c r="S53" i="2"/>
  <c r="V54" i="2"/>
  <c r="W54" i="2" s="1"/>
  <c r="S54" i="2"/>
  <c r="K37" i="3"/>
  <c r="V55" i="2"/>
  <c r="S55" i="2"/>
  <c r="K38" i="3"/>
  <c r="V56" i="2"/>
  <c r="S56" i="2"/>
  <c r="K39" i="3"/>
  <c r="C29" i="5" s="1"/>
  <c r="V57" i="2"/>
  <c r="S57" i="2"/>
  <c r="K40" i="3"/>
  <c r="V58" i="2"/>
  <c r="S58" i="2"/>
  <c r="K41" i="3"/>
  <c r="V59" i="2"/>
  <c r="S59" i="2"/>
  <c r="K42" i="3"/>
  <c r="V60" i="2"/>
  <c r="S60" i="2"/>
  <c r="V61" i="2"/>
  <c r="W61" i="2" s="1"/>
  <c r="S61" i="2"/>
  <c r="K43" i="3"/>
  <c r="V62" i="2"/>
  <c r="S62" i="2"/>
  <c r="K44" i="3"/>
  <c r="V63" i="2"/>
  <c r="S63" i="2"/>
  <c r="V64" i="2"/>
  <c r="W64" i="2" s="1"/>
  <c r="S64" i="2"/>
  <c r="V65" i="2"/>
  <c r="W65" i="2" s="1"/>
  <c r="S65" i="2"/>
  <c r="K45" i="3"/>
  <c r="V66" i="2"/>
  <c r="S66" i="2"/>
  <c r="K46" i="3"/>
  <c r="C28" i="5" s="1"/>
  <c r="V67" i="2"/>
  <c r="S67" i="2"/>
  <c r="K47" i="3"/>
  <c r="V68" i="2"/>
  <c r="S68" i="2"/>
  <c r="K48" i="3"/>
  <c r="V69" i="2"/>
  <c r="S69" i="2"/>
  <c r="K49" i="3"/>
  <c r="V70" i="2"/>
  <c r="S70" i="2"/>
  <c r="K50" i="3"/>
  <c r="C7" i="5" s="1"/>
  <c r="V71" i="2"/>
  <c r="S71" i="2"/>
  <c r="K51" i="3"/>
  <c r="V72" i="2"/>
  <c r="S72" i="2"/>
  <c r="V73" i="2"/>
  <c r="W73" i="2" s="1"/>
  <c r="S73" i="2"/>
  <c r="K52" i="3"/>
  <c r="C25" i="5" s="1"/>
  <c r="V74" i="2"/>
  <c r="S74" i="2"/>
  <c r="K53" i="3"/>
  <c r="V75" i="2"/>
  <c r="S75" i="2"/>
  <c r="K54" i="3"/>
  <c r="V76" i="2"/>
  <c r="S76" i="2"/>
  <c r="K55" i="3"/>
  <c r="C24" i="5" s="1"/>
  <c r="V77" i="2"/>
  <c r="S77" i="2"/>
  <c r="K56" i="3"/>
  <c r="V79" i="2"/>
  <c r="S79" i="2"/>
  <c r="K57" i="3"/>
  <c r="C6" i="5" s="1"/>
  <c r="V80" i="2"/>
  <c r="S80" i="2"/>
  <c r="V81" i="2"/>
  <c r="W81" i="2" s="1"/>
  <c r="S81" i="2"/>
  <c r="V82" i="2"/>
  <c r="W82" i="2" s="1"/>
  <c r="S82" i="2"/>
  <c r="V83" i="2"/>
  <c r="W83" i="2" s="1"/>
  <c r="S83" i="2"/>
  <c r="V84" i="2"/>
  <c r="W84" i="2" s="1"/>
  <c r="S84" i="2"/>
  <c r="V85" i="2"/>
  <c r="W85" i="2" s="1"/>
  <c r="S85" i="2"/>
  <c r="V86" i="2"/>
  <c r="W86" i="2" s="1"/>
  <c r="S86" i="2"/>
  <c r="V87" i="2"/>
  <c r="W87" i="2" s="1"/>
  <c r="S87" i="2"/>
  <c r="V88" i="2"/>
  <c r="W88" i="2" s="1"/>
  <c r="S88" i="2"/>
  <c r="V90" i="2"/>
  <c r="W90" i="2" s="1"/>
  <c r="S90" i="2"/>
  <c r="V91" i="2"/>
  <c r="W91" i="2" s="1"/>
  <c r="S91" i="2"/>
  <c r="V92" i="2"/>
  <c r="W92" i="2" s="1"/>
  <c r="S92" i="2"/>
  <c r="V93" i="2"/>
  <c r="W93" i="2" s="1"/>
  <c r="S93" i="2"/>
  <c r="K58" i="3"/>
  <c r="V94" i="2"/>
  <c r="S94" i="2"/>
  <c r="V95" i="2"/>
  <c r="W95" i="2" s="1"/>
  <c r="S95" i="2"/>
  <c r="K59" i="3"/>
  <c r="C11" i="5" s="1"/>
  <c r="V96" i="2"/>
  <c r="S96" i="2"/>
  <c r="K60" i="3"/>
  <c r="V97" i="2"/>
  <c r="S97" i="2"/>
  <c r="K61" i="3"/>
  <c r="V98" i="2"/>
  <c r="S98" i="2"/>
  <c r="K62" i="3"/>
  <c r="V99" i="2"/>
  <c r="S99" i="2"/>
  <c r="V100" i="2"/>
  <c r="W100" i="2" s="1"/>
  <c r="S100" i="2"/>
  <c r="V101" i="2"/>
  <c r="W101" i="2" s="1"/>
  <c r="S101" i="2"/>
  <c r="V102" i="2"/>
  <c r="W102" i="2" s="1"/>
  <c r="S102" i="2"/>
  <c r="K63" i="3"/>
  <c r="V103" i="2"/>
  <c r="S103" i="2"/>
  <c r="V104" i="2"/>
  <c r="W104" i="2" s="1"/>
  <c r="S104" i="2"/>
  <c r="V105" i="2"/>
  <c r="W105" i="2" s="1"/>
  <c r="S105" i="2"/>
  <c r="V106" i="2"/>
  <c r="W106" i="2" s="1"/>
  <c r="S106" i="2"/>
  <c r="V107" i="2"/>
  <c r="W107" i="2" s="1"/>
  <c r="S107" i="2"/>
  <c r="K64" i="3"/>
  <c r="V108" i="2"/>
  <c r="S108" i="2"/>
  <c r="K65" i="3"/>
  <c r="V109" i="2"/>
  <c r="S109" i="2"/>
  <c r="K66" i="3"/>
  <c r="V110" i="2"/>
  <c r="S110" i="2"/>
  <c r="V112" i="2"/>
  <c r="W112" i="2" s="1"/>
  <c r="S112" i="2"/>
  <c r="V113" i="2"/>
  <c r="W113" i="2" s="1"/>
  <c r="S113" i="2"/>
  <c r="V114" i="2"/>
  <c r="W114" i="2" s="1"/>
  <c r="S114" i="2"/>
  <c r="V115" i="2"/>
  <c r="W115" i="2" s="1"/>
  <c r="S115" i="2"/>
  <c r="V116" i="2"/>
  <c r="W116" i="2" s="1"/>
  <c r="S116" i="2"/>
  <c r="K67" i="3"/>
  <c r="V117" i="2"/>
  <c r="S117" i="2"/>
  <c r="K68" i="3"/>
  <c r="C10" i="5" s="1"/>
  <c r="V118" i="2"/>
  <c r="S118" i="2"/>
  <c r="K69" i="3"/>
  <c r="V119" i="2"/>
  <c r="S119" i="2"/>
  <c r="K70" i="3"/>
  <c r="V120" i="2"/>
  <c r="S120" i="2"/>
  <c r="K71" i="3"/>
  <c r="V121" i="2"/>
  <c r="S121" i="2"/>
  <c r="K72" i="3"/>
  <c r="V122" i="2"/>
  <c r="S122" i="2"/>
  <c r="V123" i="2"/>
  <c r="W123" i="2" s="1"/>
  <c r="S123" i="2"/>
  <c r="V124" i="2"/>
  <c r="W124" i="2" s="1"/>
  <c r="S124" i="2"/>
  <c r="V125" i="2"/>
  <c r="W125" i="2" s="1"/>
  <c r="S125" i="2"/>
  <c r="V126" i="2"/>
  <c r="W126" i="2" s="1"/>
  <c r="S126" i="2"/>
  <c r="K73" i="3"/>
  <c r="V127" i="2"/>
  <c r="S127" i="2"/>
  <c r="K74" i="3"/>
  <c r="V128" i="2"/>
  <c r="S128" i="2"/>
  <c r="K75" i="3"/>
  <c r="C13" i="5" s="1"/>
  <c r="V129" i="2"/>
  <c r="S129" i="2"/>
  <c r="K76" i="3"/>
  <c r="V130" i="2"/>
  <c r="S130" i="2"/>
  <c r="K77" i="3"/>
  <c r="V131" i="2"/>
  <c r="S131" i="2"/>
  <c r="K78" i="3"/>
  <c r="V132" i="2"/>
  <c r="S132" i="2"/>
  <c r="V133" i="2"/>
  <c r="W133" i="2" s="1"/>
  <c r="S133" i="2"/>
  <c r="V134" i="2"/>
  <c r="W134" i="2" s="1"/>
  <c r="S134" i="2"/>
  <c r="V135" i="2"/>
  <c r="W135" i="2" s="1"/>
  <c r="S135" i="2"/>
  <c r="K79" i="3"/>
  <c r="V136" i="2"/>
  <c r="S136" i="2"/>
  <c r="K80" i="3"/>
  <c r="V137" i="2"/>
  <c r="S137" i="2"/>
  <c r="K81" i="3"/>
  <c r="V138" i="2"/>
  <c r="S138" i="2"/>
  <c r="K82" i="3"/>
  <c r="V139" i="2"/>
  <c r="S139" i="2"/>
  <c r="K83" i="3"/>
  <c r="V140" i="2"/>
  <c r="S140" i="2"/>
  <c r="K84" i="3"/>
  <c r="V141" i="2"/>
  <c r="S141" i="2"/>
  <c r="V142" i="2"/>
  <c r="W142" i="2" s="1"/>
  <c r="S142" i="2"/>
  <c r="K85" i="3"/>
  <c r="V143" i="2"/>
  <c r="S143" i="2"/>
  <c r="V144" i="2"/>
  <c r="W144" i="2" s="1"/>
  <c r="S144" i="2"/>
  <c r="K86" i="3"/>
  <c r="V145" i="2"/>
  <c r="S145" i="2"/>
  <c r="K87" i="3"/>
  <c r="V146" i="2"/>
  <c r="S146" i="2"/>
  <c r="K88" i="3"/>
  <c r="V147" i="2"/>
  <c r="S147" i="2"/>
  <c r="V148" i="2"/>
  <c r="W148" i="2" s="1"/>
  <c r="S148" i="2"/>
  <c r="K89" i="3"/>
  <c r="V149" i="2"/>
  <c r="S149" i="2"/>
  <c r="K90" i="3"/>
  <c r="V150" i="2"/>
  <c r="S150" i="2"/>
  <c r="K91" i="3"/>
  <c r="V151" i="2"/>
  <c r="S151" i="2"/>
  <c r="K92" i="3"/>
  <c r="V152" i="2"/>
  <c r="S152" i="2"/>
  <c r="K93" i="3"/>
  <c r="V153" i="2"/>
  <c r="S153" i="2"/>
  <c r="K94" i="3"/>
  <c r="C18" i="5" s="1"/>
  <c r="V154" i="2"/>
  <c r="S154" i="2"/>
  <c r="K95" i="3"/>
  <c r="C16" i="5" s="1"/>
  <c r="V155" i="2"/>
  <c r="S155" i="2"/>
  <c r="K96" i="3"/>
  <c r="C14" i="5" s="1"/>
  <c r="V156" i="2"/>
  <c r="S156" i="2"/>
  <c r="K97" i="3"/>
  <c r="V157" i="2"/>
  <c r="S157" i="2"/>
  <c r="K98" i="3"/>
  <c r="V158" i="2"/>
  <c r="S158" i="2"/>
  <c r="V159" i="2"/>
  <c r="W159" i="2" s="1"/>
  <c r="S159" i="2"/>
  <c r="K99" i="3"/>
  <c r="C15" i="5" s="1"/>
  <c r="V160" i="2"/>
  <c r="S160" i="2"/>
  <c r="K100" i="3"/>
  <c r="C17" i="5" s="1"/>
  <c r="V161" i="2"/>
  <c r="S161" i="2"/>
  <c r="K101" i="3"/>
  <c r="C19" i="5" s="1"/>
  <c r="V162" i="2"/>
  <c r="S162" i="2"/>
  <c r="K102" i="3"/>
  <c r="V163" i="2"/>
  <c r="S163" i="2"/>
  <c r="K103" i="3"/>
  <c r="V164" i="2"/>
  <c r="S164" i="2"/>
  <c r="K104" i="3"/>
  <c r="V165" i="2"/>
  <c r="S165" i="2"/>
  <c r="V166" i="2"/>
  <c r="W166" i="2" s="1"/>
  <c r="S166" i="2"/>
  <c r="K105" i="3"/>
  <c r="C8" i="5" s="1"/>
  <c r="V167" i="2"/>
  <c r="S167" i="2"/>
  <c r="K106" i="3"/>
  <c r="V168" i="2"/>
  <c r="S168" i="2"/>
  <c r="K107" i="3"/>
  <c r="C26" i="5" s="1"/>
  <c r="V169" i="2"/>
  <c r="S169" i="2"/>
  <c r="K108" i="3"/>
  <c r="C23" i="5" s="1"/>
  <c r="V170" i="2"/>
  <c r="S170" i="2"/>
  <c r="K109" i="3"/>
  <c r="C12" i="5" s="1"/>
  <c r="V171" i="2"/>
  <c r="S171" i="2"/>
  <c r="K110" i="3"/>
  <c r="C9" i="5" s="1"/>
  <c r="V172" i="2"/>
  <c r="S172" i="2"/>
  <c r="K111" i="3"/>
  <c r="V173" i="2"/>
  <c r="S173" i="2"/>
  <c r="K112" i="3"/>
  <c r="V174" i="2"/>
  <c r="S174" i="2"/>
  <c r="K113" i="3"/>
  <c r="V175" i="2"/>
  <c r="S175" i="2"/>
  <c r="V176" i="2"/>
  <c r="W176" i="2" s="1"/>
  <c r="S176" i="2"/>
  <c r="K114" i="3"/>
  <c r="V177" i="2"/>
  <c r="S177" i="2"/>
  <c r="V179" i="2"/>
  <c r="W179" i="2" s="1"/>
  <c r="S179" i="2"/>
  <c r="V180" i="2"/>
  <c r="W180" i="2" s="1"/>
  <c r="S180" i="2"/>
  <c r="C172" i="4" l="1"/>
  <c r="D172" i="4" s="1"/>
  <c r="F172" i="4" s="1"/>
  <c r="B55" i="4"/>
  <c r="AG187" i="2"/>
  <c r="C20" i="1" s="1"/>
  <c r="C42" i="12"/>
  <c r="D42" i="12" s="1"/>
  <c r="F42" i="12" s="1"/>
  <c r="E44" i="4"/>
  <c r="C41" i="12"/>
  <c r="D41" i="12" s="1"/>
  <c r="F41" i="12" s="1"/>
  <c r="B20" i="1"/>
  <c r="C55" i="12"/>
  <c r="D55" i="12" s="1"/>
  <c r="F55" i="12" s="1"/>
  <c r="F43" i="4"/>
  <c r="C130" i="4" s="1"/>
  <c r="D130" i="4" s="1"/>
  <c r="F130" i="4" s="1"/>
  <c r="C129" i="4"/>
  <c r="D129" i="4" s="1"/>
  <c r="F129" i="4" s="1"/>
  <c r="E44" i="12"/>
  <c r="D44" i="12"/>
  <c r="B16" i="12"/>
  <c r="D16" i="12" s="1"/>
  <c r="F16" i="12" s="1"/>
  <c r="D14" i="12"/>
  <c r="F14" i="12" s="1"/>
  <c r="B70" i="12"/>
  <c r="D70" i="12" s="1"/>
  <c r="F70" i="12" s="1"/>
  <c r="D26" i="12"/>
  <c r="F26" i="12" s="1"/>
  <c r="B31" i="12"/>
  <c r="D31" i="12" s="1"/>
  <c r="F31" i="12" s="1"/>
  <c r="C19" i="12"/>
  <c r="D19" i="12" s="1"/>
  <c r="F19" i="12" s="1"/>
  <c r="B30" i="12"/>
  <c r="D29" i="12"/>
  <c r="F29" i="12" s="1"/>
  <c r="D30" i="12"/>
  <c r="F30" i="12" s="1"/>
  <c r="C32" i="5"/>
  <c r="E50" i="4"/>
  <c r="F50" i="4" s="1"/>
  <c r="D50" i="4"/>
  <c r="L114" i="3"/>
  <c r="W177" i="2"/>
  <c r="S114" i="3" s="1"/>
  <c r="L113" i="3"/>
  <c r="W175" i="2"/>
  <c r="S113" i="3" s="1"/>
  <c r="L112" i="3"/>
  <c r="W174" i="2"/>
  <c r="S112" i="3" s="1"/>
  <c r="L111" i="3"/>
  <c r="W173" i="2"/>
  <c r="S111" i="3" s="1"/>
  <c r="L110" i="3"/>
  <c r="D9" i="5" s="1"/>
  <c r="E9" i="5" s="1"/>
  <c r="W172" i="2"/>
  <c r="S110" i="3" s="1"/>
  <c r="F9" i="5" s="1"/>
  <c r="L109" i="3"/>
  <c r="D12" i="5" s="1"/>
  <c r="E12" i="5" s="1"/>
  <c r="W171" i="2"/>
  <c r="S109" i="3" s="1"/>
  <c r="F12" i="5" s="1"/>
  <c r="L108" i="3"/>
  <c r="D23" i="5" s="1"/>
  <c r="E23" i="5" s="1"/>
  <c r="W170" i="2"/>
  <c r="S108" i="3" s="1"/>
  <c r="F23" i="5" s="1"/>
  <c r="L107" i="3"/>
  <c r="D26" i="5" s="1"/>
  <c r="E26" i="5" s="1"/>
  <c r="W169" i="2"/>
  <c r="S107" i="3" s="1"/>
  <c r="F26" i="5" s="1"/>
  <c r="L106" i="3"/>
  <c r="W168" i="2"/>
  <c r="S106" i="3" s="1"/>
  <c r="L105" i="3"/>
  <c r="D8" i="5" s="1"/>
  <c r="E8" i="5" s="1"/>
  <c r="W167" i="2"/>
  <c r="S105" i="3" s="1"/>
  <c r="F8" i="5" s="1"/>
  <c r="L104" i="3"/>
  <c r="W165" i="2"/>
  <c r="S104" i="3" s="1"/>
  <c r="L103" i="3"/>
  <c r="W164" i="2"/>
  <c r="S103" i="3" s="1"/>
  <c r="L102" i="3"/>
  <c r="W163" i="2"/>
  <c r="S102" i="3" s="1"/>
  <c r="L101" i="3"/>
  <c r="D19" i="5" s="1"/>
  <c r="E19" i="5" s="1"/>
  <c r="W162" i="2"/>
  <c r="S101" i="3" s="1"/>
  <c r="F19" i="5" s="1"/>
  <c r="L100" i="3"/>
  <c r="D17" i="5" s="1"/>
  <c r="E17" i="5" s="1"/>
  <c r="W161" i="2"/>
  <c r="S100" i="3" s="1"/>
  <c r="F17" i="5" s="1"/>
  <c r="L99" i="3"/>
  <c r="D15" i="5" s="1"/>
  <c r="E15" i="5" s="1"/>
  <c r="W160" i="2"/>
  <c r="S99" i="3" s="1"/>
  <c r="F15" i="5" s="1"/>
  <c r="L98" i="3"/>
  <c r="W158" i="2"/>
  <c r="S98" i="3" s="1"/>
  <c r="L97" i="3"/>
  <c r="W157" i="2"/>
  <c r="S97" i="3" s="1"/>
  <c r="L96" i="3"/>
  <c r="D14" i="5" s="1"/>
  <c r="E14" i="5" s="1"/>
  <c r="W156" i="2"/>
  <c r="S96" i="3" s="1"/>
  <c r="F14" i="5" s="1"/>
  <c r="L95" i="3"/>
  <c r="D16" i="5" s="1"/>
  <c r="E16" i="5" s="1"/>
  <c r="W155" i="2"/>
  <c r="S95" i="3" s="1"/>
  <c r="F16" i="5" s="1"/>
  <c r="L94" i="3"/>
  <c r="D18" i="5" s="1"/>
  <c r="E18" i="5" s="1"/>
  <c r="W154" i="2"/>
  <c r="S94" i="3" s="1"/>
  <c r="F18" i="5" s="1"/>
  <c r="L93" i="3"/>
  <c r="W153" i="2"/>
  <c r="S93" i="3" s="1"/>
  <c r="L92" i="3"/>
  <c r="W152" i="2"/>
  <c r="S92" i="3" s="1"/>
  <c r="L91" i="3"/>
  <c r="W151" i="2"/>
  <c r="S91" i="3" s="1"/>
  <c r="L90" i="3"/>
  <c r="W150" i="2"/>
  <c r="S90" i="3" s="1"/>
  <c r="L89" i="3"/>
  <c r="W149" i="2"/>
  <c r="S89" i="3" s="1"/>
  <c r="L88" i="3"/>
  <c r="W147" i="2"/>
  <c r="S88" i="3" s="1"/>
  <c r="L87" i="3"/>
  <c r="W146" i="2"/>
  <c r="S87" i="3" s="1"/>
  <c r="L86" i="3"/>
  <c r="W145" i="2"/>
  <c r="S86" i="3" s="1"/>
  <c r="L85" i="3"/>
  <c r="W143" i="2"/>
  <c r="S85" i="3" s="1"/>
  <c r="L84" i="3"/>
  <c r="W141" i="2"/>
  <c r="S84" i="3" s="1"/>
  <c r="L83" i="3"/>
  <c r="W140" i="2"/>
  <c r="S83" i="3" s="1"/>
  <c r="L82" i="3"/>
  <c r="W139" i="2"/>
  <c r="S82" i="3" s="1"/>
  <c r="L81" i="3"/>
  <c r="W138" i="2"/>
  <c r="S81" i="3" s="1"/>
  <c r="L80" i="3"/>
  <c r="W137" i="2"/>
  <c r="S80" i="3" s="1"/>
  <c r="L79" i="3"/>
  <c r="W136" i="2"/>
  <c r="S79" i="3" s="1"/>
  <c r="L78" i="3"/>
  <c r="W132" i="2"/>
  <c r="S78" i="3" s="1"/>
  <c r="L77" i="3"/>
  <c r="W131" i="2"/>
  <c r="S77" i="3" s="1"/>
  <c r="L76" i="3"/>
  <c r="W130" i="2"/>
  <c r="S76" i="3" s="1"/>
  <c r="L75" i="3"/>
  <c r="D13" i="5" s="1"/>
  <c r="E13" i="5" s="1"/>
  <c r="W129" i="2"/>
  <c r="S75" i="3" s="1"/>
  <c r="F13" i="5" s="1"/>
  <c r="L74" i="3"/>
  <c r="W128" i="2"/>
  <c r="S74" i="3" s="1"/>
  <c r="L73" i="3"/>
  <c r="W127" i="2"/>
  <c r="S73" i="3" s="1"/>
  <c r="L72" i="3"/>
  <c r="W122" i="2"/>
  <c r="S72" i="3" s="1"/>
  <c r="L71" i="3"/>
  <c r="W121" i="2"/>
  <c r="S71" i="3" s="1"/>
  <c r="L70" i="3"/>
  <c r="W120" i="2"/>
  <c r="S70" i="3" s="1"/>
  <c r="L69" i="3"/>
  <c r="W119" i="2"/>
  <c r="S69" i="3" s="1"/>
  <c r="L68" i="3"/>
  <c r="D10" i="5" s="1"/>
  <c r="E10" i="5" s="1"/>
  <c r="W118" i="2"/>
  <c r="S68" i="3" s="1"/>
  <c r="F10" i="5" s="1"/>
  <c r="L67" i="3"/>
  <c r="W117" i="2"/>
  <c r="S67" i="3" s="1"/>
  <c r="L66" i="3"/>
  <c r="W110" i="2"/>
  <c r="S66" i="3" s="1"/>
  <c r="L65" i="3"/>
  <c r="W109" i="2"/>
  <c r="S65" i="3" s="1"/>
  <c r="L64" i="3"/>
  <c r="W108" i="2"/>
  <c r="S64" i="3" s="1"/>
  <c r="L63" i="3"/>
  <c r="W103" i="2"/>
  <c r="S63" i="3" s="1"/>
  <c r="L62" i="3"/>
  <c r="W99" i="2"/>
  <c r="S62" i="3" s="1"/>
  <c r="L61" i="3"/>
  <c r="W98" i="2"/>
  <c r="S61" i="3" s="1"/>
  <c r="L60" i="3"/>
  <c r="W97" i="2"/>
  <c r="S60" i="3" s="1"/>
  <c r="L59" i="3"/>
  <c r="D11" i="5" s="1"/>
  <c r="E11" i="5" s="1"/>
  <c r="W96" i="2"/>
  <c r="S59" i="3" s="1"/>
  <c r="F11" i="5" s="1"/>
  <c r="L58" i="3"/>
  <c r="W94" i="2"/>
  <c r="S58" i="3" s="1"/>
  <c r="L57" i="3"/>
  <c r="D6" i="5" s="1"/>
  <c r="W80" i="2"/>
  <c r="S57" i="3" s="1"/>
  <c r="F6" i="5" s="1"/>
  <c r="L56" i="3"/>
  <c r="W79" i="2"/>
  <c r="S56" i="3" s="1"/>
  <c r="L55" i="3"/>
  <c r="D24" i="5" s="1"/>
  <c r="E24" i="5" s="1"/>
  <c r="W77" i="2"/>
  <c r="S55" i="3" s="1"/>
  <c r="F24" i="5" s="1"/>
  <c r="L54" i="3"/>
  <c r="W76" i="2"/>
  <c r="S54" i="3" s="1"/>
  <c r="L53" i="3"/>
  <c r="W75" i="2"/>
  <c r="S53" i="3" s="1"/>
  <c r="L52" i="3"/>
  <c r="D25" i="5" s="1"/>
  <c r="E25" i="5" s="1"/>
  <c r="W74" i="2"/>
  <c r="S52" i="3" s="1"/>
  <c r="F25" i="5" s="1"/>
  <c r="L51" i="3"/>
  <c r="W72" i="2"/>
  <c r="S51" i="3" s="1"/>
  <c r="L50" i="3"/>
  <c r="D7" i="5" s="1"/>
  <c r="E7" i="5" s="1"/>
  <c r="W71" i="2"/>
  <c r="S50" i="3" s="1"/>
  <c r="F7" i="5" s="1"/>
  <c r="L49" i="3"/>
  <c r="W70" i="2"/>
  <c r="S49" i="3" s="1"/>
  <c r="L48" i="3"/>
  <c r="W69" i="2"/>
  <c r="S48" i="3" s="1"/>
  <c r="L47" i="3"/>
  <c r="W68" i="2"/>
  <c r="S47" i="3" s="1"/>
  <c r="L46" i="3"/>
  <c r="D28" i="5" s="1"/>
  <c r="E28" i="5" s="1"/>
  <c r="W67" i="2"/>
  <c r="S46" i="3" s="1"/>
  <c r="F28" i="5" s="1"/>
  <c r="L45" i="3"/>
  <c r="W66" i="2"/>
  <c r="S45" i="3" s="1"/>
  <c r="L44" i="3"/>
  <c r="W63" i="2"/>
  <c r="S44" i="3" s="1"/>
  <c r="L43" i="3"/>
  <c r="W62" i="2"/>
  <c r="S43" i="3" s="1"/>
  <c r="L42" i="3"/>
  <c r="W60" i="2"/>
  <c r="S42" i="3" s="1"/>
  <c r="L41" i="3"/>
  <c r="W59" i="2"/>
  <c r="S41" i="3" s="1"/>
  <c r="L40" i="3"/>
  <c r="W58" i="2"/>
  <c r="S40" i="3" s="1"/>
  <c r="L39" i="3"/>
  <c r="D29" i="5" s="1"/>
  <c r="E29" i="5" s="1"/>
  <c r="W57" i="2"/>
  <c r="S39" i="3" s="1"/>
  <c r="F29" i="5" s="1"/>
  <c r="L38" i="3"/>
  <c r="W56" i="2"/>
  <c r="S38" i="3" s="1"/>
  <c r="L37" i="3"/>
  <c r="W55" i="2"/>
  <c r="S37" i="3" s="1"/>
  <c r="L36" i="3"/>
  <c r="W52" i="2"/>
  <c r="S36" i="3" s="1"/>
  <c r="L35" i="3"/>
  <c r="W44" i="2"/>
  <c r="S35" i="3" s="1"/>
  <c r="L34" i="3"/>
  <c r="W43" i="2"/>
  <c r="S34" i="3" s="1"/>
  <c r="L33" i="3"/>
  <c r="D22" i="5" s="1"/>
  <c r="E22" i="5" s="1"/>
  <c r="W42" i="2"/>
  <c r="S33" i="3" s="1"/>
  <c r="F22" i="5" s="1"/>
  <c r="L32" i="3"/>
  <c r="D21" i="5" s="1"/>
  <c r="E21" i="5" s="1"/>
  <c r="W41" i="2"/>
  <c r="S32" i="3" s="1"/>
  <c r="F21" i="5" s="1"/>
  <c r="L31" i="3"/>
  <c r="D20" i="5" s="1"/>
  <c r="E20" i="5" s="1"/>
  <c r="W40" i="2"/>
  <c r="S31" i="3" s="1"/>
  <c r="F20" i="5" s="1"/>
  <c r="L30" i="3"/>
  <c r="D27" i="5" s="1"/>
  <c r="E27" i="5" s="1"/>
  <c r="W39" i="2"/>
  <c r="S30" i="3" s="1"/>
  <c r="F27" i="5" s="1"/>
  <c r="L29" i="3"/>
  <c r="W38" i="2"/>
  <c r="S29" i="3" s="1"/>
  <c r="L28" i="3"/>
  <c r="W37" i="2"/>
  <c r="S28" i="3" s="1"/>
  <c r="L27" i="3"/>
  <c r="D31" i="5" s="1"/>
  <c r="E31" i="5" s="1"/>
  <c r="W36" i="2"/>
  <c r="S27" i="3" s="1"/>
  <c r="F31" i="5" s="1"/>
  <c r="L26" i="3"/>
  <c r="D30" i="5" s="1"/>
  <c r="E30" i="5" s="1"/>
  <c r="W35" i="2"/>
  <c r="S26" i="3" s="1"/>
  <c r="F30" i="5" s="1"/>
  <c r="L25" i="3"/>
  <c r="W33" i="2"/>
  <c r="S25" i="3" s="1"/>
  <c r="L24" i="3"/>
  <c r="W31" i="2"/>
  <c r="S24" i="3" s="1"/>
  <c r="L23" i="3"/>
  <c r="W30" i="2"/>
  <c r="S23" i="3" s="1"/>
  <c r="L22" i="3"/>
  <c r="W28" i="2"/>
  <c r="S22" i="3" s="1"/>
  <c r="L21" i="3"/>
  <c r="W25" i="2"/>
  <c r="S21" i="3" s="1"/>
  <c r="L20" i="3"/>
  <c r="W24" i="2"/>
  <c r="S20" i="3" s="1"/>
  <c r="L19" i="3"/>
  <c r="W23" i="2"/>
  <c r="S19" i="3" s="1"/>
  <c r="L18" i="3"/>
  <c r="W22" i="2"/>
  <c r="S18" i="3" s="1"/>
  <c r="L17" i="3"/>
  <c r="W20" i="2"/>
  <c r="S17" i="3" s="1"/>
  <c r="L16" i="3"/>
  <c r="W19" i="2"/>
  <c r="S16" i="3" s="1"/>
  <c r="L15" i="3"/>
  <c r="W18" i="2"/>
  <c r="S15" i="3" s="1"/>
  <c r="L14" i="3"/>
  <c r="W17" i="2"/>
  <c r="S14" i="3" s="1"/>
  <c r="L13" i="3"/>
  <c r="W16" i="2"/>
  <c r="S13" i="3" s="1"/>
  <c r="L12" i="3"/>
  <c r="W14" i="2"/>
  <c r="S12" i="3" s="1"/>
  <c r="L11" i="3"/>
  <c r="W13" i="2"/>
  <c r="S11" i="3" s="1"/>
  <c r="L10" i="3"/>
  <c r="W12" i="2"/>
  <c r="S10" i="3" s="1"/>
  <c r="L9" i="3"/>
  <c r="W11" i="2"/>
  <c r="S9" i="3" s="1"/>
  <c r="L8" i="3"/>
  <c r="W10" i="2"/>
  <c r="S8" i="3" s="1"/>
  <c r="L7" i="3"/>
  <c r="W9" i="2"/>
  <c r="S189" i="2"/>
  <c r="V189" i="2"/>
  <c r="W8" i="2"/>
  <c r="W189" i="2" s="1"/>
  <c r="L6" i="3"/>
  <c r="W7" i="2"/>
  <c r="S6" i="3" s="1"/>
  <c r="L5" i="3"/>
  <c r="W6" i="2"/>
  <c r="S5" i="3" s="1"/>
  <c r="S188" i="2"/>
  <c r="L4" i="3"/>
  <c r="V188" i="2"/>
  <c r="B48" i="12" s="1"/>
  <c r="W5" i="2"/>
  <c r="V187" i="2"/>
  <c r="K116" i="3"/>
  <c r="S187" i="2"/>
  <c r="C55" i="4" l="1"/>
  <c r="D55" i="4" s="1"/>
  <c r="D59" i="4" s="1"/>
  <c r="E55" i="4"/>
  <c r="F55" i="4" s="1"/>
  <c r="W187" i="2"/>
  <c r="C131" i="4"/>
  <c r="D131" i="4" s="1"/>
  <c r="F131" i="4" s="1"/>
  <c r="F44" i="4"/>
  <c r="S7" i="3"/>
  <c r="R7" i="3" s="1"/>
  <c r="B37" i="4"/>
  <c r="F44" i="12"/>
  <c r="F32" i="5"/>
  <c r="D32" i="5"/>
  <c r="E6" i="5"/>
  <c r="E32" i="5" s="1"/>
  <c r="S4" i="3"/>
  <c r="W188" i="2"/>
  <c r="B49" i="12" s="1"/>
  <c r="L116" i="3"/>
  <c r="C48" i="12" s="1"/>
  <c r="D48" i="12" s="1"/>
  <c r="F48" i="12" s="1"/>
  <c r="M4" i="3"/>
  <c r="R5" i="3"/>
  <c r="M5" i="3"/>
  <c r="R6" i="3"/>
  <c r="M6" i="3"/>
  <c r="M7" i="3"/>
  <c r="R8" i="3"/>
  <c r="M8" i="3"/>
  <c r="R9" i="3"/>
  <c r="M9" i="3"/>
  <c r="R10" i="3"/>
  <c r="M10" i="3"/>
  <c r="R11" i="3"/>
  <c r="M11" i="3"/>
  <c r="R12" i="3"/>
  <c r="M12" i="3"/>
  <c r="R13" i="3"/>
  <c r="M13" i="3"/>
  <c r="R14" i="3"/>
  <c r="M14" i="3"/>
  <c r="R15" i="3"/>
  <c r="M15" i="3"/>
  <c r="R16" i="3"/>
  <c r="M16" i="3"/>
  <c r="R17" i="3"/>
  <c r="M17" i="3"/>
  <c r="R18" i="3"/>
  <c r="M18" i="3"/>
  <c r="R19" i="3"/>
  <c r="M19" i="3"/>
  <c r="R20" i="3"/>
  <c r="M20" i="3"/>
  <c r="R21" i="3"/>
  <c r="M21" i="3"/>
  <c r="R22" i="3"/>
  <c r="M22" i="3"/>
  <c r="R23" i="3"/>
  <c r="M23" i="3"/>
  <c r="R24" i="3"/>
  <c r="M24" i="3"/>
  <c r="R25" i="3"/>
  <c r="M25" i="3"/>
  <c r="R26" i="3"/>
  <c r="M26" i="3"/>
  <c r="R27" i="3"/>
  <c r="M27" i="3"/>
  <c r="R28" i="3"/>
  <c r="M28" i="3"/>
  <c r="R29" i="3"/>
  <c r="M29" i="3"/>
  <c r="R30" i="3"/>
  <c r="Q30" i="3"/>
  <c r="M30" i="3"/>
  <c r="R31" i="3"/>
  <c r="M31" i="3"/>
  <c r="R32" i="3"/>
  <c r="M32" i="3"/>
  <c r="R33" i="3"/>
  <c r="M33" i="3"/>
  <c r="R34" i="3"/>
  <c r="M34" i="3"/>
  <c r="R35" i="3"/>
  <c r="M35" i="3"/>
  <c r="R36" i="3"/>
  <c r="M36" i="3"/>
  <c r="R37" i="3"/>
  <c r="M37" i="3"/>
  <c r="R38" i="3"/>
  <c r="M38" i="3"/>
  <c r="R39" i="3"/>
  <c r="M39" i="3"/>
  <c r="R40" i="3"/>
  <c r="M40" i="3"/>
  <c r="R41" i="3"/>
  <c r="M41" i="3"/>
  <c r="R42" i="3"/>
  <c r="M42" i="3"/>
  <c r="R43" i="3"/>
  <c r="M43" i="3"/>
  <c r="R44" i="3"/>
  <c r="M44" i="3"/>
  <c r="R45" i="3"/>
  <c r="M45" i="3"/>
  <c r="R46" i="3"/>
  <c r="M46" i="3"/>
  <c r="R47" i="3"/>
  <c r="M47" i="3"/>
  <c r="R48" i="3"/>
  <c r="M48" i="3"/>
  <c r="R49" i="3"/>
  <c r="M49" i="3"/>
  <c r="R50" i="3"/>
  <c r="Q50" i="3"/>
  <c r="M50" i="3"/>
  <c r="R51" i="3"/>
  <c r="M51" i="3"/>
  <c r="R52" i="3"/>
  <c r="Q52" i="3"/>
  <c r="M52" i="3"/>
  <c r="R53" i="3"/>
  <c r="M53" i="3"/>
  <c r="R54" i="3"/>
  <c r="M54" i="3"/>
  <c r="R55" i="3"/>
  <c r="Q55" i="3"/>
  <c r="M55" i="3"/>
  <c r="R56" i="3"/>
  <c r="M56" i="3"/>
  <c r="R57" i="3"/>
  <c r="M57" i="3"/>
  <c r="R58" i="3"/>
  <c r="M58" i="3"/>
  <c r="R59" i="3"/>
  <c r="M59" i="3"/>
  <c r="R60" i="3"/>
  <c r="M60" i="3"/>
  <c r="R61" i="3"/>
  <c r="M61" i="3"/>
  <c r="R62" i="3"/>
  <c r="M62" i="3"/>
  <c r="R63" i="3"/>
  <c r="M63" i="3"/>
  <c r="R64" i="3"/>
  <c r="M64" i="3"/>
  <c r="R65" i="3"/>
  <c r="M65" i="3"/>
  <c r="R66" i="3"/>
  <c r="M66" i="3"/>
  <c r="R67" i="3"/>
  <c r="M67" i="3"/>
  <c r="R68" i="3"/>
  <c r="M68" i="3"/>
  <c r="R69" i="3"/>
  <c r="M69" i="3"/>
  <c r="R70" i="3"/>
  <c r="M70" i="3"/>
  <c r="R71" i="3"/>
  <c r="M71" i="3"/>
  <c r="R72" i="3"/>
  <c r="M72" i="3"/>
  <c r="R73" i="3"/>
  <c r="M73" i="3"/>
  <c r="R74" i="3"/>
  <c r="M74" i="3"/>
  <c r="R75" i="3"/>
  <c r="M75" i="3"/>
  <c r="R76" i="3"/>
  <c r="M76" i="3"/>
  <c r="R77" i="3"/>
  <c r="M77" i="3"/>
  <c r="R78" i="3"/>
  <c r="M78" i="3"/>
  <c r="R79" i="3"/>
  <c r="M79" i="3"/>
  <c r="R80" i="3"/>
  <c r="M80" i="3"/>
  <c r="R81" i="3"/>
  <c r="M81" i="3"/>
  <c r="R82" i="3"/>
  <c r="M82" i="3"/>
  <c r="R83" i="3"/>
  <c r="M83" i="3"/>
  <c r="R84" i="3"/>
  <c r="M84" i="3"/>
  <c r="R85" i="3"/>
  <c r="M85" i="3"/>
  <c r="R86" i="3"/>
  <c r="M86" i="3"/>
  <c r="R87" i="3"/>
  <c r="M87" i="3"/>
  <c r="R88" i="3"/>
  <c r="M88" i="3"/>
  <c r="R89" i="3"/>
  <c r="M89" i="3"/>
  <c r="R90" i="3"/>
  <c r="M90" i="3"/>
  <c r="R91" i="3"/>
  <c r="M91" i="3"/>
  <c r="R92" i="3"/>
  <c r="M92" i="3"/>
  <c r="R93" i="3"/>
  <c r="M93" i="3"/>
  <c r="R94" i="3"/>
  <c r="M94" i="3"/>
  <c r="R95" i="3"/>
  <c r="M95" i="3"/>
  <c r="R96" i="3"/>
  <c r="M96" i="3"/>
  <c r="R97" i="3"/>
  <c r="M97" i="3"/>
  <c r="R98" i="3"/>
  <c r="M98" i="3"/>
  <c r="R99" i="3"/>
  <c r="M99" i="3"/>
  <c r="R100" i="3"/>
  <c r="M100" i="3"/>
  <c r="R101" i="3"/>
  <c r="M101" i="3"/>
  <c r="R102" i="3"/>
  <c r="M102" i="3"/>
  <c r="R103" i="3"/>
  <c r="M103" i="3"/>
  <c r="R104" i="3"/>
  <c r="M104" i="3"/>
  <c r="R105" i="3"/>
  <c r="M105" i="3"/>
  <c r="R106" i="3"/>
  <c r="M106" i="3"/>
  <c r="R107" i="3"/>
  <c r="M107" i="3"/>
  <c r="R108" i="3"/>
  <c r="M108" i="3"/>
  <c r="R109" i="3"/>
  <c r="M109" i="3"/>
  <c r="R110" i="3"/>
  <c r="M110" i="3"/>
  <c r="R111" i="3"/>
  <c r="M111" i="3"/>
  <c r="R112" i="3"/>
  <c r="M112" i="3"/>
  <c r="R113" i="3"/>
  <c r="M113" i="3"/>
  <c r="R114" i="3"/>
  <c r="M114" i="3"/>
  <c r="D61" i="4" l="1"/>
  <c r="E60" i="4"/>
  <c r="C136" i="4" s="1"/>
  <c r="D136" i="4" s="1"/>
  <c r="F136" i="4" s="1"/>
  <c r="E59" i="4"/>
  <c r="F59" i="4" s="1"/>
  <c r="S116" i="3"/>
  <c r="G64" i="4"/>
  <c r="C175" i="4"/>
  <c r="D175" i="4" s="1"/>
  <c r="F175" i="4" s="1"/>
  <c r="B64" i="4"/>
  <c r="E64" i="4" s="1"/>
  <c r="C51" i="12"/>
  <c r="D51" i="12" s="1"/>
  <c r="F51" i="12" s="1"/>
  <c r="C50" i="12"/>
  <c r="D50" i="12" s="1"/>
  <c r="F50" i="12" s="1"/>
  <c r="R4" i="3"/>
  <c r="C49" i="12"/>
  <c r="D49" i="12" s="1"/>
  <c r="F49" i="12" s="1"/>
  <c r="E45" i="4"/>
  <c r="H32" i="5" s="1"/>
  <c r="Q116" i="3"/>
  <c r="U116" i="3" s="1"/>
  <c r="M116" i="3"/>
  <c r="E61" i="4" l="1"/>
  <c r="F60" i="4"/>
  <c r="C137" i="4"/>
  <c r="D137" i="4" s="1"/>
  <c r="F137" i="4" s="1"/>
  <c r="C138" i="4"/>
  <c r="D138" i="4" s="1"/>
  <c r="F138" i="4" s="1"/>
  <c r="F64" i="4"/>
  <c r="E68" i="4"/>
  <c r="F45" i="4"/>
  <c r="C133" i="4" s="1"/>
  <c r="D133" i="4" s="1"/>
  <c r="F133" i="4" s="1"/>
  <c r="C132" i="4"/>
  <c r="D132" i="4" s="1"/>
  <c r="F132" i="4" s="1"/>
  <c r="E90" i="4"/>
  <c r="C134" i="4"/>
  <c r="D134" i="4" s="1"/>
  <c r="F134" i="4" s="1"/>
  <c r="G101" i="4"/>
  <c r="E91" i="4"/>
  <c r="F61" i="4"/>
  <c r="C135" i="4" s="1"/>
  <c r="D135" i="4" s="1"/>
  <c r="F135" i="4" s="1"/>
  <c r="F68" i="4" l="1"/>
  <c r="C140" i="4" s="1"/>
  <c r="D140" i="4" s="1"/>
  <c r="F140" i="4" s="1"/>
  <c r="E92" i="4"/>
  <c r="C139" i="4"/>
  <c r="D139" i="4" s="1"/>
  <c r="F139" i="4" s="1"/>
  <c r="D30" i="1"/>
  <c r="C116" i="4"/>
  <c r="D116" i="4" s="1"/>
  <c r="C159" i="4" s="1"/>
  <c r="D159" i="4" s="1"/>
  <c r="F159" i="4" s="1"/>
  <c r="C107" i="4"/>
  <c r="D107" i="4" s="1"/>
  <c r="F90" i="4"/>
  <c r="C117" i="4"/>
  <c r="C108" i="4"/>
  <c r="E95" i="4"/>
  <c r="F91" i="4"/>
  <c r="C118" i="4" l="1"/>
  <c r="D118" i="4" s="1"/>
  <c r="C161" i="4" s="1"/>
  <c r="D161" i="4" s="1"/>
  <c r="F161" i="4" s="1"/>
  <c r="F92" i="4"/>
  <c r="C109" i="4"/>
  <c r="D109" i="4" s="1"/>
  <c r="B30" i="1"/>
  <c r="C56" i="12"/>
  <c r="D56" i="12" s="1"/>
  <c r="F56" i="12" s="1"/>
  <c r="C145" i="4"/>
  <c r="D145" i="4" s="1"/>
  <c r="F145" i="4" s="1"/>
  <c r="E99" i="4"/>
  <c r="D33" i="1" s="1"/>
  <c r="E97" i="4"/>
  <c r="F95" i="4"/>
  <c r="C30" i="1" s="1"/>
  <c r="C113" i="4"/>
  <c r="D108" i="4"/>
  <c r="C122" i="4"/>
  <c r="D122" i="4" s="1"/>
  <c r="D117" i="4"/>
  <c r="C160" i="4" s="1"/>
  <c r="D160" i="4" s="1"/>
  <c r="F160" i="4" s="1"/>
  <c r="D113" i="4" l="1"/>
  <c r="C58" i="12"/>
  <c r="D58" i="12" s="1"/>
  <c r="F58" i="12" s="1"/>
  <c r="B32" i="1"/>
  <c r="C146" i="4"/>
  <c r="D146" i="4" s="1"/>
  <c r="F146" i="4" s="1"/>
  <c r="C151" i="4"/>
  <c r="D151" i="4" s="1"/>
  <c r="F151" i="4" s="1"/>
  <c r="G104" i="4"/>
  <c r="E104" i="4"/>
  <c r="G102" i="4"/>
  <c r="E102" i="4"/>
  <c r="E101" i="4"/>
  <c r="B34" i="1" s="1"/>
  <c r="E98" i="4"/>
  <c r="F97" i="4"/>
  <c r="C155" i="4"/>
  <c r="D155" i="4" s="1"/>
  <c r="F155" i="4" s="1"/>
  <c r="F99" i="4"/>
  <c r="B65" i="12" l="1"/>
  <c r="C32" i="1"/>
  <c r="C65" i="12" s="1"/>
  <c r="D65" i="12" s="1"/>
  <c r="F65" i="12" s="1"/>
  <c r="C59" i="12"/>
  <c r="D59" i="12" s="1"/>
  <c r="F59" i="12" s="1"/>
  <c r="C62" i="12"/>
  <c r="D62" i="12" s="1"/>
  <c r="F62" i="12" s="1"/>
  <c r="B35" i="1"/>
  <c r="B33" i="1"/>
  <c r="C60" i="12"/>
  <c r="D60" i="12" s="1"/>
  <c r="F60" i="12" s="1"/>
  <c r="C61" i="12"/>
  <c r="D61" i="12" s="1"/>
  <c r="F61" i="12" s="1"/>
  <c r="B36" i="1"/>
  <c r="C152" i="4"/>
  <c r="D152" i="4" s="1"/>
  <c r="F152" i="4" s="1"/>
  <c r="C153" i="4"/>
  <c r="D153" i="4" s="1"/>
  <c r="F153" i="4" s="1"/>
  <c r="F98" i="4"/>
  <c r="C33" i="1" s="1"/>
  <c r="C157" i="4"/>
  <c r="D157" i="4" s="1"/>
  <c r="F157" i="4" s="1"/>
  <c r="F101" i="4"/>
  <c r="C34" i="1" s="1"/>
  <c r="C165" i="4"/>
  <c r="D165" i="4" s="1"/>
  <c r="F165" i="4" s="1"/>
  <c r="C163" i="4"/>
  <c r="D163" i="4" s="1"/>
  <c r="F163" i="4" s="1"/>
  <c r="E103" i="4"/>
  <c r="D36" i="1" s="1"/>
  <c r="F102" i="4"/>
  <c r="C36" i="1" s="1"/>
  <c r="C162" i="4"/>
  <c r="D162" i="4" s="1"/>
  <c r="F162" i="4" s="1"/>
  <c r="F104" i="4"/>
  <c r="C164" i="4" l="1"/>
  <c r="D164" i="4" s="1"/>
  <c r="F164" i="4" s="1"/>
  <c r="C158" i="4"/>
  <c r="D158" i="4" s="1"/>
  <c r="F158" i="4" s="1"/>
  <c r="C154" i="4"/>
  <c r="D154" i="4" s="1"/>
  <c r="F154" i="4" s="1"/>
  <c r="G176" i="4" s="1"/>
  <c r="D40" i="1" s="1"/>
  <c r="C166" i="4"/>
  <c r="D166" i="4" s="1"/>
  <c r="F166" i="4" s="1"/>
  <c r="C64" i="12" s="1"/>
  <c r="D64" i="12" s="1"/>
  <c r="F64" i="12" s="1"/>
  <c r="G77" i="12" s="1"/>
  <c r="D39" i="1" s="1"/>
  <c r="F103" i="4"/>
  <c r="F176" i="4"/>
  <c r="B40" i="1" s="1"/>
  <c r="F77" i="12" l="1"/>
  <c r="B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<sst xmlns="http://schemas.openxmlformats.org/spreadsheetml/2006/main" count="13736" uniqueCount="5836">
  <si>
    <t>Parts List v0.9 — USB-C DAC + balanced headphone amplifier</t>
  </si>
  <si>
    <t>Diego Yang · 26 Sep 2026 · tenth review round · companion to Design Specification v1.1 and Schematic Design Notes v1.0; release calculations in DAC_HPA_Calculation_Package_v1.1.zip (one verification command) · JLCPCB Standard PCBA, top side, 5 boards + owner-fitted parts · Parts List v0.8 is kept unchanged as history</t>
  </si>
  <si>
    <t>Stage readiness (26 Sep 2026)</t>
  </si>
  <si>
    <t>Stage</t>
  </si>
  <si>
    <t>Verdict</t>
  </si>
  <si>
    <t>Gate / condition</t>
  </si>
  <si>
    <t>Schematic capture</t>
  </si>
  <si>
    <t>GO</t>
  </si>
  <si>
    <t>Capture v1.0 uses the old J702 map (tip on pin 1, sleeve on pin 4, 'Mount' on 5/6). Recapture sheet 7 to the J702 map from the maker drawing (Notes sheet), and sheet 6 to Parts List v0.9 (the protection sheet)</t>
  </si>
  <si>
    <t>Provisional placement</t>
  </si>
  <si>
    <t>GO (100 × 80 mm)</t>
  </si>
  <si>
    <t>top side; zone fills Z4 52 %, Z7 59.0 % against the 60 % zone rule (59.6 % overall)</t>
  </si>
  <si>
    <t>Schematic freeze</t>
  </si>
  <si>
    <t>HOLD</t>
  </si>
  <si>
    <t>for G-1…G-4. J701 and J702 contact maps are documented from the maker drawings and confirmed on two samples at G-2 (including J701 pads 11/12 and the J702 break contacts); J101 at G-1.</t>
  </si>
  <si>
    <t>Routing</t>
  </si>
  <si>
    <t>no manufacturing data from the provisional connector assignments</t>
  </si>
  <si>
    <t>Fabrication/assembly order</t>
  </si>
  <si>
    <t>for the layout review and G-5/G-6, including JLCPCB's written confirmation of how the J101 shell stakes S1–S4 and the J702 pads 1/2 are soldered (or the owner fallback), and the 2416 film-capacitor reflow</t>
  </si>
  <si>
    <t>Board and parts (live from the lists)</t>
  </si>
  <si>
    <t>Item</t>
  </si>
  <si>
    <t>Value</t>
  </si>
  <si>
    <t>Details</t>
  </si>
  <si>
    <t>BOM lines</t>
  </si>
  <si>
    <t>Fitted component lines</t>
  </si>
  <si>
    <t>Fitted parts per board</t>
  </si>
  <si>
    <t>Unique part numbers (fitted)</t>
  </si>
  <si>
    <t>SMT joints per board</t>
  </si>
  <si>
    <t>Netlist pin rows</t>
  </si>
  <si>
    <t>Value decodes from the part number (lines)</t>
  </si>
  <si>
    <t>Stress check, current rows</t>
  </si>
  <si>
    <t>Evidence register rows</t>
  </si>
  <si>
    <t>Designators added against v0.8</t>
  </si>
  <si>
    <t>Buy-now part numbers</t>
  </si>
  <si>
    <t>Owner LCSC order: order-rule flags</t>
  </si>
  <si>
    <t>Cost for information — 5 assembled boards (no cost limit; an estimate until the supplier orders and the JLCPCB quote exist)</t>
  </si>
  <si>
    <t>US$</t>
  </si>
  <si>
    <t>NTD</t>
  </si>
  <si>
    <t>JLCPCB order (Standard PCBA)</t>
  </si>
  <si>
    <t>Owner purchase (DigiKey + LCSC)</t>
  </si>
  <si>
    <t>Total per 5-board order</t>
  </si>
  <si>
    <t>Equivalent per assembled board</t>
  </si>
  <si>
    <t>(information) Total with Economic PCBA</t>
  </si>
  <si>
    <t>Economic is not chosen (CPLD pitch limit, connector reflow)</t>
  </si>
  <si>
    <t>Change vs the v1.0 set (Parts List v0.8)</t>
  </si>
  <si>
    <t>Earlier round's comparison: saving vs US$ 1,072.87</t>
  </si>
  <si>
    <t>Line items rounded to the cent; totals computed from unrounded values. Prices, stock and JLCPCB classes are those of the web-page copies read on 26 Sep 2026.</t>
  </si>
  <si>
    <t>Checks</t>
  </si>
  <si>
    <t>All checks</t>
  </si>
  <si>
    <t>Cost reconciliation with the cost report</t>
  </si>
  <si>
    <t>Open item: no JLCPCB-placed part at a process limit</t>
  </si>
  <si>
    <t>OPEN</t>
  </si>
  <si>
    <t>until JLCPCB's written answer on how the J101 shell stakes S1–S4 and the J702 slot pads 1/2 are soldered (G-6); not counted as a pass</t>
  </si>
  <si>
    <t>Open point for the owner: slot-pad copper ring of J701 / J702 (decide before the G-3 overlay)</t>
  </si>
  <si>
    <t>J702 0.20 mm (0.60 mm slots in 1.00 mm pads), J701 0.25 mm (0.50 mm slots in 1.00 mm pads; 0.20 mm at the +0.10 mm slot tolerance) — above JLCPCB's 0.18 mm minimum, at or below its 0.25 mm recommendation, below this design's 0.30 mm rule; the pads stay as the maker drawings give them until the owner decides (Notes sheet); not counted as a pass</t>
  </si>
  <si>
    <t>What changed in v0.9 (details on the Notes sheet)</t>
  </si>
  <si>
    <t>History-robust hardware protection: per-leg over-range stages U611/U612 (TLV1704) and low-level persistence stages U613–U620 (TLV3402IDGKR) replace the per-leg RC window stage; the pair persistence detector and the re-arm latch are unchanged. From any reachable pre-fault state (rail-bounded, E): DC ±2 V on a leg removed ≤ 27.2 ms, ±1 V ≤ 102.7 ms; rail-stuck leg 26.48 / 13.24 mJ at 16 / 32 Ω on the 4.049 V R501-fallback rail.</t>
  </si>
  <si>
    <t>Hardware requirement with a level floor: |leg| ≥ 0.34 V and |pair| ≥ 0.68 V (R-74, E); frozen codes with 0.34 V ≤ |leg| ≤ 1.008 V are removed ≤ 118.8 ms (the bound at the floor); below the floor the firmware tiers apply, with deadlines stated for the swept history set (T3 ≥ 0.178 / 0.195 V within 2.36 s).</t>
  </si>
  <si>
    <t>Re-arm latch described by the implemented condition: a trip that pulls node H below HREF clears the latch within ≤ 0.346 ms (0.383 ms with the R501 fallback); the latch tests (A-39) are open obligations.</t>
  </si>
  <si>
    <t>Fault energy: the Spec DC-energy definition is kept; under it every calculated case meets 30 / 15 mJ under the stated engineering-estimate assumptions. The one exception needing the owner's attention is the High-mode 32 Ω balanced frozen full-scale case: it meets 15 mJ only with the typical output-swing credit (A-45), so it remains an owner decision with a bring-up energy test. Total terminal energies are published for information (32 Ω balanced, High mode 24.1–24.7 mJ).</t>
  </si>
  <si>
    <t>Calibration rule: the content boundaries are guaranteed only at or below the calibrated level; an uncalibrated board runs at −4.5 dB. LPW content boundary with the 10 nA leakage allowance (E): steady offsets below 0.116 FS never mute, at or above 0.162 FS they mute on every unit; full-scale sines below 6.5 Hz (6.54 Hz with the allowance) and squares up to about 7 Hz can mute.</t>
  </si>
  <si>
    <t>Boot self-test: all implemented (pairwise) tests every boot, 3.68 s (alternative: 2.96 s, rotating the over-range direction, so all implemented tests run within four boots); new steps (f) LPW and (g) OR and the (e) word; PC15 = N6_ORTEST; per-channel coverage comes at production.</t>
  </si>
  <si>
    <t>Parts: TLV3402IDGKR buy now into the JLCPCB part library (about 152 in stock); TLV1704AIPWR 6 per board (≥ 31 in LCSC stock at order time); FH C0G 0603 / 1206 and onsemi MMBT3904LT1G (Q623–Q627) at the PCBA order; zone fills Z4 52 %, Z7 59.0 %.</t>
  </si>
  <si>
    <t>New Changes vs v0.8 sheet (65 designators added, 22 removed, 4 changed); Evidence register rebuilt (120 rows: G 13, E 80, Q 22, 5 retired or process rows, R-70 now an open process item; no Q row has passed, because no board exists); stress check 181 current rows, 0 FAIL.</t>
  </si>
  <si>
    <t>Schematic-capture review and maker drawings (26 Sep 2026): J701 follows the owner-approved 12-pad map, which the G-Switch maker drawing confirms (pads 11/12 are mounting tabs; 12 owner-fitted THT joints); J702 takes its contact map from the HRO maker drawing — sleeve and ring 2 on GND, ring 1 on JACK_RP, tip on JACK_LP, and pins 5/6, the break contacts, with no connection; G-2 confirms both maps on two samples. How JLCPCB solders the J101 shell stakes S1–S4 and the J702 slot pads 1/2 (the two GND terminals) is an owner question before the order (fallback: the owner hand-solders them); no manufacturing data from the provisional connector assignments.</t>
  </si>
  <si>
    <t>Update of 26 Sep 2026: jack maps from the maker drawings; Parts list, Netlist, Nets, Stress check, Changes vs v0.8 and Evidence register re-imported from the refreshed design data (1445 netlist pin rows = 1393 component pins + 52 test pads; SMT 1339 / THT 18 joints per board: J101 4, J701 12, J702 2); cost US$ 949.43 = NTD 30,125 (−US$ 0.01: J702 SMT joints 6 → 4); the Checks sheet also checks the J701 / J702 netlist rows pin by pin.</t>
  </si>
  <si>
    <t>Owner decisions and actions — adopted defaults (alternatives and their costs on the Notes sheet)</t>
  </si>
  <si>
    <t>Decision</t>
  </si>
  <si>
    <t>Adopted default</t>
  </si>
  <si>
    <t>Alternative</t>
  </si>
  <si>
    <t>1. 32 Ω balanced frozen full scale, High mode</t>
  </si>
  <si>
    <t>A: a stated E item (A-45) plus the bring-up energy test, 0 parts; it meets 15 mJ only with the typical output-swing credit</t>
  </si>
  <si>
    <t>B: calibrated full scale −0.6 dB and a −5.1 dB default, 0 parts — breaks the 300 Ω power targets (about 27 mW)</t>
  </si>
  <si>
    <t>2. Fault-energy definition</t>
  </si>
  <si>
    <t>keep the Spec DC-energy definition; publish the total terminal energies</t>
  </si>
  <si>
    <t>a total-energy requirement would need a hardware change (fast over-range stage: 16 parts, Z4 about 60 %)</t>
  </si>
  <si>
    <t>3. Boot self-test time</t>
  </si>
  <si>
    <t>all implemented (pairwise) tests every boot, 3.68 s</t>
  </si>
  <si>
    <t>2.96 s, rotating the over-range direction, so all implemented tests run within four boots</t>
  </si>
  <si>
    <t>4. Self-test coverage</t>
  </si>
  <si>
    <t>A: pairwise, stated as a limitation; per-channel coverage at the production per-leg injection; 0 parts</t>
  </si>
  <si>
    <t>B: per-channel OR test, +1 part, 4.65 s; C: B plus per-channel LPW tests, about +4 to 6 parts, 5.92 s</t>
  </si>
  <si>
    <t>5. LPW content boundary (A-44)</t>
  </si>
  <si>
    <t>adopted: a filtered tap beyond the level for ≥ 70.8 ms may mute (raw full-scale excursion ≥ 62.9 ms); steady offsets below 0.116 FS never mute, from 0.162 FS always (10 nA allowance); 0 parts</t>
  </si>
  <si>
    <t>none that keeps the hardware requirement</t>
  </si>
  <si>
    <t>6. Board size</t>
  </si>
  <si>
    <t>100 × 80 mm carried over (fill 59.6 %: Z4 52 %, Z7 59.0 %)</t>
  </si>
  <si>
    <t>100 × 70 mm: fill 68 %, above the 60 % zone rule; not recommended</t>
  </si>
  <si>
    <t>7. Output impedance (R-15): contact-resistance assumption</t>
  </si>
  <si>
    <t>kept by the owner (27 Sep 2026): J701/J702 50 mΩ per contact, 0 Ω links 50 mΩ each; R-15 stays E (0.251 / 0.383 Ω) until the bring-up output-impedance measurement</t>
  </si>
  <si>
    <t>none: the maker drawings give no contact-resistance maximum that would make these terms G</t>
  </si>
  <si>
    <t>8. Owner action before the order: JLCPCB process question</t>
  </si>
  <si>
    <t>ask JLCPCB how it solders the J101 shell stakes S1–S4 and the J702 slot pads 1/2 (question quoted on the Notes sheet)</t>
  </si>
  <si>
    <t>fallback, no cost: the owner hand-solders S1–S4 (4 joints) and J702 pads 1/2 (2 joints) from the bottom side before the first plug-in; J702 becomes owner-fitted if JLCPCB cannot assemble it</t>
  </si>
  <si>
    <t>Sheets in this workbook</t>
  </si>
  <si>
    <t>Parts list</t>
  </si>
  <si>
    <t>every BOM line with value, rating, part number, sourcing, fit (owner flag), joints, prices and 5-board quantities</t>
  </si>
  <si>
    <t>Purchasing list</t>
  </si>
  <si>
    <t>the JLCPCB order by part number and the two owner orders, with the order-rule check</t>
  </si>
  <si>
    <t>Cost</t>
  </si>
  <si>
    <t>inputs, fees, global-sourcing extras, owner orders, totals and the reconciliation with section 1 of the cost report</t>
  </si>
  <si>
    <t>Ordering plan</t>
  </si>
  <si>
    <t>buy-now and pre-order lines, owner orders, fitting order, global-sourced lines, order remarks, release gates</t>
  </si>
  <si>
    <t>Changes vs v0.8</t>
  </si>
  <si>
    <t>added, removed and changed parts of the tenth review round</t>
  </si>
  <si>
    <t>Netlist</t>
  </si>
  <si>
    <t>every pin of every part and test pad</t>
  </si>
  <si>
    <t>Nets</t>
  </si>
  <si>
    <t>one line per net, pin counts checked live</t>
  </si>
  <si>
    <t>Stress check</t>
  </si>
  <si>
    <t>every current stress row against its datasheet limit</t>
  </si>
  <si>
    <t>Evidence register</t>
  </si>
  <si>
    <t>every requirement and limit with its evidence class (G / E / Q) and its capping input</t>
  </si>
  <si>
    <t>Notes &amp; open items</t>
  </si>
  <si>
    <t>what changed, owner decisions, limitations, thin margins, open qualification obligations, sourcing risks, gates, open items and the change log</t>
  </si>
  <si>
    <t>the workbook checks itself</t>
  </si>
  <si>
    <t>Parts list — every BOM line, grouped by block</t>
  </si>
  <si>
    <t>One part per line, grouped by block. Fit: Yes = placed by JLCPCB; Owner = owner-fitted (bought by the owner, hand-soldered after delivery, not in the JLCPCB order); No = DNF; Pads = copper only; No part = layout items; Board = bare PCB. Unit prices in US$ (LCSC/JLCPCB sample tier; distributor prices for global-sourced and owner-bought parts). No spare-parts stock: JLCPCB lines buy the exact 5-board quantity plus attrition (Cost sheet inputs); a pre-ordered LCSC line buys at least its LCSC order quantity. Helper columns Z–AG feed the Checks sheet (AC–AG: the value decoded from the part number against the Value column).</t>
  </si>
  <si>
    <t>Block</t>
  </si>
  <si>
    <t>Designators</t>
  </si>
  <si>
    <t>Qty per board</t>
  </si>
  <si>
    <t>Description</t>
  </si>
  <si>
    <t>Package</t>
  </si>
  <si>
    <t>Rating / tolerance</t>
  </si>
  <si>
    <t>Part number (MPN)</t>
  </si>
  <si>
    <t>LCSC no.</t>
  </si>
  <si>
    <t>JLCPCB class</t>
  </si>
  <si>
    <t>Source</t>
  </si>
  <si>
    <t>Stock and sourcing</t>
  </si>
  <si>
    <t>Fit (Yes = JLCPCB, Owner = owner-fitted)</t>
  </si>
  <si>
    <t>Leadless (X-ray)</t>
  </si>
  <si>
    <t>SMT joints per part</t>
  </si>
  <si>
    <t>Through-hole joints per part</t>
  </si>
  <si>
    <t>Unit price US$</t>
  </si>
  <si>
    <t>Qty for 5 boards</t>
  </si>
  <si>
    <t>Line cost US$, 5 boards (exact)</t>
  </si>
  <si>
    <t>Attrition rule</t>
  </si>
  <si>
    <t>LCSC order quantity (input)</t>
  </si>
  <si>
    <t>Qty to buy (5 boards + attrition)</t>
  </si>
  <si>
    <t>Line cost US$ (qty to buy)</t>
  </si>
  <si>
    <t>Datasheet</t>
  </si>
  <si>
    <t>Notes</t>
  </si>
  <si>
    <t>Designator list (helper)</t>
  </si>
  <si>
    <t>Designators on line (helper)</t>
  </si>
  <si>
    <t>New MPN (helper)</t>
  </si>
  <si>
    <t>Value-code family (helper)</t>
  </si>
  <si>
    <t>Value code (helper)</t>
  </si>
  <si>
    <t>Value from part number, Ω or F (helper)</t>
  </si>
  <si>
    <t>Value as entered, Ω or F (helper)</t>
  </si>
  <si>
    <t>Value check (helper)</t>
  </si>
  <si>
    <t>1 USB-C input, OVP and sensing</t>
  </si>
  <si>
    <t>C101</t>
  </si>
  <si>
    <t>DNF: shell-to-GND RF capacitor (only if R107 becomes a bleed resistor)</t>
  </si>
  <si>
    <t>4.7 nF</t>
  </si>
  <si>
    <t>0402</t>
  </si>
  <si>
    <t>50 V X7R</t>
  </si>
  <si>
    <t>FH 0402B472K500NT</t>
  </si>
  <si>
    <t>C1538</t>
  </si>
  <si>
    <t>Basic</t>
  </si>
  <si>
    <t>— (DNF)</t>
  </si>
  <si>
    <t>As in Parts List v0.6</t>
  </si>
  <si>
    <t>No</t>
  </si>
  <si>
    <t>—</t>
  </si>
  <si>
    <t>https://www.lcsc.com/product-detail/C1538.html</t>
  </si>
  <si>
    <t>Unchanged</t>
  </si>
  <si>
    <t>,C101,</t>
  </si>
  <si>
    <t>FH</t>
  </si>
  <si>
    <t>C102</t>
  </si>
  <si>
    <t>VBUS input capacitor at J101 / U102 IN, also the U502 input capacitor (attach region A ≤ 29.6 µC with the 3V3M charge; hard-short kick with D102: U102 IN ≤ 17.08 V)</t>
  </si>
  <si>
    <t>2.2 µF</t>
  </si>
  <si>
    <t>0805</t>
  </si>
  <si>
    <t>25 V X5R ±10 %</t>
  </si>
  <si>
    <t>Samsung CL21A225KAFNNNE</t>
  </si>
  <si>
    <t>C87994</t>
  </si>
  <si>
    <t>Extended</t>
  </si>
  <si>
    <t>JLCPCB library</t>
  </si>
  <si>
    <t>LCSC C87994; DigiKey 80,862 (23 Sep 2026) — confirm the stock in the JLCPCB BOM tool at order</t>
  </si>
  <si>
    <t>Yes</t>
  </si>
  <si>
    <t>Passive: +5 %, min +2</t>
  </si>
  <si>
    <t>Changed 4.7 µF → 2.2 µF (suspend power cut: the 3V3M capacitors now charge at plug-in through U502)</t>
  </si>
  <si>
    <t>,C102,</t>
  </si>
  <si>
    <t>Samsung CL</t>
  </si>
  <si>
    <t>C103</t>
  </si>
  <si>
    <t>VBUS_SENSE ADC input capacitor at PA1 (tau 3.6 µs with R105/R106; brown-out watchdog acts before the MCU reset)</t>
  </si>
  <si>
    <t>100 pF</t>
  </si>
  <si>
    <t>50 V C0G ±5 %</t>
  </si>
  <si>
    <t>Samsung CL05C101JB5NNNC</t>
  </si>
  <si>
    <t>C1546</t>
  </si>
  <si>
    <t>JLCPCB Basic</t>
  </si>
  <si>
    <t>https://www.lcsc.com/product-detail/C1546.html</t>
  </si>
  <si>
    <t>Changed from 10 nF X7R to 100 pF C0G (fast brown-out detection)</t>
  </si>
  <si>
    <t>,C103,</t>
  </si>
  <si>
    <t>C104</t>
  </si>
  <si>
    <t>U102 EN delay capacitor (EN to GND, with R109 470 k): U102 switches on 3.31–55.3 ms after plug-in at every corner</t>
  </si>
  <si>
    <t>100 nF</t>
  </si>
  <si>
    <t>16 V X7R ±10 %</t>
  </si>
  <si>
    <t>Samsung CL05B104KO5NNNC</t>
  </si>
  <si>
    <t>C1525</t>
  </si>
  <si>
    <t>https://www.lcsc.com/product-detail/C1525.html</t>
  </si>
  <si>
    <t>New; the two plug-in charge regions stay ≥ 1.96 ms apart</t>
  </si>
  <si>
    <t>,C104,</t>
  </si>
  <si>
    <t>D102</t>
  </si>
  <si>
    <t>VBUS TVS at J101 (VBUS-GND, unidirectional, cathode to VBUS): U102 IN ≤ 17.08 V at a 5V_SYS hard short with no tIOS credit (20 V absolute maximum); VRWM 12 V so a mis-set 9 V source is below stand-off</t>
  </si>
  <si>
    <t>12 V</t>
  </si>
  <si>
    <t>DO-214AB (SMC)</t>
  </si>
  <si>
    <t>VRWM 12 V, VBR 13.3-14.7 V, VC 19.9 V at 150.8 A, IR ≤ 2 µA at 12 V (25 °C), 3000 W</t>
  </si>
  <si>
    <t>Littelfuse SMDJ12A</t>
  </si>
  <si>
    <t>Owner purchase (DigiKey)</t>
  </si>
  <si>
    <t>Owner purchase (DigiKey): 5,498 in stock (Sep 2026), US$ 1.01 at 10+; LCSC SMDJ12A (MDD C2994091, TSC C3717799) out of stock; LGE C5806873 not adopted (IR/VBR maximum not verifiable)</t>
  </si>
  <si>
    <t>Owner</t>
  </si>
  <si>
    <t>Owner purchase: 5 × qty</t>
  </si>
  <si>
    <t>https://www.littelfuse.com/products/overvoltage-protection/tvs-diodes/surface-mount/smdj/smdj12a</t>
  </si>
  <si>
    <t>Owner-fitted: hand-soldered after delivery, not placed by JLCPCB; fitted first, before the first USB plug-in; SMC lands with toes +0.3 mm, ≥ 1.5 mm iron clearance, ≤ 5 mm from J101; polarity gate G-4 (band = cathode = VBUS)</t>
  </si>
  <si>
    <t>,D102,</t>
  </si>
  <si>
    <t>J101</t>
  </si>
  <si>
    <t>USB-C receptacle, USB 2.0: 16 contacts on the 12 composite GCT solder lands (shared A1/B12, A4/B9, B4/A9, B1/A12; single A5, A6, A7, A8, B5, B6, B7, B8) plus the plated shell stakes S1–S4; the provisional footprint uses the 16 JLCPCB pad IDs (each shared land is two touching pads on one net), plus two Ø0.65 mm non-plated locating holes; pin-in-paste on S1–S4 only after JLCPCB confirms the process and the aperture geometry (G-6); fallback: the owner hand-solders S1–S4 from the bottom side before the first plug-in (the stakes carry the shell and the mechanical retention); shell to GND via R107</t>
  </si>
  <si>
    <t>SMD horizontal top mount, 0.95 mm shell stakes</t>
  </si>
  <si>
    <t>48 V DC (GCT page; drawing 20 V), VBUS 5 A, GND 6.25 A, others 0.25 A, 40 mΩ max; solder peak 255 °C (-0/+5) max 5 s</t>
  </si>
  <si>
    <t>GCT USB4105-GF-A</t>
  </si>
  <si>
    <t>C3020560</t>
  </si>
  <si>
    <t>Global sourcing</t>
  </si>
  <si>
    <t>LCSC out of stock (14 Sep 2026); DigiKey 127,933 (24 Sep 2026) → JLCPCB global sourcing; JLCPCB lists it as Economic and Standard, assembly difficulty high</t>
  </si>
  <si>
    <t>Other: +1</t>
  </si>
  <si>
    <t>https://gct.co/connector/usb4105 (drawing text: https://www.mouser.com/datasheet/2/837/USB4105-1948910.pdf)</t>
  </si>
  <si>
    <t>Changed from the SHOU HAN receptacle; pads named by contact per the GCT drawing; Standard PCBA reflow 240 °C (JLCPCB to confirm the dwell, order remark); provisional footprint J101_USB4105-GF-A_12lands_4stakes (label ↔ JLCPCB pad-ID mapping on the Notes sheet); gates G-1 continuity (2 samples) and G-3 1:1 overlay; the S1–S4 soldering process is a G-6 order-release item</t>
  </si>
  <si>
    <t>,J101,</t>
  </si>
  <si>
    <t>R101, R102</t>
  </si>
  <si>
    <t>CC1/CC2 Rd pull-down (USB-C sink)</t>
  </si>
  <si>
    <t>5.1 kΩ</t>
  </si>
  <si>
    <t>1 %</t>
  </si>
  <si>
    <t>UNI-ROYAL 0402WGF5101TCE</t>
  </si>
  <si>
    <t>C25905</t>
  </si>
  <si>
    <t>https://www.lcsc.com/product-detail/C25905.html</t>
  </si>
  <si>
    <t>,R101,R102,</t>
  </si>
  <si>
    <t>UNI-ROYAL</t>
  </si>
  <si>
    <t>R103, R104</t>
  </si>
  <si>
    <t>CC1/CC2 series resistor to MCU ADC (CC1_ADC, CC2_ADC)</t>
  </si>
  <si>
    <t>10 kΩ</t>
  </si>
  <si>
    <t>UNI-ROYAL 0402WGF1002TCE</t>
  </si>
  <si>
    <t>C25744</t>
  </si>
  <si>
    <t>https://www.lcsc.com/product-detail/C25744.html</t>
  </si>
  <si>
    <t>,R103,R104,</t>
  </si>
  <si>
    <t>R105</t>
  </si>
  <si>
    <t>VBUS_SENSE divider top, from 5V_SYS</t>
  </si>
  <si>
    <t>100 kΩ</t>
  </si>
  <si>
    <t>UNI-ROYAL 0402WGF1003TCE</t>
  </si>
  <si>
    <t>C25741</t>
  </si>
  <si>
    <t>https://www.lcsc.com/product-detail/C25741.html</t>
  </si>
  <si>
    <t>Now on 5V_SYS (after the OVP)</t>
  </si>
  <si>
    <t>,R105,</t>
  </si>
  <si>
    <t>R106</t>
  </si>
  <si>
    <t>VBUS_SENSE divider bottom (k = 0.3197; 5.55 V → 1.77 V)</t>
  </si>
  <si>
    <t>47 kΩ</t>
  </si>
  <si>
    <t>UNI-ROYAL 0402WGF4702TCE</t>
  </si>
  <si>
    <t>C25792</t>
  </si>
  <si>
    <t>https://www.lcsc.com/product-detail/C25792.html</t>
  </si>
  <si>
    <t>Unchanged value</t>
  </si>
  <si>
    <t>,R106,</t>
  </si>
  <si>
    <t>R107</t>
  </si>
  <si>
    <t>USB-C shell to GND (0 Ω)</t>
  </si>
  <si>
    <t>0 Ω</t>
  </si>
  <si>
    <t>jumper</t>
  </si>
  <si>
    <t>UNI-ROYAL 0402WGF0000TCE</t>
  </si>
  <si>
    <t>C17168</t>
  </si>
  <si>
    <t>https://www.lcsc.com/product-detail/C17168.html</t>
  </si>
  <si>
    <t>,R107,</t>
  </si>
  <si>
    <t>R108</t>
  </si>
  <si>
    <t>U102 current-limit resistor (IOS 870/970/1077 mA ≥ the 760.77 mA of state S4: +109 mA to the minimum; 765.27 mA with the NDK X201 second source)</t>
  </si>
  <si>
    <t>1 %, 62.5 mW</t>
  </si>
  <si>
    <t>JLCPCB Basic (same type as R105, R303, R511–R513)</t>
  </si>
  <si>
    <t>https://www.lcsc.com/product-detail/C19709.html</t>
  </si>
  <si>
    <t>Cost patch: changed 86.6 k (Extended) → 100 k (Basic)</t>
  </si>
  <si>
    <t>,R108,</t>
  </si>
  <si>
    <t>R109</t>
  </si>
  <si>
    <t>U102 EN pull-up to VBUS (TI: ≥ 300 k; with C104, U102 switches on 3.3–55 ms after plug-in)</t>
  </si>
  <si>
    <t>470 kΩ</t>
  </si>
  <si>
    <t>UNI-ROYAL 0402WGF4703TCE</t>
  </si>
  <si>
    <t>C25790</t>
  </si>
  <si>
    <t>Basic (not verified)</t>
  </si>
  <si>
    <t>Same type as R532</t>
  </si>
  <si>
    <t>https://www.lcsc.com/product-detail/C25774.html</t>
  </si>
  <si>
    <t>Cost patch: changed 300 k → 470 k (one part type less); USB D+ attach ≤ 79.2 ms against the 100 ms USB limit</t>
  </si>
  <si>
    <t>,R109,</t>
  </si>
  <si>
    <t>U101</t>
  </si>
  <si>
    <t>ESD array D+/D−; VBUS pin (5) tied to 3V3M (5V_SYS is off in suspend; on 5V_SYS the D+ pull-up would back-feed it through the upper diode)</t>
  </si>
  <si>
    <t>SOT-23-6</t>
  </si>
  <si>
    <t>IRM ≤ 150 nA at 5.25 V, 3.5 pF</t>
  </si>
  <si>
    <t>ST USBLC6-2SC6</t>
  </si>
  <si>
    <t>C7519</t>
  </si>
  <si>
    <t>https://www.st.com/resource/en/datasheet/usblc6-2.pdf</t>
  </si>
  <si>
    <t>Pin 5 moved from 5V_SYS to 3V3M (suspend power cut)</t>
  </si>
  <si>
    <t>,U101,</t>
  </si>
  <si>
    <t>U102</t>
  </si>
  <si>
    <t>Input OVP eFuse: 5.25-5.55 V output clamp, OVLO 6.8-8.45 V, 20 V abs max IN, 99 mΩ max, built-in soft start</t>
  </si>
  <si>
    <t>WSON-6 2 × 2 (DRV) + pad</t>
  </si>
  <si>
    <t>IOS 0.87–1.08 A with R108 100 k</t>
  </si>
  <si>
    <t>TI TPS25200DRVR</t>
  </si>
  <si>
    <t>C128401</t>
  </si>
  <si>
    <t>JLCPCB 19,166 available (Aug 2026)</t>
  </si>
  <si>
    <t>https://www.ti.com/lit/ds/symlink/tps25200.pdf</t>
  </si>
  <si>
    <t>New: VBUS → 5V_SYS; FAULT (pin 3) not connected; pad to GND</t>
  </si>
  <si>
    <t>,U102,</t>
  </si>
  <si>
    <t>U103</t>
  </si>
  <si>
    <t>CC1/CC2 ESD, 2 channels, low capacitance, at J101</t>
  </si>
  <si>
    <t>SOT-5X3 (DRL) 5-pin</t>
  </si>
  <si>
    <t>VRWM 5.5 V, VBR ≥ 6.5 V, 10 nA at 2.5 V, 1.5 pF, IEC ±25 kV</t>
  </si>
  <si>
    <t>TI TPD2E2U06DRLR</t>
  </si>
  <si>
    <t>C1972959</t>
  </si>
  <si>
    <t>Extended (not verified)</t>
  </si>
  <si>
    <t>JLCPCB 4,257 (Apr 2025); DigiKey 87,628</t>
  </si>
  <si>
    <t>https://www.ti.com/lit/ds/symlink/tpd2e2u06.pdf</t>
  </si>
  <si>
    <t>New; pin 1/2 NC, 3 CC1, 4 GND, 5 CC2</t>
  </si>
  <si>
    <t>,U103,</t>
  </si>
  <si>
    <t>2 USB audio bridge (CH32V307 + AGRV2K CPLD + clocks)</t>
  </si>
  <si>
    <t>C201, C202</t>
  </si>
  <si>
    <t>Crystal load capacitors</t>
  </si>
  <si>
    <t>33 pF</t>
  </si>
  <si>
    <t>50 V C0G</t>
  </si>
  <si>
    <t>FH 0402CG330J500NT</t>
  </si>
  <si>
    <t>C1562</t>
  </si>
  <si>
    <t>https://www.lcsc.com/product-detail/C1562.html</t>
  </si>
  <si>
    <t>2 × (20 − 3.5) pF</t>
  </si>
  <si>
    <t>,C201,C202,</t>
  </si>
  <si>
    <t>C203-C210, C212-C215, C218, C219, C222-C224</t>
  </si>
  <si>
    <t>100 nF: decoupling (MCU ×8, CPLD ×3, X202/X203, U205, U206, U208) and NRST filter C212</t>
  </si>
  <si>
    <t>16 V X7R</t>
  </si>
  <si>
    <t>C216 retired; C213–C215 at CPLD pins 6/16/32; C212 = NRST filter; C217 now its own 10 nF line; C224 new (U208)</t>
  </si>
  <si>
    <t>,C203,C204,C205,C206,C207,C208,C209,C210,C212,C213,C214,C215,C218,C219,C222,C223,C224,</t>
  </si>
  <si>
    <t>C211</t>
  </si>
  <si>
    <t>MCU 3V3M bulk</t>
  </si>
  <si>
    <t>6.3 V X5R (≈ 1.1 µF at 3.3 V DC bias)</t>
  </si>
  <si>
    <t>Samsung CL05A225MQ5NSNC</t>
  </si>
  <si>
    <t>C12530</t>
  </si>
  <si>
    <t>https://www.lcsc.com/product-detail/C12530.html</t>
  </si>
  <si>
    <t>Kept (counted in the attach-charge budget)</t>
  </si>
  <si>
    <t>,C211,</t>
  </si>
  <si>
    <t>C217</t>
  </si>
  <si>
    <t>X201 high-frequency bypass at the VCC pad</t>
  </si>
  <si>
    <t>10 nF</t>
  </si>
  <si>
    <t>Samsung CL05B103KB5NNNC</t>
  </si>
  <si>
    <t>C15195</t>
  </si>
  <si>
    <t>https://www.lcsc.com/product-detail/C15195.html</t>
  </si>
  <si>
    <t>Changed 100 nF → 10 nF; Kyocera: "mount high frequency type capacitor 0.01 µF to the nearest position of oscillator"</t>
  </si>
  <si>
    <t>,C217,</t>
  </si>
  <si>
    <t>C220, C221</t>
  </si>
  <si>
    <t>Bulk: CPLD FB202 branch; MCU VDDA</t>
  </si>
  <si>
    <t>1 µF</t>
  </si>
  <si>
    <t>0603</t>
  </si>
  <si>
    <t>50 V X5R</t>
  </si>
  <si>
    <t>Samsung CL10A105KB8NNNC</t>
  </si>
  <si>
    <t>C15849</t>
  </si>
  <si>
    <t>https://www.lcsc.com/product-detail/C15849.html</t>
  </si>
  <si>
    <t>,C220,C221,</t>
  </si>
  <si>
    <t>FB202</t>
  </si>
  <si>
    <t>Ferrite bead 3V3D → CPLD VDD33/VDDA33 (AGM: bead-isolated feed)</t>
  </si>
  <si>
    <t>600 Ω @ 100 MHz</t>
  </si>
  <si>
    <t>200 mA, 0.45 Ω</t>
  </si>
  <si>
    <t>Sunlord GZ1608D601TF</t>
  </si>
  <si>
    <t>C1002</t>
  </si>
  <si>
    <t>https://www.lcsc.com/product-detail/C1002.html</t>
  </si>
  <si>
    <t>≤ 40 mA CPLD budget → 18 mV drop</t>
  </si>
  <si>
    <t>,FB202,</t>
  </si>
  <si>
    <t>J201</t>
  </si>
  <si>
    <t>Pads: MCU 2-wire SDI debug (WCH-LinkE) + BOOT0 + USART1</t>
  </si>
  <si>
    <t>8 SMD pads</t>
  </si>
  <si>
    <t>PCB pads (no component)</t>
  </si>
  <si>
    <t>PCB copper</t>
  </si>
  <si>
    <t>Pads</t>
  </si>
  <si>
    <t>Copper pads only — exclude from the JLCPCB BOM/CPL; pin 1 = N2_J201_3V3 via the DNF R241 (never power the board from the probe)</t>
  </si>
  <si>
    <t>,J201,</t>
  </si>
  <si>
    <t>J202</t>
  </si>
  <si>
    <t>Pads: CPLD 2-wire Compact-JTAG (J-Link / AGM DAP-Link)</t>
  </si>
  <si>
    <t>5 SMD pads</t>
  </si>
  <si>
    <t>Copper pads only — exclude from the JLCPCB BOM/CPL; 3V3D sense only</t>
  </si>
  <si>
    <t>,J202,</t>
  </si>
  <si>
    <t>Q207</t>
  </si>
  <si>
    <t>N-MOSFET, open-drain DAC_RESETB driver (on = DAC reset; gate PA8 + R240 pull-up to 3V3M)</t>
  </si>
  <si>
    <t>AO3400A</t>
  </si>
  <si>
    <t>SOT-23</t>
  </si>
  <si>
    <t>30 V, VGS ±12 V, VGS(th) 0.65-1.45 V, RDS(on) ≤ 48 mΩ at 2.5 V</t>
  </si>
  <si>
    <t>AOS AO3400A</t>
  </si>
  <si>
    <t>C20917</t>
  </si>
  <si>
    <t>JLCPCB Basic (same part as Q502-Q506, Q616, Q617)</t>
  </si>
  <si>
    <t>https://www.aosmd.com/res/datasheets/AO3400A.pdf</t>
  </si>
  <si>
    <t>New; replaces R233; pins 1 G, 2 S, 3 D (as Q502–Q506)</t>
  </si>
  <si>
    <t>,Q207,</t>
  </si>
  <si>
    <t>R201, R202, R207, R208, R212, R213, R216-R218, R227, R231, R232, R234, R236, R238, R239</t>
  </si>
  <si>
    <t>10 k: pull-ups/downs (NRST, BOOT0, BOOT1, I²C SCL/SDA, osc enables, mux inputs, MCLK_EN, MCLK, CPLD_NRST, MCLK_PERMIT, JTMS, JTCK) and the AVCC_EN series R236</t>
  </si>
  <si>
    <t>R212/R213/R218 changed from 2.2 k; R216/R217 now fitted; R227, R231, R232, R234, R236, R238, R239 new; R207/R208 changed to 10 k (I²C at 100 kHz)</t>
  </si>
  <si>
    <t>,R201,R202,R207,R208,R212,R213,R216,R217,R218,R227,R231,R232,R234,R236,R238,R239,</t>
  </si>
  <si>
    <t>R203-R206, R210, R211, R215, R224, R225</t>
  </si>
  <si>
    <t>Series source terminations (MCLK, I²S, osc→mux, mux→CPLD, link)</t>
  </si>
  <si>
    <t>33 Ω</t>
  </si>
  <si>
    <t>UNI-ROYAL 0402WGF330JTCE</t>
  </si>
  <si>
    <t>C25105</t>
  </si>
  <si>
    <t>https://www.lcsc.com/product-detail/C25105.html</t>
  </si>
  <si>
    <t>R215 now fitted</t>
  </si>
  <si>
    <t>,R203,R204,R205,R206,R210,R211,R215,R224,R225,</t>
  </si>
  <si>
    <t>R228-R230, R242-R246</t>
  </si>
  <si>
    <t>330 Ω: I²S capture taps to MCU I²S2 (CPLD side); ADC pin injection limiters PC0-PC4</t>
  </si>
  <si>
    <t>330 Ω</t>
  </si>
  <si>
    <t>UNI-ROYAL 0402WGF3300TCE</t>
  </si>
  <si>
    <t>C25104</t>
  </si>
  <si>
    <t>https://www.lcsc.com/product-detail/C25104.html</t>
  </si>
  <si>
    <t>R242–R246 new (at the MCU pins); LCSC C25104, JLCPCB Basic</t>
  </si>
  <si>
    <t>,R228,R229,R230,R242,R243,R244,R245,R246,</t>
  </si>
  <si>
    <t>R235, R240</t>
  </si>
  <si>
    <t>100 k: pull-down at U206 Y (X201 INH / PB1 readback / Q616 gate via R645); Q207 gate pull-up to 3V3M</t>
  </si>
  <si>
    <t>R235 and R240 new; same part as R646/R648</t>
  </si>
  <si>
    <t>,R235,R240,</t>
  </si>
  <si>
    <t>R237</t>
  </si>
  <si>
    <t>AUD_EN series resistor from MCU PC10</t>
  </si>
  <si>
    <t>4.7 kΩ</t>
  </si>
  <si>
    <t>UNI-ROYAL 0402WGF4701TCE</t>
  </si>
  <si>
    <t>C25900</t>
  </si>
  <si>
    <t>https://www.lcsc.com/product-detail/C25900.html</t>
  </si>
  <si>
    <t>New (lets the 3V3A-good supervisor override the MCU); LCSC number to be confirmed at order</t>
  </si>
  <si>
    <t>,R237,</t>
  </si>
  <si>
    <t>R241</t>
  </si>
  <si>
    <t>J201 pin 1 link to 3V3M (DNF: WCH-LinkE 3V3 is a power output)</t>
  </si>
  <si>
    <t>New DNF link; net N2_J201_3V3</t>
  </si>
  <si>
    <t>,R241,</t>
  </si>
  <si>
    <t>U201</t>
  </si>
  <si>
    <t>MCU, RISC-V V4F 144 MHz, USB2.0 HS PHY, own UAC2 firmware</t>
  </si>
  <si>
    <t>CH32V307RCT6</t>
  </si>
  <si>
    <t>LQFP-64M 10 × 10</t>
  </si>
  <si>
    <t>3.3 V, -40…85 °C</t>
  </si>
  <si>
    <t>WCH CH32V307RCT6</t>
  </si>
  <si>
    <t>C2988083</t>
  </si>
  <si>
    <t>JLCPCB 364 / LCSC 193 (Sep 2026): thin stock, single source — pre-order 6 (5 boards + 1)</t>
  </si>
  <si>
    <t>https://www.wch-ic.com/downloads/CH32V307DS0_PDF.html</t>
  </si>
  <si>
    <t>MSL 3 (bake)</t>
  </si>
  <si>
    <t>,U201,</t>
  </si>
  <si>
    <t>U202</t>
  </si>
  <si>
    <t>CPLD 2K LUT (AG32 silicon): SPI link, FIFO, I²S master, osc/mux/MCLK enables</t>
  </si>
  <si>
    <t>AGRV2KQ32</t>
  </si>
  <si>
    <t>QFN-32 4 × 4, EP 2.7</t>
  </si>
  <si>
    <t>3.3 V, TJ -40…85 °C</t>
  </si>
  <si>
    <t>AGM AGRV2KQ32</t>
  </si>
  <si>
    <t>C18208899</t>
  </si>
  <si>
    <t>LCSC 980 (Sep 2026): thin stock, single source — pre-order 6 (5 boards + 1)</t>
  </si>
  <si>
    <t>https://www.ag32mcu.com/wp-content/uploads/2026/02/AGRV2K_Rev_3_0.pdf</t>
  </si>
  <si>
    <t>Programmed via J202 (J-Link / AGM DAP-Link); AGM ships AGRV2K parts marked as the AG32VF303 of the same package (order remark); exposed-pad size and net checked at gate G-3; X-ray</t>
  </si>
  <si>
    <t>,U202,</t>
  </si>
  <si>
    <t>U205</t>
  </si>
  <si>
    <t>2:1 clock mux (family select), now fitted</t>
  </si>
  <si>
    <t>74LVC1G157</t>
  </si>
  <si>
    <t>SOT-363 (TSSOP6)</t>
  </si>
  <si>
    <t>1.65-5.5 V, IOFF</t>
  </si>
  <si>
    <t>Nexperia 74LVC1G157GW,125</t>
  </si>
  <si>
    <t>C135822</t>
  </si>
  <si>
    <t>LCSC stock</t>
  </si>
  <si>
    <t>https://assets.nexperia.com/documents/data-sheet/74LVC1G157.pdf</t>
  </si>
  <si>
    <t>S = OSC44_EN; S = L → I0 (X202)</t>
  </si>
  <si>
    <t>,U205,</t>
  </si>
  <si>
    <t>U206</t>
  </si>
  <si>
    <t>3-input AND: X201 E/D = MCLK_EN AND AVCC_EN AND MCLK_PERMIT (hardware MCLK stop)</t>
  </si>
  <si>
    <t>74LVC1G11</t>
  </si>
  <si>
    <t>1.65-5.5 V, IOFF, inputs 5.5 V tolerant, Schmitt action, tpd ≤ 4.9 ns</t>
  </si>
  <si>
    <t>Nexperia 74LVC1G11GW-Q100H</t>
  </si>
  <si>
    <t>C548242</t>
  </si>
  <si>
    <t>LCSC 3,690 (Sep 2026)</t>
  </si>
  <si>
    <t>https://assets.nexperia.com/documents/data-sheet/74LVC1G11.pdf</t>
  </si>
  <si>
    <t>Was 74LVC1G08GW (C12512, SOT353 5-pin); 6-pin SOT363-2 footprint: 1 A, 2 GND, 3 B, 4 Y, 5 VCC, 6 C; input B = N2_AVCC_EN_G; VOH ≥ VCC − 0.1 V vs Kyocera VIH 0.7 VCC; Y also feeds R645 → Q616</t>
  </si>
  <si>
    <t>,U206,</t>
  </si>
  <si>
    <t>U208</t>
  </si>
  <si>
    <t>Triple buffer, Ioff (partial power-down), 3V3M → 3V3D domain crossing of LINK_SCK/LINK_MOSI/LINK_FRAME, placed at U202</t>
  </si>
  <si>
    <t>74LVC3G34</t>
  </si>
  <si>
    <t>VSSOP-8 0.5 mm (SOT765-1, DC)</t>
  </si>
  <si>
    <t>1.65–5.5 V, Ioff ±10 µA (VCC = 0, VI/VO 5.5 V), inputs 5.5 V tolerant, tpd 1.4–4.1 ns (3.3 V ± 0.3 V, −40…85 °C), ICC ≤ 10 µA, MSL 1 260 °C</t>
  </si>
  <si>
    <t>TI SN74LVC3G34DCUR</t>
  </si>
  <si>
    <t>C130024</t>
  </si>
  <si>
    <t>LCSC 550 (25 Sep 2026), min/multiple 5 — pre-order 10</t>
  </si>
  <si>
    <t>https://assets.nexperia.com/documents/data-sheet/74LVC3G34.pdf</t>
  </si>
  <si>
    <t>Cost patch: replaces the Nexperia 74LVC3G34DC,125 (C548774, US$ 0.7647) — same DCU pinout 1 1A, 2 3Y, 3 2A, 4 GND, 5 2Y, 6 3A, 7 1Y, 8 VCC (TI datasheet pin table); the Nexperia part is the approved alternate</t>
  </si>
  <si>
    <t>,U208,</t>
  </si>
  <si>
    <t>X201</t>
  </si>
  <si>
    <t>Oscillator 80 MHz CMOS SPXO (crystal), stand-by pin 1 (oscillation stop) - DAC MCLK only</t>
  </si>
  <si>
    <t>80.000 MHz</t>
  </si>
  <si>
    <t>2.5 × 2.0 mm 4-pad, plain 2520 land (no 3225 pads)</t>
  </si>
  <si>
    <t>±50 ppm (-40…85 °C incl. initial/temp/supply/load/1-yr aging), ICC ≤ 8.0 mA loaded 15 pF (2.8-3.63 V, over temp), stand-by ≤ 5 µA, SYM 45-55 %, tr/tf ≤ 4.5 ns (10-90 %), t_dis ≤ 200 ns, enable/start-up ≤ 2 ms (spec; 3 ms catalogue), VIH ≥ 0.7 VCC, VIL ≤ 0.3 VCC, abs max 4.0 V, reflow 260 °C ×2, MSL 1</t>
  </si>
  <si>
    <t>Kyocera KC2520K80.0000C1GE00</t>
  </si>
  <si>
    <t>C1988889</t>
  </si>
  <si>
    <t>LCSC C1988889 not stocked → JLCPCB global sourcing: DigiKey 2,964 (Aug 2026), Mouser 1,375 (+10,000 on order)</t>
  </si>
  <si>
    <t>https://ele.kyocera.com/assets/products/crystal-device/specification/KC2520K80.0000C1GE00_e.pdf</t>
  </si>
  <si>
    <t>Replaces the obsolete Epson SG-210STF 75 MHz (25 Sep 2026); conditional second source NDK NSC5338D-80M (bring-up checks of disable time and edges; 12.7 mA budget; 2520 land; no R509 change); TXC 7X-80.000MBE-T withdrawn; SCTF SX3M80 (C5179978, 3225) not approved and has no land; stand-by driven by U206</t>
  </si>
  <si>
    <t>,X201,</t>
  </si>
  <si>
    <t>X202</t>
  </si>
  <si>
    <t>Oscillator 49.152 MHz ultra-low phase noise, stand-by (Hi-Z, osc stops)</t>
  </si>
  <si>
    <t>49.152 MHz</t>
  </si>
  <si>
    <t>2.5 × 2.0 mm 4-pad, plain 2520 land</t>
  </si>
  <si>
    <t>±50 ppm overall, 15 mA max, 35 µA stand-by</t>
  </si>
  <si>
    <t>NDK NZ2520SDA-49.152MHZ-NSC5083D</t>
  </si>
  <si>
    <t>JLCPCB global sourcing: DigiKey 644-NSC5083D-49.152M, 3,438 in stock (24 Sep 2026); JLCPCB record C9900006427</t>
  </si>
  <si>
    <t>https://www.ndk.com/en/products/upload/lineup/pdf/NDKT02-00008_en.pdf</t>
  </si>
  <si>
    <t>Replaces the 24.576 MHz OT3225 (C2831388); compliant second source SiT8008BI-xx-33S-49.152000 (2.5 × 2.0 mm, 4.3 µA stand-by); SCTF SX3M49.152M20F30TNN (C2901591, 3225) is a non-compliant fallback (output-disable only, both oscillators run, +25 mA: Default power targets not met) and does not fit the 2520 land</t>
  </si>
  <si>
    <t>,X202,</t>
  </si>
  <si>
    <t>X203</t>
  </si>
  <si>
    <t>Oscillator 45.1584 MHz ultra-low phase noise, stand-by (Hi-Z, osc stops)</t>
  </si>
  <si>
    <t>45.1584 MHz</t>
  </si>
  <si>
    <t>NDK NZ2520SDA-45.1584MHZ-NSC5083D</t>
  </si>
  <si>
    <t>JLCPCB global sourcing: DigiKey NSC5083D-45.158M 3,166 (Sep 2026), 24-week factory lead</t>
  </si>
  <si>
    <t>Replaces the 22.5792 MHz SX2M (C5452663); compliant second source SiT8008BI-xx-33S-45.158400; SCTF SX3M45.1584M20F30TNN (C2901589, 3225) is a non-compliant fallback (output-disable only, both oscillators run, +25 mA: Default power targets not met) and does not fit the 2520 land</t>
  </si>
  <si>
    <t>,X203,</t>
  </si>
  <si>
    <t>Y201</t>
  </si>
  <si>
    <t>Crystal, MCU HSE (USBHS PLL ref = HSE/2 = 4 MHz)</t>
  </si>
  <si>
    <t>8 MHz</t>
  </si>
  <si>
    <t>5.0 × 3.2 mm 2-pad</t>
  </si>
  <si>
    <t>±10 ppm, CL 20 pF</t>
  </si>
  <si>
    <t>YXC X50328MSB2GI</t>
  </si>
  <si>
    <t>C115962</t>
  </si>
  <si>
    <t>https://www.lcsc.com/product-detail/C115962.html</t>
  </si>
  <si>
    <t>Kept</t>
  </si>
  <si>
    <t>,Y201,</t>
  </si>
  <si>
    <t>3 DAC (ES9018K2M) and its supplies</t>
  </si>
  <si>
    <t>C301</t>
  </si>
  <si>
    <t>LP5907 input (5V_SYS); ≥ 1.04 µF effective at 5.5 V</t>
  </si>
  <si>
    <t>16 V X5R ±10 %</t>
  </si>
  <si>
    <t>Samsung CL10A225KO8NNNC</t>
  </si>
  <si>
    <t>C23630</t>
  </si>
  <si>
    <t>https://www.lcsc.com/product-detail/C23630.html</t>
  </si>
  <si>
    <t>Changed 1 µF → 2.2 µF</t>
  </si>
  <si>
    <t>,C301,</t>
  </si>
  <si>
    <t>C302</t>
  </si>
  <si>
    <t>LP5907 output (3V3A total ≤ 7.6 µF upper bound ≤ 10 µF)</t>
  </si>
  <si>
    <t>,C302,</t>
  </si>
  <si>
    <t>C303, C304, C310, C439, C440</t>
  </si>
  <si>
    <t>AVCC_L, AVCC_R and DVDD bulk at the DAC pins; C439 DVCC / C440 VCCA after FB301/FB302</t>
  </si>
  <si>
    <t>JLCPCB 3.2 M (Sep 2026)</t>
  </si>
  <si>
    <t>C439/C440 new (damp the ferrite / 100 nF resonance)</t>
  </si>
  <si>
    <t>,C303,C304,C310,C439,C440,</t>
  </si>
  <si>
    <t>C305-C309</t>
  </si>
  <si>
    <t>HF decoupling at AVCC_L, AVCC_R, VCCA, DVCC, DVDD pins</t>
  </si>
  <si>
    <t>JLCPCB stock</t>
  </si>
  <si>
    <t>,C305,C306,C307,C308,C309,</t>
  </si>
  <si>
    <t>C311</t>
  </si>
  <si>
    <t>TLV758P input (3V3D)</t>
  </si>
  <si>
    <t>50 V X5R ±10 %</t>
  </si>
  <si>
    <t>Unchanged part</t>
  </si>
  <si>
    <t>,C311,</t>
  </si>
  <si>
    <t>C312</t>
  </si>
  <si>
    <t>TLV758P output (1V3)</t>
  </si>
  <si>
    <t>,C312,</t>
  </si>
  <si>
    <t>C441</t>
  </si>
  <si>
    <t>DNF 3V3A capacitor: slows a current-limited 3V3A rise for power-up pop margin</t>
  </si>
  <si>
    <t>DNF (JLCPCB stock when fitted)</t>
  </si>
  <si>
    <t>With C440 fitted, 3V3A stays ≤ 10 µF effective (LP5907 limit) only with DC-bias credit — confirm before fitting (fallback for the power-up pop, fitted only after the bring-up measurement)</t>
  </si>
  <si>
    <t>,C441,</t>
  </si>
  <si>
    <t>FB301, FB302</t>
  </si>
  <si>
    <t>Ferrite beads: 3V3D → DVCC (FB301, 14.2 mA) and 3V3A → VCCA (FB302, 0.8 mA at 22 MHz, ≤ 2.9 mA at 80 MHz (assumption), XI buffer)</t>
  </si>
  <si>
    <t>200 mA, 0.45 Ω DCR</t>
  </si>
  <si>
    <t>FB302 new (VCCA branch)</t>
  </si>
  <si>
    <t>,FB301,FB302,</t>
  </si>
  <si>
    <t>R301, R302</t>
  </si>
  <si>
    <t>AVCC_L / AVCC_R feed from 3V3A (separate branches)</t>
  </si>
  <si>
    <t>2.2 Ω</t>
  </si>
  <si>
    <t>1 %, 0.125 W</t>
  </si>
  <si>
    <t>UNI-ROYAL 0805W8F220KT5E</t>
  </si>
  <si>
    <t>C17521</t>
  </si>
  <si>
    <t>https://www.lcsc.com/product-detail/C17521.html</t>
  </si>
  <si>
    <t>,R301,R302,</t>
  </si>
  <si>
    <t>R303</t>
  </si>
  <si>
    <t>AVCC_EN pull-down (LP5907 EN and Q502 gate)</t>
  </si>
  <si>
    <t>Unchanged; R307 deleted</t>
  </si>
  <si>
    <t>,R303,</t>
  </si>
  <si>
    <t>R305</t>
  </si>
  <si>
    <t>DAC RESETB pull-UP to DVCC for the Q207 open-drain driver; 0.33 mA from DVCC only while Q207 holds reset</t>
  </si>
  <si>
    <t>Changed from a 100 k pull-down to GND; VIH ≥ DVCC/2 + 0.4 V met with ≥ 3.0 V; VOL ≤ 7 mV with Q207; rise 0.4 µs (10–90 %)</t>
  </si>
  <si>
    <t>,R305,</t>
  </si>
  <si>
    <t>R533</t>
  </si>
  <si>
    <t>U303 feedback top (OUT → FB)</t>
  </si>
  <si>
    <t>15.0 kΩ</t>
  </si>
  <si>
    <t>0.1 %, 25 ppm/°C, thin film</t>
  </si>
  <si>
    <t>YAGEO RT0603BRD0715KL</t>
  </si>
  <si>
    <t>C326733</t>
  </si>
  <si>
    <t>LCSC 209,580 (25 Sep 2026)</t>
  </si>
  <si>
    <t>https://www.lcsc.com/product-detail/C326733.html</t>
  </si>
  <si>
    <t>New</t>
  </si>
  <si>
    <t>,R533,</t>
  </si>
  <si>
    <t>YAGEO</t>
  </si>
  <si>
    <t>R534</t>
  </si>
  <si>
    <t>U303 feedback bottom (FB → GND)</t>
  </si>
  <si>
    <t>11.0 kΩ</t>
  </si>
  <si>
    <t>YAGEO RT0603BRD0711KL</t>
  </si>
  <si>
    <t>C728581</t>
  </si>
  <si>
    <t>LCSC 2,260 (24 Sep 2026)</t>
  </si>
  <si>
    <t>https://www.lcsc.com/product-detail/C728581.html</t>
  </si>
  <si>
    <t>,R534,</t>
  </si>
  <si>
    <t>U301</t>
  </si>
  <si>
    <t>DAC, 32-bit stereo, current-mode outputs, I²C; asynchronous (DPLL) mode</t>
  </si>
  <si>
    <t>ES9018K2M</t>
  </si>
  <si>
    <t>QFN-28 5 × 5 + EP</t>
  </si>
  <si>
    <t>DNR 127 dB-A, THD+N -120 dB typ (current mode)</t>
  </si>
  <si>
    <t>ESS ES9018K2M</t>
  </si>
  <si>
    <t>C2688377</t>
  </si>
  <si>
    <t>LCSC 724: thin stock, single source — pre-order 6 (5 boards + 1)</t>
  </si>
  <si>
    <t>https://www.esstech.com/ (ES9018K2M datasheet v3.7, 22 Apr 2021)</t>
  </si>
  <si>
    <t>Exposed pad solder-mask-defined per the ESS land pattern, 5 thermal vias 0.30 mm unfilled and tented on L4 (no epoxy fill or cap), 50–70 % windowpane paste; X-ray</t>
  </si>
  <si>
    <t>,U301,</t>
  </si>
  <si>
    <t>U302</t>
  </si>
  <si>
    <t>LDO 3V3A (VCCA, AVCC_L/R, VREF, DC-sense bias), EN = AVCC_EN</t>
  </si>
  <si>
    <t>3.3 V, 250 mA</t>
  </si>
  <si>
    <t>SOT-23-5</t>
  </si>
  <si>
    <t>±2 %, 6.5 µVrms typ</t>
  </si>
  <si>
    <t>TI LP5907MFX-3.3/NOPB</t>
  </si>
  <si>
    <t>C80670</t>
  </si>
  <si>
    <t>https://www.ti.com/lit/ds/symlink/lp5907.pdf</t>
  </si>
  <si>
    <t>Unchanged; internal 230 Ω discharge not relied on</t>
  </si>
  <si>
    <t>,U302,</t>
  </si>
  <si>
    <t>U303</t>
  </si>
  <si>
    <t>LDO 1V3 (ES9018K2M external DVDD) from 3V3D, adjustable, EN = AUD_EN, internal active discharge (95 Ω typ)</t>
  </si>
  <si>
    <t>1.300 V (R533/R534)</t>
  </si>
  <si>
    <t>SOT-23-5 (DBV)</t>
  </si>
  <si>
    <t>VFB 0.55 V ±1 % (TJ ≤ 85 °C), 500 mA, VDO ≤ 400 mV</t>
  </si>
  <si>
    <t>TI TLV75801PDBVR</t>
  </si>
  <si>
    <t>C2877852</t>
  </si>
  <si>
    <t>LCSC 113,390 (24 Sep 2026)</t>
  </si>
  <si>
    <t>https://www.ti.com/lit/ds/symlink/tlv758p.pdf</t>
  </si>
  <si>
    <t>Changed from ME6216A13; pin 1 IN, 2 GND, 3 EN, 4 FB, 5 OUT; 1.272–1.325 V incl. line/load</t>
  </si>
  <si>
    <t>,U303,</t>
  </si>
  <si>
    <t>4 I/V converters and output legs</t>
  </si>
  <si>
    <t>C401-C408</t>
  </si>
  <si>
    <t>Leg lead capacitor across R2 and across R4 (phase lead; same value both sides for CMRR)</t>
  </si>
  <si>
    <t>10 pF</t>
  </si>
  <si>
    <t>50 V C0G ±5 % (±0.5 pF)</t>
  </si>
  <si>
    <t>Samsung CL10C100JB8NNNC</t>
  </si>
  <si>
    <t>C1634</t>
  </si>
  <si>
    <t>JLCPCB 1.44 M</t>
  </si>
  <si>
    <t>https://www.lcsc.com/product-detail/C1634.html</t>
  </si>
  <si>
    <t>Fallback value range 4.7–22 pF on the same footprint</t>
  </si>
  <si>
    <t>,C401,C402,C403,C404,C405,C406,C407,C408,</t>
  </si>
  <si>
    <t>C409-C412</t>
  </si>
  <si>
    <t>OPA1622 V+ and V− decoupling</t>
  </si>
  <si>
    <t>,C409,C410,C411,C412,</t>
  </si>
  <si>
    <t>C413-C416</t>
  </si>
  <si>
    <t>OPA1622 local bulk, V+ and V−</t>
  </si>
  <si>
    <t>10 µF</t>
  </si>
  <si>
    <t>Samsung CL21A106KAYNNNE</t>
  </si>
  <si>
    <t>C15850</t>
  </si>
  <si>
    <t>https://www.lcsc.com/product-detail/C15850.html</t>
  </si>
  <si>
    <t>,C413,C414,C415,C416,</t>
  </si>
  <si>
    <t>C417-C420</t>
  </si>
  <si>
    <t>I/V feedback capacitor Cf (single part, replaces 2 × 330 pF): 278 kHz with 698 Ω</t>
  </si>
  <si>
    <t>820 pF</t>
  </si>
  <si>
    <t>KEMET C0603C821J5GACTU</t>
  </si>
  <si>
    <t>C2169093</t>
  </si>
  <si>
    <t>LCSC 880; alt. Murata GRM1885C1H821JA01D</t>
  </si>
  <si>
    <t>https://www.lcsc.com/product-detail/C2169093.html</t>
  </si>
  <si>
    <t>,C417,C418,C419,C420,</t>
  </si>
  <si>
    <t>C421</t>
  </si>
  <si>
    <t>VREF HF decoupling (tau 0.19 µs: VREF tracks 3V3A)</t>
  </si>
  <si>
    <t>,C421,</t>
  </si>
  <si>
    <t>C423-C426</t>
  </si>
  <si>
    <t>OPA2210 VPOS_IV and VNEG_IV decoupling</t>
  </si>
  <si>
    <t>,C423,C424,C425,C426,</t>
  </si>
  <si>
    <t>C431-C438</t>
  </si>
  <si>
    <t>Leg T-network shunt capacitor (pole 199 kHz, HF noise gain 4 for capacitive-load stability)</t>
  </si>
  <si>
    <t>1.8 nF</t>
  </si>
  <si>
    <t>Murata GRM1885C1H182JA01D</t>
  </si>
  <si>
    <t>C97878</t>
  </si>
  <si>
    <t>LCSC 750-1,900</t>
  </si>
  <si>
    <t>https://www.lcsc.com/product-detail/C97878.html</t>
  </si>
  <si>
    <t>,C431,C432,C433,C434,C435,C436,C437,C438,</t>
  </si>
  <si>
    <t>C442, C443</t>
  </si>
  <si>
    <t>I/V supply reservoirs (N4_VPOS_IV, N4_VNEG_IV), MnO2 tantalum (no DC-bias loss): 198–242 µF</t>
  </si>
  <si>
    <t>220 µF</t>
  </si>
  <si>
    <t>7343-31 (D)</t>
  </si>
  <si>
    <t>10 V, ±10 %, ESR ≤ 0.5 Ω at 100 kHz, DCL ≤ 22 µA (0.01CV) at 25 °C (AVX TAJ rule)</t>
  </si>
  <si>
    <t>Kyocera AVX TAJD227K010RNJ</t>
  </si>
  <si>
    <t>C8024</t>
  </si>
  <si>
    <t>LCSC 44,987 in stock (25 Sep 2026) — pre-order 12</t>
  </si>
  <si>
    <t>https://www.kemet.com/ (T495 surge-robust MnO2)</t>
  </si>
  <si>
    <t>Cost patch: replaces the KEMET T495D227K010ATE100 (global sourcing, 24-week lead); polarised: C442 + to N4_VPOS_IV, C443 + to GND; applied ≤ 3.9 V = 39 % of rated; reverse clamped by D413/D414; charging current limited by the LM27762 (no surge); hold-up re-checked at 176 µF with a VF + ESR drop of 0.31 V; polarity gate G-4</t>
  </si>
  <si>
    <t>,C442,C443,</t>
  </si>
  <si>
    <t>D405-D408</t>
  </si>
  <si>
    <t>DAC-pin protection moved to the I/V outputs: dual series Schottky, common node on each OPA2210 output, lower anode to GND, upper cathode to AVCC_L (D405/D406) or AVCC_R (D407/D408); nothing on the DAC pins (virtual ground)</t>
  </si>
  <si>
    <t>BAT54S</t>
  </si>
  <si>
    <t>30 V, 200 mA, IFSM 600 mA, VF ≤ 0.5 V at 30 mA, Cd ≤ 10 pF</t>
  </si>
  <si>
    <t>Nexperia BAT54S,215</t>
  </si>
  <si>
    <t>C47546</t>
  </si>
  <si>
    <t>JLCPCB ≈ 230 k, Economic and Standard, MSL 1 (25 Sep 2026)</t>
  </si>
  <si>
    <t>https://assets.nexperia.com/documents/data-sheet/BAT54S.pdf</t>
  </si>
  <si>
    <t>Pin 1 A1, pin 2 K2, pin 3 K1/A2 (Nexperia Table 2); replaces the JSMSEMI BAT54S (C916425) at the DAC pins; polarity gate G-4</t>
  </si>
  <si>
    <t>,D405,D406,D407,D408,</t>
  </si>
  <si>
    <t>D411, D412</t>
  </si>
  <si>
    <t>I/V supply hold-up diodes: VPOS → N4_VPOS_IV (D411) and N4_VNEG_IV → VNEG (D412), low-VF Schottky</t>
  </si>
  <si>
    <t>PMEG2010AEH</t>
  </si>
  <si>
    <t>SOD-123F</t>
  </si>
  <si>
    <t>20 V, 1 A; VF ≤ 253 mV at 30 mA, 25 °C (datasheet limit); ≤ 298 mV at 30 mA and ≤ 282 mV at the 17.4 mA operating maximum, 0 °C (worst-case calculation with a typical tempco of −1.5…−1.8 mV/K) vs 0.30 V used; IR 0.28–0.44 mA at 5 V, 50 °C vs 1 mA in the hold-up model</t>
  </si>
  <si>
    <t>Nexperia PMEG2010AEH,115</t>
  </si>
  <si>
    <t>C110921</t>
  </si>
  <si>
    <t>LCSC C110921: 7,335 in stock (25 Sep 2026); the JLCPCB-placed quantity of 11 (10 + attrition) follows JLCPCB's minimums; the LCSC minimum/multiple of 5 applies only to the owner's LCSC gate-sample order</t>
  </si>
  <si>
    <t>https://assets.nexperia.com/documents/data-sheet/PMEG2010AEH.pdf</t>
  </si>
  <si>
    <t>Pin 1 cathode, pin 2 anode (SOD123F); the OPA2210 stays powered and inside its common-mode range until 3V3A &lt; 0.3 V at every hard unplug; polarity gate G-4</t>
  </si>
  <si>
    <t>,D411,D412,</t>
  </si>
  <si>
    <t>D413, D414</t>
  </si>
  <si>
    <t>Reverse clamps across the polarised I/V reservoirs: D413 GND → N4_VPOS_IV (across C442), D414 N4_VNEG_IV → GND (across C443)</t>
  </si>
  <si>
    <t>BAT54</t>
  </si>
  <si>
    <t>30 V, 200 mA; VF ≤ 400 mV at 10 mA, ≤ 500 mV at 30 mA (25 °C); IR ≤ 2 µA at 25 V, 25 °C</t>
  </si>
  <si>
    <t>Nexperia BAT54,215</t>
  </si>
  <si>
    <t>C85084</t>
  </si>
  <si>
    <t>JLCPCB stock ≫ need (same part as D104/D105)</t>
  </si>
  <si>
    <t>https://assets.nexperia.com/documents/data-sheet/BAT54_SER.pdf</t>
  </si>
  <si>
    <t>Pin 1 A, pin 2 n.c. (pad only), pin 3 K; each within 3 mm of its capacitor; C442/C443 reverse ≤ 0.47 V (≤ 13 mA, 0 °C); leakage ≤ 25 µA per rail at 60 °C (assumption)</t>
  </si>
  <si>
    <t>,D413,D414,</t>
  </si>
  <si>
    <t>R401, R403, R405, R407, R409, R411, R413, R415</t>
  </si>
  <si>
    <t>Leg input T network, first half R1a/R3a (1.30 k, stocked value)</t>
  </si>
  <si>
    <t>1.30 kΩ</t>
  </si>
  <si>
    <t>0.1 %, 25 ppm/K, thin film, 0.1 W</t>
  </si>
  <si>
    <t>YAGEO RT0603BRD071K3L</t>
  </si>
  <si>
    <t>C705738</t>
  </si>
  <si>
    <t>LCSC 100 in stock (25 Sep 2026, min/multiple 20): buy now 60 = 40 + attrition (order multiple)</t>
  </si>
  <si>
    <t>https://www.digikey.com/en/products/detail/susumu/RG1608N-132-W-T1/600600</t>
  </si>
  <si>
    <t>Cost patch: replaces the Susumu RG1608N-132-W-T1 0.05 %/10 ppm (global sourcing). With the mixed leg network (0.05 % 2.00 k R2/R4) the DC offset over 0–50 °C is 5.61 / 11.21 mV guaranteed from published terms and 7.73 / 15.47 mV with the unpublished DAC terms (margins 2.27 / 4.53 mV to the 10 / 20 mV limits); production screen 7.83 / 15.67 mV; per-board offset test at 0–5, 25 and 50 °C. If LCSC stock is below 60 at ordering, fit the Susumu part</t>
  </si>
  <si>
    <t>,R401,R403,R405,R407,R409,R411,R413,R415,</t>
  </si>
  <si>
    <t>R402, R404, R406, R408, R410, R412, R414, R416</t>
  </si>
  <si>
    <t>Leg feedback R2 and ground-leg R4 (0.05 %, 10 ppm/K)</t>
  </si>
  <si>
    <t>2.00 kΩ</t>
  </si>
  <si>
    <t>0.05 %, 10 ppm/K, thin film, 0.1 W, AEC-Q200</t>
  </si>
  <si>
    <t>Susumu RG1608N-202-W-T1</t>
  </si>
  <si>
    <t>Global sourcing: DigiKey 16,746 cut tape (25 Sep 2026); alternate Panasonic ERA-3ARW202V (0.05 %/10 ppm, DigiKey 1,259); no LCSC stock (YAGEO RT0603WRB072KL C864006 out of stock)</t>
  </si>
  <si>
    <t>https://www.digikey.com/en/products/detail/susumu/RG1608N-202-W-T1/600604</t>
  </si>
  <si>
    <t>Mixed leg network: 0.05 % 2.00 k R2/R4 with the 0.1 % T network → DC offset over 0–50 °C guaranteed 5.61 / 11.21 mV from published terms, 7.73 / 15.47 mV with the unpublished DAC terms (tolerates 2.06 × the DAC assumption); supersedes the 0.1 % Panasonic ERA-3AEB202V of v0.7; change control as R401</t>
  </si>
  <si>
    <t>,R402,R404,R406,R408,R410,R412,R414,R416,</t>
  </si>
  <si>
    <t>R417-R420</t>
  </si>
  <si>
    <t>DFT link per leg between the OPA1622 output pin and the leg node LEG_xx (protection sense networks, output switch K601-K604 to the jack); removed on the test board for the rail-stuck emulation</t>
  </si>
  <si>
    <t>jumper, ≤ 50 mΩ</t>
  </si>
  <si>
    <t>Kept for design-for-test (detector/energy tests); approved alternate: ferrite bead Murata BLM15PX330SN1D (0402, 33 Ω ±25 % at 100 MHz, 3 A, DCR ≤ 0.022 Ω) for ESD robustness with the switch closed — fit 0 Ω by default</t>
  </si>
  <si>
    <t>,R417,R418,R419,R420,</t>
  </si>
  <si>
    <t>R423-R426</t>
  </si>
  <si>
    <t>I/V feedback resistor Rf (single part, replaces 1 k ∥ 5.1 k)</t>
  </si>
  <si>
    <t>698 Ω</t>
  </si>
  <si>
    <t>0.1 %, 25 ppm/K, thin film</t>
  </si>
  <si>
    <t>YAGEO RT0603BRD07698RL</t>
  </si>
  <si>
    <t>C861525</t>
  </si>
  <si>
    <t>LCSC 120 in stock (25 Sep 2026, min/multiple 20): pre-order 40 = 20 + attrition, no global sourcing</t>
  </si>
  <si>
    <t>https://www.lcsc.com/product-detail/C861525.html</t>
  </si>
  <si>
    <t>Change control: sets the protection common-mode window — change only together with the protection design</t>
  </si>
  <si>
    <t>,R423,R424,R425,R426,</t>
  </si>
  <si>
    <t>R431</t>
  </si>
  <si>
    <t>VREF divider top (from 3V3A)</t>
  </si>
  <si>
    <t>9.76 kΩ</t>
  </si>
  <si>
    <t>YAGEO RT0603BRD079K76L</t>
  </si>
  <si>
    <t>C861616</t>
  </si>
  <si>
    <t>LCSC ≈ 1,860</t>
  </si>
  <si>
    <t>https://www.lcsc.com/product-detail/C861616.html</t>
  </si>
  <si>
    <t>VREF = 0.50607 × 3V3A = 1.670 V: midpoint of the ESS null range 1.65…1.702 V; change control as R423–R426</t>
  </si>
  <si>
    <t>,R431,</t>
  </si>
  <si>
    <t>R432</t>
  </si>
  <si>
    <t>VREF divider bottom</t>
  </si>
  <si>
    <t>10.0 kΩ</t>
  </si>
  <si>
    <t>YAGEO RT0603BRD0710KL</t>
  </si>
  <si>
    <t>C95204</t>
  </si>
  <si>
    <t>LCSC 498,660</t>
  </si>
  <si>
    <t>https://www.lcsc.com/product-detail/C95204.html</t>
  </si>
  <si>
    <t>Change control as R423–R426</t>
  </si>
  <si>
    <t>,R432,</t>
  </si>
  <si>
    <t>R438-R445</t>
  </si>
  <si>
    <t>Leg input T network, second half R1b/R3b (680 Ω, stocked value)</t>
  </si>
  <si>
    <t>680 Ω</t>
  </si>
  <si>
    <t>YAGEO RT0603BRD07680RL</t>
  </si>
  <si>
    <t>C861519</t>
  </si>
  <si>
    <t>LCSC 8,000 in stock (25 Sep 2026, min/multiple 20): pre-order 60 (order multiple)</t>
  </si>
  <si>
    <t>https://www.digikey.com/en/products/detail/susumu/RG1608N-681-W-T1/600593</t>
  </si>
  <si>
    <t>Cost patch: replaces the Susumu RG1608N-681-W-T1 0.05 %/10 ppm (global sourcing; also the rework fallback); offset: see the R401 line; change control as R401</t>
  </si>
  <si>
    <t>,R438,R439,R440,R441,R442,R443,R444,R445,</t>
  </si>
  <si>
    <t>R446, R447</t>
  </si>
  <si>
    <t>DNF VREF trim footprints: R446 parallel to R431 raises VREF, R447 parallel to R432 lowers VREF; fitted only if the 25 °C offset screen fails</t>
  </si>
  <si>
    <t>DNF (237 k … 2 M)</t>
  </si>
  <si>
    <t>0.1 %, 25 ppm/K thin film when fitted</t>
  </si>
  <si>
    <t>YAGEO RT0603BRD07xxxL (value from the trim table)</t>
  </si>
  <si>
    <t>DNF</t>
  </si>
  <si>
    <t>https://yageogroup.com/ (RT series thin film)</t>
  </si>
  <si>
    <t>Trim values: 237 k → VREF +2.1 %, 487 k +1.0 %, 243 k −2.1 %, 499 k −1.0 %; change control together with the protection VREF/3V3A window</t>
  </si>
  <si>
    <t>,R446,R447,</t>
  </si>
  <si>
    <t>U401, U402</t>
  </si>
  <si>
    <t>Op-amp, dual, output legs (U401 = L+/L−, U402 = R+/R−); EN tied to V+</t>
  </si>
  <si>
    <t>OPA1622IDRCR</t>
  </si>
  <si>
    <t>VSON-10 3 × 3 + pad</t>
  </si>
  <si>
    <t>IQ 3.3 mA/ch max (25 °C), 4.2 mA/ch (-40…125 °C)</t>
  </si>
  <si>
    <t>TI OPA1622IDRCR</t>
  </si>
  <si>
    <t>C2876559</t>
  </si>
  <si>
    <t>https://www.ti.com/lit/ds/symlink/opa1622.pdf (SBOS727B)</t>
  </si>
  <si>
    <t>,U401,U402,</t>
  </si>
  <si>
    <t>U403, U404</t>
  </si>
  <si>
    <t>Op-amp, dual, I/V converters (one amplifier per DAC pin)</t>
  </si>
  <si>
    <t>OPA2210IDR</t>
  </si>
  <si>
    <t>SOIC-8</t>
  </si>
  <si>
    <t>Vos 35 µV, IQ 2.5 mA/ch max, CM (V-)+1.5…(V+)-1.5 V</t>
  </si>
  <si>
    <t>TI OPA2210IDR</t>
  </si>
  <si>
    <t>C1849415</t>
  </si>
  <si>
    <t>LCSC 16 in stock (25 Sep 2026): buy now 11 (10 for 5 boards + attrition, no spares) into the JLCPCB private library; DigiKey 0 (1,626 due 14 Dec 2026), Mouser 0 (9,922 due 23 Nov 2026)</t>
  </si>
  <si>
    <t>https://www.ti.com/lit/ds/symlink/opa2210.pdf (SBOS924H)</t>
  </si>
  <si>
    <t>No compliant pin-compatible alternative: order before layout release; unit price US$ 2.6708 at the LCSC 10+ tier (US$ 3.1151 at 1+), corrected 25 Sep 2026 (was 1.0035); MSL 2 (bake)</t>
  </si>
  <si>
    <t>,U403,U404,</t>
  </si>
  <si>
    <t>5 Power: domains, current limit, ±3.8 V rails, discharge</t>
  </si>
  <si>
    <t>C501</t>
  </si>
  <si>
    <t>TLV767 (U504) input capacitor on 5V_SYS, ≤ 3 mm from the U504 IN pin (U502 is fed from VBUS with C102 as its input capacitor)</t>
  </si>
  <si>
    <t>Unchanged part; serves U504 only (U502 now has C102 as its input capacitor)</t>
  </si>
  <si>
    <t>,C501,</t>
  </si>
  <si>
    <t>C502</t>
  </si>
  <si>
    <t>TPS70933 output (3V3M); ≥ 2.2 µF required by TI</t>
  </si>
  <si>
    <t>Changed 1 µF → 2.2 µF (TPS70933 output capacitor)</t>
  </si>
  <si>
    <t>,C502,</t>
  </si>
  <si>
    <t>C505</t>
  </si>
  <si>
    <t>TPS2596 input (0.1 µF recommended by TI)</t>
  </si>
  <si>
    <t>,C505,</t>
  </si>
  <si>
    <t>C506</t>
  </si>
  <si>
    <t>TPS2596 output (5V_ANA)</t>
  </si>
  <si>
    <t>,C506,</t>
  </si>
  <si>
    <t>C507</t>
  </si>
  <si>
    <t>LM27762 VIN</t>
  </si>
  <si>
    <t>,C507,</t>
  </si>
  <si>
    <t>C508</t>
  </si>
  <si>
    <t>LM27762 flying capacitor C1</t>
  </si>
  <si>
    <t>,C508,</t>
  </si>
  <si>
    <t>C509-C511</t>
  </si>
  <si>
    <t>LM27762 CP, OUT+ and OUT− capacitors</t>
  </si>
  <si>
    <t>,C509,C510,C511,</t>
  </si>
  <si>
    <t>C512</t>
  </si>
  <si>
    <t>TLV767 output (3V3D bulk; TLV767 needs 2.2…220 µF)</t>
  </si>
  <si>
    <t>Unchanged; C504 deleted</t>
  </si>
  <si>
    <t>,C512,</t>
  </si>
  <si>
    <t>C513</t>
  </si>
  <si>
    <t>DNF: damping capacitor in series with R531</t>
  </si>
  <si>
    <t>New DNF fallback</t>
  </si>
  <si>
    <t>,C513,</t>
  </si>
  <si>
    <t>C514</t>
  </si>
  <si>
    <t>TPS2596 dVdt capacitor: 5V_ANA ramp 0 → 5.5 V in 0.9–1.9 ms; with the I/V reservoirs, rails good ≤ 18.8 ms; firmware T_START = 40 ms</t>
  </si>
  <si>
    <t>50 V X7R ±10 %</t>
  </si>
  <si>
    <t>New; 10 nF kept (the 470 nF option was reverted)</t>
  </si>
  <si>
    <t>,C514,</t>
  </si>
  <si>
    <t>C515</t>
  </si>
  <si>
    <t>U505 VDD decoupling (0.1-10 µF required)</t>
  </si>
  <si>
    <t>,C515,</t>
  </si>
  <si>
    <t>C516</t>
  </si>
  <si>
    <t>ANA_SENSE ADC input capacitor at PA0</t>
  </si>
  <si>
    <t>New; place at the MCU PA0 pin</t>
  </si>
  <si>
    <t>,C516,</t>
  </si>
  <si>
    <t>D104, D105</t>
  </si>
  <si>
    <t>Schottky OUT → IN reverse-voltage clamps: D104 across U302 (3V3A → 5V_SYS), D105 across U503 (5V_ANA → 5V_SYS); D103 deleted (the TPS70933 blocks reverse current)</t>
  </si>
  <si>
    <t>SOT-23 (pin 1 A, 2 NC, 3 K)</t>
  </si>
  <si>
    <t>30 V, 200 mA, VF ≤ 0.24/0.32/0.40/0.50/0.80 V at 0.1/1/10/30/100 mA, IR ≤ 2 µA at 25 V (25 °C), Cd ≤ 10 pF</t>
  </si>
  <si>
    <t>LCSC C85084 (same part as D413/D414)</t>
  </si>
  <si>
    <t>Anode on the regulator OUT, cathode on its IN; each ≤ 3 mm from its regulator; D103 removed with the suspend power cut</t>
  </si>
  <si>
    <t>,D104,D105,</t>
  </si>
  <si>
    <t>FB501</t>
  </si>
  <si>
    <t>Ferrite 5V_ANA → 5V_ANA_F (LM27762 VIN)</t>
  </si>
  <si>
    <t>120 Ω @ 100 MHz</t>
  </si>
  <si>
    <t>2 A, 50 mΩ max</t>
  </si>
  <si>
    <t>Murata BLM18PG121SN1D</t>
  </si>
  <si>
    <t>C14709</t>
  </si>
  <si>
    <t>https://www.lcsc.com/product-detail/C14709.html</t>
  </si>
  <si>
    <t>,FB501,</t>
  </si>
  <si>
    <t>Q502-Q506</t>
  </si>
  <si>
    <t>N-MOSFETs of the EN-derived discharge: Q502/Q504 inverters (gate AVCC_EN / AUD_EN), Q503/Q505/Q506 discharge 3V3A/3V3D/1V3</t>
  </si>
  <si>
    <t>30 V, VGS(th) 0.65-1.45 V, Rds(on) ≤ 48 mΩ at 2.5 V</t>
  </si>
  <si>
    <t>JLCPCB 723,732 (Sep 2026)</t>
  </si>
  <si>
    <t>Q506/R530 kept (the TLV758P internal 95 Ω pull-down is typical only)</t>
  </si>
  <si>
    <t>,Q502,Q503,Q504,Q505,Q506,</t>
  </si>
  <si>
    <t>Q507</t>
  </si>
  <si>
    <t>NPN pulling the U102 EN low in Stop (suspend power cut): collector on N1_U102_EN, emitter to GND; the off-state leakage keeps EN ≥ 3.18 V at VBUS 4.40 V and 50 °C (+1.28 V above the 1.9 V turn-on threshold; hot leakage extrapolated from the 25 °C datasheet maximum — engineering estimate)</t>
  </si>
  <si>
    <t>MMBT3904</t>
  </si>
  <si>
    <t>40 V, 200 mA, hFE 100-300</t>
  </si>
  <si>
    <t>JSCJ MMBT3904 (RANGE:100-300)</t>
  </si>
  <si>
    <t>C20526</t>
  </si>
  <si>
    <t>LCSC 25,800 (same part as Q612/Q614)</t>
  </si>
  <si>
    <t>https://www.lcsc.com/product-detail/C20526.html</t>
  </si>
  <si>
    <t>New (suspend power cut); placed beside C104 at U102 pin 4, emitter via at the pad; R537 (series from PC14) and R538 (base–emitter) at the transistor; pin 1 B, 2 E, 3 C</t>
  </si>
  <si>
    <t>,Q507,</t>
  </si>
  <si>
    <t>R501</t>
  </si>
  <si>
    <t>LM27762 FB+ top, single resistor (VPOS 3.789/3.852/3.915 V with R502)</t>
  </si>
  <si>
    <t>221 kΩ</t>
  </si>
  <si>
    <t>YAGEO RT0603BRD07221KL</t>
  </si>
  <si>
    <t>C705748</t>
  </si>
  <si>
    <t>LCSC 4,260 (Feb 2026)</t>
  </si>
  <si>
    <t>https://www.lcsc.com/product-detail/C705748.html</t>
  </si>
  <si>
    <t>Changed (was 100k + 100k + 15k + 10k); R515/R516/R523 deleted; 215 k for a 3.78 V option; bring-up fallback 232 k (VPOS 3.919/3.984/4.049 V) — fit only together with R672 237 k → 243 k and a re-check of the protection thresholds</t>
  </si>
  <si>
    <t>,R501,</t>
  </si>
  <si>
    <t>R502, R504</t>
  </si>
  <si>
    <t>LM27762 FB+ / FB- bottom (≥ 50 k per TI)</t>
  </si>
  <si>
    <t>YAGEO RT0603BRD07100KL</t>
  </si>
  <si>
    <t>C122538</t>
  </si>
  <si>
    <t>LCSC 254,300 (Mar 2026)</t>
  </si>
  <si>
    <t>https://www.lcsc.com/product-detail/C122538.html</t>
  </si>
  <si>
    <t>Changed to 0.1 % thin film</t>
  </si>
  <si>
    <t>,R502,R504,</t>
  </si>
  <si>
    <t>R503</t>
  </si>
  <si>
    <t>LM27762 FB- top, single resistor (|VNEG| 3.661/3.721/3.781 V with R504)</t>
  </si>
  <si>
    <t>205 kΩ</t>
  </si>
  <si>
    <t>YAGEO RT0603BRD07205KL</t>
  </si>
  <si>
    <t>C861217</t>
  </si>
  <si>
    <t>LCSC 900 (Jul 2026) — low stock: order early or JLCPCB global sourcing</t>
  </si>
  <si>
    <t>https://www.lcsc.com/product-detail/C861217.html</t>
  </si>
  <si>
    <t>Changed (was 100k + 100k + 5.1k); R517/R518 deleted</t>
  </si>
  <si>
    <t>,R503,</t>
  </si>
  <si>
    <t>R505</t>
  </si>
  <si>
    <t>PGOOD pull-up to 5V_ANA_F (LM27762 VIN, as TI specifies)</t>
  </si>
  <si>
    <t>Changed 10 k → 100 k (no latch timing need)</t>
  </si>
  <si>
    <t>,R505,</t>
  </si>
  <si>
    <t>R508</t>
  </si>
  <si>
    <t>AUD_EN pull-down (AUD_EN fed from PC10 through R237 4.7 k; the TLV767 internal EN pull-up is unbounded → strong pull-down): high ≥ 2.18 V, low ≤ 0.11 V floating</t>
  </si>
  <si>
    <t>Changed 47 k → 10 k</t>
  </si>
  <si>
    <t>,R508,</t>
  </si>
  <si>
    <t>R509</t>
  </si>
  <si>
    <t>TPS2596 current-limit resistor, Default limit: IOS 180.05 / 201.3 / 222.6 mA (min/typ/max) against a Default need of 178.961 mA (+1.090 mA, engineering estimate); Default USB total 493.46 mA ≤ 500 mA on the planning values</t>
  </si>
  <si>
    <t>4.75 kΩ</t>
  </si>
  <si>
    <t>KOA RN73R1JTTD4751B25</t>
  </si>
  <si>
    <t>Owner purchase (DigiKey): KOA RN73R1JTTD4751B25 or an equivalent 0.1 %/25 ppm 0603 (e.g. Susumu RG1608P-4751-B-T5)</t>
  </si>
  <si>
    <t>https://www.koaspeer.com/products/fixed-resistors/thin-film/rn73r</t>
  </si>
  <si>
    <t>Owner-fitted: hand-soldered after delivery, not placed by JLCPCB. 4.75 kΩ 0.1 % (Default acceptance criterion: power targets guaranteed at the current-limit minimum; confirmed per board by the production test, S3 ≤ 480 mA). Fitted first, before the first power-up (U503 stays off while its ILM pin is open); 0603 land with toes +0.3 mm, ≥ 1.5 mm iron clearance; unchanged with the NDK X201 second source</t>
  </si>
  <si>
    <t>,R509,</t>
  </si>
  <si>
    <t>KOA</t>
  </si>
  <si>
    <t>R510</t>
  </si>
  <si>
    <t>TPS2596 current-limit High branch in series with U505 (R509 4.75 k ∥ R510 → IOS 395.4/442.7/489.7 mA)</t>
  </si>
  <si>
    <t>3.74 kΩ</t>
  </si>
  <si>
    <t>YAGEO RT0603BRD073K74L</t>
  </si>
  <si>
    <t>C861382</t>
  </si>
  <si>
    <t>LCSC 4,320 (Aug 2026), US$ 0.035</t>
  </si>
  <si>
    <t>Changed 3.83 k → 3.74 k (largest E96 value with High IOS min ≥ 390 mA); LCSC number confirmed (no global sourcing)</t>
  </si>
  <si>
    <t>,R510,</t>
  </si>
  <si>
    <t>R511</t>
  </si>
  <si>
    <t>ILIM_HI pull-down (U505 SEL; Default through reset)</t>
  </si>
  <si>
    <t>,R511,</t>
  </si>
  <si>
    <t>R512</t>
  </si>
  <si>
    <t>TPS2596 FLT pull-up to 3V3M (ANA_FAULT_N; asserted only at thermal shutdown / ILM short)</t>
  </si>
  <si>
    <t>,R512,</t>
  </si>
  <si>
    <t>R513</t>
  </si>
  <si>
    <t>ANA_EN pull-down (TPS2596 EN/UVLO)</t>
  </si>
  <si>
    <t>,R513,</t>
  </si>
  <si>
    <t>R522</t>
  </si>
  <si>
    <t>RAILS_OK_N series resistor into MCU PB4 (FT); node swings to 5V_ANA_F</t>
  </si>
  <si>
    <t>,R522,</t>
  </si>
  <si>
    <t>R526, R528</t>
  </si>
  <si>
    <t>Discharge-gate pull-ups to 3V3M (on when the EN is low)</t>
  </si>
  <si>
    <t>22 kΩ</t>
  </si>
  <si>
    <t>UNI-ROYAL 0402WGF2202TCE</t>
  </si>
  <si>
    <t>C25768</t>
  </si>
  <si>
    <t>https://www.lcsc.com/product-detail/C25768.html</t>
  </si>
  <si>
    <t>,R526,R528,</t>
  </si>
  <si>
    <t>R527, R529</t>
  </si>
  <si>
    <t>Discharge resistors 3V3A (R527) and 3V3D (R529): ≤ 0.39 / 0.63 ms to &lt; 0.1 V</t>
  </si>
  <si>
    <t>10 Ω</t>
  </si>
  <si>
    <t>1 %, 0.1 W (pulse ≤ 0.1 mJ)</t>
  </si>
  <si>
    <t>UNI-ROYAL 0603WAF100JT5E</t>
  </si>
  <si>
    <t>C22859</t>
  </si>
  <si>
    <t>https://www.lcsc.com/product-detail/C22859.html</t>
  </si>
  <si>
    <t>New; replaces the bleeders R524/R525</t>
  </si>
  <si>
    <t>,R527,R529,</t>
  </si>
  <si>
    <t>R530</t>
  </si>
  <si>
    <t>Discharge resistor 1V3 (≤ 0.13 ms, faster than 3V3D so DVDD ≤ DVCC; TLV758P internal pull-down 95 Ω typ only)</t>
  </si>
  <si>
    <t>4.7 Ω</t>
  </si>
  <si>
    <t>1 %, 0.1 W</t>
  </si>
  <si>
    <t>UNI-ROYAL 0603WAF470KT5E</t>
  </si>
  <si>
    <t>C23164</t>
  </si>
  <si>
    <t>LCSC 682,400 (Sep 2026)</t>
  </si>
  <si>
    <t>https://www.lcsc.com/product-detail/C23164.html</t>
  </si>
  <si>
    <t>,R530,</t>
  </si>
  <si>
    <t>R531</t>
  </si>
  <si>
    <t>DNF: damping resistor across C507 (with C513) — fit only if the VIN ripple measurement requires it</t>
  </si>
  <si>
    <t>1 Ω</t>
  </si>
  <si>
    <t>UNI-ROYAL 0603WAF100KT5E</t>
  </si>
  <si>
    <t>C22936</t>
  </si>
  <si>
    <t>Basic (LCSC China page)</t>
  </si>
  <si>
    <t>LCSC 987,900 (Mar 2026)</t>
  </si>
  <si>
    <t>https://www.lcsc.com/product-detail/C22936.html</t>
  </si>
  <si>
    <t>,R531,</t>
  </si>
  <si>
    <t>R532</t>
  </si>
  <si>
    <t>PB4 pin-side pull-down: keeps RAILS_OK_N ≤ 4.78 V (FT VIH max 5.0 V) with PGOOD released at 5.55 V</t>
  </si>
  <si>
    <t>https://www.lcsc.com/product-detail/C25790.html</t>
  </si>
  <si>
    <t>New; verified in both states</t>
  </si>
  <si>
    <t>,R532,</t>
  </si>
  <si>
    <t>R535</t>
  </si>
  <si>
    <t>ANA_SENSE divider top (5V_ANA_F → MCU PA0 / ADC_IN0): k 0.3197, 5.55 V → ≤ 1.799 V, source 32.0 k</t>
  </si>
  <si>
    <t>JLCPCB Basic (same type as R105)</t>
  </si>
  <si>
    <t>Cost patch: changed 68.1 k → 100 k (Basic); firmware 5V_ANA_F low threshold 4.00 V = 1.279 V at the pin (1587 ADC counts; was 1.226 V / 1522)</t>
  </si>
  <si>
    <t>,R535,</t>
  </si>
  <si>
    <t>R536</t>
  </si>
  <si>
    <t>ANA_SENSE divider bottom (ANA_SENSE → GND)</t>
  </si>
  <si>
    <t>JLCPCB Basic (same type as R106)</t>
  </si>
  <si>
    <t>Cost patch: changed 30.1 k → 47 k (Basic)</t>
  </si>
  <si>
    <t>,R536,</t>
  </si>
  <si>
    <t>R537</t>
  </si>
  <si>
    <t>Q507 base series resistor from N5_U102_OFF (MCU PC14), at the transistor: base current 19 µA saturates Q507 at 14 µA collector current; 26 µA from PC14 in Stop</t>
  </si>
  <si>
    <t>New (suspend power cut)</t>
  </si>
  <si>
    <t>,R537,</t>
  </si>
  <si>
    <t>R538</t>
  </si>
  <si>
    <t>Q507 base–emitter resistor, at the transistor: PC14 floats at reset, so Q507 is off and U102 is on (the default)</t>
  </si>
  <si>
    <t>,R538,</t>
  </si>
  <si>
    <t>U501</t>
  </si>
  <si>
    <t>Charge pump + LDOs, VPOS/VNEG; EN+/EN− tied to VIN (5V_ANA_F): rails follow ANA_EN; PGOOD active low</t>
  </si>
  <si>
    <t>+3.85 / -3.72 V</t>
  </si>
  <si>
    <t>WSON-12 2 × 3 (DSS) + pad</t>
  </si>
  <si>
    <t>±250 mA, VIN abs 5.8 V</t>
  </si>
  <si>
    <t>TI LM27762DSSR</t>
  </si>
  <si>
    <t>C473398</t>
  </si>
  <si>
    <t>https://www.ti.com/lit/ds/symlink/lm27762.pdf</t>
  </si>
  <si>
    <t>EN+/EN− = VIN; RAIL_EN, R506, R507 deleted</t>
  </si>
  <si>
    <t>,U501,</t>
  </si>
  <si>
    <t>U502</t>
  </si>
  <si>
    <t>LDO for 3V3M, always on (MCU, LEDs), fed from VBUS (suspend power cut: independent of U102); EN floating = enabled; reverse-current protection</t>
  </si>
  <si>
    <t>3.3 V, 150 mA</t>
  </si>
  <si>
    <t>VIN 2.7-30 V (32 V abs), VOUT 3.207-3.343 V (1 % + 10 mV line + 50 mV load), IGND ≤ 2.05 µA, VDO ≤ 650 mV at 50 mA / 1400 mV at 150 mA</t>
  </si>
  <si>
    <t>TI TPS70933DBVR</t>
  </si>
  <si>
    <t>C89347</t>
  </si>
  <si>
    <t>LCSC 5,280 (Sep 2026); JLCPCB 32,252 — buy now</t>
  </si>
  <si>
    <t>https://www.ti.com/lit/ds/symlink/tps709.pdf</t>
  </si>
  <si>
    <t>Changed from the TPS7A2033PDBVR; fed from VBUS: pin 1 IN = VBUS, 3 EN not connected (floating = enabled; EN max 6.5 V: never tie it to VBUS), 5 OUT; C102 (2.2 µF) serves both the U102 IN and the U502 input. Limitation L-12: the brown-out trip is guaranteed while the 3V3M load stays ≤ 50 mA; the MCU voltage monitor backs it at the 80 mA planning load</t>
  </si>
  <si>
    <t>,U502,</t>
  </si>
  <si>
    <t>U503</t>
  </si>
  <si>
    <t>eFuse / current limit for 5V_ANA (Default/High via ILM), EN/UVLO = ANA_EN, FLT → ANA_FAULT_N, OVCSEL open, auto-retry</t>
  </si>
  <si>
    <t>HSOIC-8 PowerPAD (DDA) 4.9 × 3.9 mm</t>
  </si>
  <si>
    <t>21 V abs, 131 mΩ max, ILIM ±10.4 %, IQ 266 µA, ISD 1.13 µA</t>
  </si>
  <si>
    <t>TI TPS259621DDAR</t>
  </si>
  <si>
    <t>C2155774</t>
  </si>
  <si>
    <t>JLCPCB 656 (17 Sep 2026); DigiKey 1,377</t>
  </si>
  <si>
    <t>https://www.ti.com/lit/ds/symlink/tps2596.pdf</t>
  </si>
  <si>
    <t>Changed from TPS2553; MSL 2 (bake); exposed pad to GND with 9 vias (X-ray void check requested); pin 8 OVCSEL not connected</t>
  </si>
  <si>
    <t>,U503,</t>
  </si>
  <si>
    <t>U504</t>
  </si>
  <si>
    <t>LDO 3V3D (CPLD, oscillators, DVCC, 1V3), EN = AUD_EN; 0.32 W at 5.5 V (no dropper)</t>
  </si>
  <si>
    <t>3.3 V, 1 A</t>
  </si>
  <si>
    <t>±1 %, 18 V abs max, VDO 1.4 V max at 1 A</t>
  </si>
  <si>
    <t>TI TLV76733DRVR</t>
  </si>
  <si>
    <t>C2848334</t>
  </si>
  <si>
    <t>JLCPCB 17,495 (Sep 2026)</t>
  </si>
  <si>
    <t>https://www.ti.com/lit/ds/symlink/tlv767.pdf</t>
  </si>
  <si>
    <t>Changed from ME6211; pad to GND pour; input capacitor C501 (C503 deleted)</t>
  </si>
  <si>
    <t>,U504,</t>
  </si>
  <si>
    <t>U505</t>
  </si>
  <si>
    <t>SPST precision switch for the High-mode ILM branch (SEL = ILIM_HI, logic high = on)</t>
  </si>
  <si>
    <t>1.08-5.5 V, Ron ≤ 9.5 Ω, IOFF ≤ 0.2 nA (85 °C), IDD ≤ 0.65 µA</t>
  </si>
  <si>
    <t>TI TMUX1101DBVR</t>
  </si>
  <si>
    <t>C1852057</t>
  </si>
  <si>
    <t>DigiKey 2,865 / Mouser 9,098 (Sep 2026)</t>
  </si>
  <si>
    <t>https://www.ti.com/lit/ds/symlink/tmux1101.pdf</t>
  </si>
  <si>
    <t>New, replaces Q501; pin 1 D, 2 S, 3 GND, 4 SEL, 5 VDD</t>
  </si>
  <si>
    <t>,U505,</t>
  </si>
  <si>
    <t>6 Protection and output switch</t>
  </si>
  <si>
    <t>C608-C611, C616</t>
  </si>
  <si>
    <t>DC-sense filter (C608-C611) and reference-network filter (C616)</t>
  </si>
  <si>
    <t>4.7 µF</t>
  </si>
  <si>
    <t>25 V X5R ±10 % (−15/+10 % tolerance/temperature × 0.85 DC bias/AC level at ≤ 2.5 V, assumption)</t>
  </si>
  <si>
    <t>Samsung CL21A475KAQNNNE</t>
  </si>
  <si>
    <t>C1779</t>
  </si>
  <si>
    <t>JLCPCB 2,855,148; LCSC 1,903,760 (24 Sep 2026)</t>
  </si>
  <si>
    <t>https://jlcpcb.com/partdetail/2131-CL21A475KAQNNNE/C1779</t>
  </si>
  <si>
    <t>,C608,C609,C610,C611,C616,</t>
  </si>
  <si>
    <t>C617</t>
  </si>
  <si>
    <t>Permit node H capacitor (minimum switch-off time 53-135 ms with R647 100 k, glitch filter)</t>
  </si>
  <si>
    <t>50 V X5R ±10 % (sees -3.8…+4.0 V; DC bias ×0.85 (assumption))</t>
  </si>
  <si>
    <t>Basic (not re-checked)</t>
  </si>
  <si>
    <t>LCSC (in stock, 25 Sep 2026)</t>
  </si>
  <si>
    <t>50 V confirmed (voltage code B = 50 V, LCSC C15849 page); drop-in FH 0603X105K500NT if JLCPCB is short</t>
  </si>
  <si>
    <t>,C617,</t>
  </si>
  <si>
    <t>C618, C619, C622, C623, C626-C628, C630, C635-C638, C655-C666</t>
  </si>
  <si>
    <t>Decoupling 100 nF: TLV1704 V+/V− to GND (C618/C619 for U603, C635–C638 for U609/U610, C655–C658 for U611/U612), U604 supply (C622); C623 U607 VCC (3V3D), C626/C627 U606 V+/V−, C628 U605 VCC (3V3M), C630 U608 VCC (3V3D); C659–C666 VCC–GND (VPOS–VNEG) of the TLV3402 stages U613–U620</t>
  </si>
  <si>
    <t>LCSC (Basic)</t>
  </si>
  <si>
    <t>C655–C666 new (over-range and low-level persistence stages)</t>
  </si>
  <si>
    <t>,C618,C619,C622,C623,C626,C627,C628,C630,C635,C636,C637,C638,C655,C656,C657,C658,C659,C660,C661,C662,C663,C664,C665,C666,</t>
  </si>
  <si>
    <t>C620, C621</t>
  </si>
  <si>
    <t>I/V common-mode node filter (tau 0.5 ms with 50 kΩ)</t>
  </si>
  <si>
    <t>,C620,C621,</t>
  </si>
  <si>
    <t>C624</t>
  </si>
  <si>
    <t>MCLK pump capacitor</t>
  </si>
  <si>
    <t>JLCPCB library (same part as C103)</t>
  </si>
  <si>
    <t>,C624,</t>
  </si>
  <si>
    <t>C625</t>
  </si>
  <si>
    <t>MCLK pump hold capacitor (dead detection ≤ 0.42 ms)</t>
  </si>
  <si>
    <t>82 pF</t>
  </si>
  <si>
    <t>FH (Fenghua) 0402CG820J500NT</t>
  </si>
  <si>
    <t>C45501</t>
  </si>
  <si>
    <t>LCSC 238,500 (21 Sep 2026 page), JLCPCB 227,977 (24 Sep 2026 page), Economic and Standard, MSL 1; replaces the Samsung CL05C820JB5NNNC (C13532, LCSC out of stock on 25 Sep 2026)</t>
  </si>
  <si>
    <t>https://www.lcsc.com/product-detail/C45501.html</t>
  </si>
  <si>
    <t>Sourcing clean-up: drop-in 82 pF ±5 % 50 V C0G 0402 (same as the Samsung part; value, tolerance, TCR, voltage and package unchanged)</t>
  </si>
  <si>
    <t>,C625,</t>
  </si>
  <si>
    <t>C629, C639-C642</t>
  </si>
  <si>
    <t>1 nF C0G: 1V3-good input filter (C629, τ 10 µs with R670); C639–C642 over-range (OR) tap filters (τ 0.33 ms with R926–R929 330 kΩ)</t>
  </si>
  <si>
    <t>1 nF</t>
  </si>
  <si>
    <t>Samsung CL05C102JB5NNNC</t>
  </si>
  <si>
    <t>C307441</t>
  </si>
  <si>
    <t>LCSC 29,500 (25 Sep 2026), min/multiple 50</t>
  </si>
  <si>
    <t>https://www.lcsc.com/product-detail/C307441.html</t>
  </si>
  <si>
    <t>C639–C642 new (OR stages); LCSC number confirmed in the sourcing clean-up; no substitution</t>
  </si>
  <si>
    <t>,C629,C639,C640,C641,C642,</t>
  </si>
  <si>
    <t>C631-C634</t>
  </si>
  <si>
    <t>Persistence-detector timer capacitor C_T: 220 nF, ±2 % required, PPS film (T_P 19.50–23.37 ms including 1 µA leakage)</t>
  </si>
  <si>
    <t>220 nF</t>
  </si>
  <si>
    <t>2416 (6041 metric), 6.0 × 4.1 × 2.8 mm (3.0 mm max)</t>
  </si>
  <si>
    <t>50 V DC PPS film ±2 % (G), TC bound ±0.5 % 0–60 °C; MSL 1</t>
  </si>
  <si>
    <t>Panasonic ECH-U1H224GX9</t>
  </si>
  <si>
    <t>Global sourcing: Mouser 19,207, DigiKey 62; US$ 1.36 at 10; not at LCSC. Order remark: reflow ≤ 95 s above 220 °C, 260 °C peak, to be confirmed by JLCPCB — otherwise owner-fitted (1.5 mm iron clearance reserved at both pad ends)</t>
  </si>
  <si>
    <t>New (persistence detector); limitation L-13: reflow-time confirmation by JLCPCB, owner-fit fallback</t>
  </si>
  <si>
    <t>,C631,C632,C633,C634,</t>
  </si>
  <si>
    <t>C643-C646</t>
  </si>
  <si>
    <t>Low-level persistence (LPW) tap filter capacitors (τ 3.3 ms with 1.00 MΩ)</t>
  </si>
  <si>
    <t>3.3 nF</t>
  </si>
  <si>
    <t>C0G, 5 %, 50 V</t>
  </si>
  <si>
    <t>FH 0603CG332J500NT</t>
  </si>
  <si>
    <t>C190576</t>
  </si>
  <si>
    <t>LCSC 6,740 (25 Sep 2026); JLCPCB Extended, MSL 1, Economic and Standard PCBA (26 Sep 2026); the LCSC-stocked 0603 is chosen over the unlisted 0402 C0G 50 V (no global sourcing); bought at the PCBA order</t>
  </si>
  <si>
    <t>New (LPW stages); 0603 (zone Z4 +10 mm²); the same C0G 5 % as modelled</t>
  </si>
  <si>
    <t>,C643,C644,C645,C646,</t>
  </si>
  <si>
    <t>C647-C654</t>
  </si>
  <si>
    <t>LPW timer capacitors C_T2 (timer node → GND)</t>
  </si>
  <si>
    <t>1206</t>
  </si>
  <si>
    <t>C0G/NP0, 5 %, 50 V (no DC-bias or ageing loss)</t>
  </si>
  <si>
    <t>FH 1206CG104J500NT</t>
  </si>
  <si>
    <t>C46348</t>
  </si>
  <si>
    <t>LCSC 11,730 / JLCPCB 14,418 (26 Sep 2026); the LCSC-stocked 1206 is chosen over the unlisted 0805 C0G 50 V (no global sourcing); bought at the PCBA order</t>
  </si>
  <si>
    <t>New (LPW stages): C0G needed for the T_P2 window (X7R too wide); 1206 (zone Z4 +23 mm²)</t>
  </si>
  <si>
    <t>,C647,C648,C649,C650,C651,C652,C653,C654,</t>
  </si>
  <si>
    <t>D609, D610</t>
  </si>
  <si>
    <t>Dual Schottky, series (BAS70-04): D609 MCLK pump clamp + rectifier; D610 1V3-good test injection (one diode only: A1 pin 1, K1 pin 3; pin 2 NC)</t>
  </si>
  <si>
    <t>BAS70-04</t>
  </si>
  <si>
    <t>70 V, 70 mA; VF ≤ 410 mV at 1 mA; Cd ≤ 2 pF</t>
  </si>
  <si>
    <t>Nexperia BAS70-04,215</t>
  </si>
  <si>
    <t>C389351</t>
  </si>
  <si>
    <t>JLCPCB 5,405 in stock at US$ 0.0317 (25 Sep 2026); LCSC 36,430 (9 Sep 2026), US$ 0.096 at 10+</t>
  </si>
  <si>
    <t>https://www.lcsc.com/product-detail/C389351.html</t>
  </si>
  <si>
    <t>Cost patch: D610 moved from the BAS70,215 (LCSC C109295 out of stock) to the same BAS70-04,215 part (same die, VF ≤ 410 mV at 1 mA; netlist pins unchanged); polarity gate G-4</t>
  </si>
  <si>
    <t>,D609,D610,</t>
  </si>
  <si>
    <t>K601-K604</t>
  </si>
  <si>
    <t>Photorelay 1 Form A, MOSFET output (A connection 4-6), output switch in each leg</t>
  </si>
  <si>
    <t>TLP3545A</t>
  </si>
  <si>
    <t>DIP6 LF1 surface-mount gull wing (Toshiba 11-7A801S, 7.62 mm row pitch), tape 1,500</t>
  </si>
  <si>
    <t>60 V, 4 A (A conn., -40 mA/K &gt; 25 °C); RON ≤ 60 mΩ (25 °C, IF 5 mA); IFT ≤ 3 mA; tON ≤ 5 ms / tOFF ≤ 0.5 ms (IF 5 mA); LED IF abs 30 mA, VR 6 V; Topr -40…110 °C; Tsol 260 °C 10 s, reflow ×2 max</t>
  </si>
  <si>
    <t>Toshiba TLP3545A(TP1,F)</t>
  </si>
  <si>
    <t>Owner purchase (DigiKey): 28,529 in stock, US$ 3.684 at 10+ / 3.518 at 25+ (18 Sep 2026); Mouser 15,326; MSL 1</t>
  </si>
  <si>
    <t>https://toshiba.semicon-storage.com/info/TLP3545A_datasheet_en_20230526.pdf?did=60318&amp;prodName=TLP3545A</t>
  </si>
  <si>
    <t>Owner-fitted: hand-soldered after delivery, not placed by JLCPCB (DIP-SMD, 2.54 mm gull wing); lands with toes +0.3 mm and ≥ 1.5 mm iron clearance; fitted second, after the rail/MCU/DAC bring-up and the protection self-tests — until then the headphone outputs are open; conditional second source Panasonic AQV251GA(X) (same pinout; RON 0.08 Ω max; VR 5 V)</t>
  </si>
  <si>
    <t>,K601,K602,K603,K604,</t>
  </si>
  <si>
    <t>Q612, Q614</t>
  </si>
  <si>
    <t>NPN, LED-string current-sink pass transistor (driven by U604)</t>
  </si>
  <si>
    <t>40 V, 200 mA, 200 mW, hFE 100-300</t>
  </si>
  <si>
    <t>LCSC 25,800</t>
  </si>
  <si>
    <t>,Q612,Q614,</t>
  </si>
  <si>
    <t>Q616, Q617, Q619, Q620, Q622</t>
  </si>
  <si>
    <t>N-MOSFET, series permit switches (MCLK run-signal gate Q616, hardware permit H Q617); Q619/Q620: 3V3A-good pull-downs on N2_AVCC_EN_G / AUD_EN; Q622: re-arm latch switch in series with Q617 (Q617 source = N6_M3), gate from U608 Q through R692 1 k with the R696 pull-down</t>
  </si>
  <si>
    <t>30 V, 5.7 A, VGS ±12 V, RDS(on) ≤ 48 mΩ at 2.5 V, VGS(th) 0.65-1.45 V</t>
  </si>
  <si>
    <t>LCSC 489,895</t>
  </si>
  <si>
    <t>https://media.digikey.com/pdf/Data%20Sheets/Alpha%20&amp;%20Omega/AO3400A_ds.pdf</t>
  </si>
  <si>
    <t>Q622 new (re-arm latch); a Q622 drain-source short is latent and covered by a production-test step</t>
  </si>
  <si>
    <t>,Q616,Q617,Q619,Q620,Q622,</t>
  </si>
  <si>
    <t>Q618, Q621</t>
  </si>
  <si>
    <t>N-MOSFET: permit readback DC_PERMIT_N (Q618, open drain to 3V3M); Q621 pulls N6_CLR_N low while U606 channel 4 releases N6_TRIP (latch clear)</t>
  </si>
  <si>
    <t>2N7002</t>
  </si>
  <si>
    <t>60 V, VGS ±20 V, VGS(th) 1.0-2.5 V</t>
  </si>
  <si>
    <t>JSCJ 2N7002</t>
  </si>
  <si>
    <t>C8545</t>
  </si>
  <si>
    <t>https://www.lcsc.com/product-detail/C8545.html</t>
  </si>
  <si>
    <t>Q621 new (re-arm latch)</t>
  </si>
  <si>
    <t>,Q618,Q621,</t>
  </si>
  <si>
    <t>Q623-Q627</t>
  </si>
  <si>
    <t>NPN: Q623–Q626 persistence-detector timer reset switches (C = timer node, E = GND, B = level, OR and LPW outputs with the R916–R919 base pull-ups; no clamp diode, no R_D); Q627 OR self-test switch (collector via R951 on N6_VORP)</t>
  </si>
  <si>
    <t>40 V, 200 mA; VCE(sat) ≤ 0.2 V at 10 mA / 1 mA, ≤ 0.3 V at 50 mA / 5 mA; ICEX, IBL ≤ 50 nA; hFE ≥ 40 at 0.1 mA (onsemi datasheet MMBT3904LT1/D Rev. 15)</t>
  </si>
  <si>
    <t>onsemi MMBT3904LT1G</t>
  </si>
  <si>
    <t>C81464</t>
  </si>
  <si>
    <t>LCSC C81464, Extended, 1,690,900 (24 Sep 2026), US$ 0.0167; MSL 1, Economic and Standard PCBA (26 Sep 2026); bought at the PCBA order</t>
  </si>
  <si>
    <t>https://www.onsemi.com/pdf/datasheet/mmbt3904lt1-d.pdf</t>
  </si>
  <si>
    <t>Q623–Q626 changed from JSCJ MMBT3904 to onsemi MMBT3904LT1G (same pinout and land, CASE 318 STYLE 6: 1 B, 2 E, 3 C); Q627 new (OR self-test). The reset level at IC ≈ 35 µA / forced beta ≈ 3.5 extends the 10 mA / 1 mA datasheet row (assumption, evidence row A-46, bring-up test)</t>
  </si>
  <si>
    <t>,Q623,Q624,Q625,Q626,Q627,</t>
  </si>
  <si>
    <t>R624-R627, R658, R661</t>
  </si>
  <si>
    <t>6.8 kΩ 0.1 %: DC-sense series R_S (R624-R627), reference R_S (R661), CM chain middle (R658)</t>
  </si>
  <si>
    <t>6.8 kΩ</t>
  </si>
  <si>
    <t>0.1 %, 25 ppm/K thin film</t>
  </si>
  <si>
    <t>YAGEO RP0402BRD076K8L (RT0402BRD076K8L alt.)</t>
  </si>
  <si>
    <t>C33900832</t>
  </si>
  <si>
    <t>LCSC 7,070 (RT0402BRD076K8L 27,100 listed as alternative)</t>
  </si>
  <si>
    <t>https://www.lcsc.com/product-detail/C33900832.html</t>
  </si>
  <si>
    <t>,R624,R625,R626,R627,R658,R661,</t>
  </si>
  <si>
    <t>R628-R631, R639, R663</t>
  </si>
  <si>
    <t>5.1 kΩ 0.1 %: DC-sense bias R_U to 3V3A (R628-R631), reference R_U (R639), LED-sink reference bottom (R663)</t>
  </si>
  <si>
    <t>YAGEO RT0402BRD075K1L</t>
  </si>
  <si>
    <t>C852856</t>
  </si>
  <si>
    <t>LCSC out of stock → global sourcing (DigiKey 25,165)</t>
  </si>
  <si>
    <t>https://www.lcsc.com/product-detail/C852856.html</t>
  </si>
  <si>
    <t>,R628,R629,R630,R631,R639,R663,</t>
  </si>
  <si>
    <t>R632-R635, R640</t>
  </si>
  <si>
    <t>16.9 kΩ 0.1 %: DC-sense R_D to GND (R632-R635), reference R_D (R640)</t>
  </si>
  <si>
    <t>16.9 kΩ</t>
  </si>
  <si>
    <t>YAGEO RT0402BRD0716K9L</t>
  </si>
  <si>
    <t>C852560</t>
  </si>
  <si>
    <t>LCSC 6,250</t>
  </si>
  <si>
    <t>https://www.lcsc.com/product-detail/C852560.html</t>
  </si>
  <si>
    <t>,R632,R633,R634,R635,R640,</t>
  </si>
  <si>
    <t>R641, R642</t>
  </si>
  <si>
    <t>LED-string current-sense resistor R_S (≈ 5.26–6.60 mA per string; RELAY_EN ≥ 2.81 V at the 3.207 V 3V3M minimum)</t>
  </si>
  <si>
    <t>24.9 Ω</t>
  </si>
  <si>
    <t>0.1 %, 25 ppm/K thin film, 50 mW (uses 1.1 mW)</t>
  </si>
  <si>
    <t>YAGEO RT0402BRD0724R9L</t>
  </si>
  <si>
    <t>C852667</t>
  </si>
  <si>
    <t>LCSC 19,000 (23 Sep 2026 page), US$ 0.034</t>
  </si>
  <si>
    <t>https://www.vishay.com/doc?60093</t>
  </si>
  <si>
    <t>Cost patch: replaces the Vishay PATT0402E24R9BGT1 (global sourcing, US$ 0.70); same 24.9 Ω 0.1 % 25 ppm thin film → LED-current window unchanged</t>
  </si>
  <si>
    <t>,R641,R642,</t>
  </si>
  <si>
    <t>R643, R644</t>
  </si>
  <si>
    <t>Base resistor, U604 output to the pass-transistor base</t>
  </si>
  <si>
    <t>,R643,R644,</t>
  </si>
  <si>
    <t>R645, R692</t>
  </si>
  <si>
    <t>Gate series resistors: R645 N2_MCLK_OE (X201 run signal) tap to Q616 (keeps the X201 INH edge clean); R692 Q622 gate series (re-arm latch)</t>
  </si>
  <si>
    <t>1 kΩ</t>
  </si>
  <si>
    <t>UNI-ROYAL 0402WGF1001TCE</t>
  </si>
  <si>
    <t>C11702</t>
  </si>
  <si>
    <t>https://www.lcsc.com/product-detail/C11702.html</t>
  </si>
  <si>
    <t>R665 moved to its own 330 Ω line; R692 new</t>
  </si>
  <si>
    <t>,R645,R692,</t>
  </si>
  <si>
    <t>R646-R648, R667, R669, R680, R687, R691, R693, R695, R696, R939, R950</t>
  </si>
  <si>
    <t>100 kΩ: RELAY_EN pull-down (R646), H pull-up to VPOS (R647), DC_PERMIT_N pull-up (R648); R667 MCLK-node series, R680/R687 U605 output pull-ups; R669 MCLK-alive threshold divider bottom; re-arm latch: R691 N6_CLR_N pull-up, R693 N6_HREF divider top, R695 N6_ARM readback to PB0, R696 Q622 gate-to-source pull-down (net N6_ARMG: an open R692 or an unpowered U608 turns Q622 off, so the switch opens); R939 V_LL+ divider bottom (LPW stages), R950 Q627 base (OR self-test)</t>
  </si>
  <si>
    <t>R939 and R950 new (LPW threshold divider, OR self-test)</t>
  </si>
  <si>
    <t>,R646,R647,R648,R667,R669,R680,R687,R691,R693,R695,R696,R939,R950,</t>
  </si>
  <si>
    <t>R653-R656, R662, R673, R925</t>
  </si>
  <si>
    <t>100 kΩ 0.1 %: I/V common-mode summing resistors (R653–R656), LED-sink reference top (R662); R673 1V3 reference divider bottom; R925 persistence-detector V_T divider bottom</t>
  </si>
  <si>
    <t>YAGEO RT0402BRD07100KL</t>
  </si>
  <si>
    <t>C852472</t>
  </si>
  <si>
    <t>LCSC 742,100</t>
  </si>
  <si>
    <t>https://www.lcsc.com/product-detail/C852472.html</t>
  </si>
  <si>
    <t>R925 added (persistence detector)</t>
  </si>
  <si>
    <t>,R653,R654,R655,R656,R662,R673,R925,</t>
  </si>
  <si>
    <t>R657, R659, R670</t>
  </si>
  <si>
    <t>10.0 kΩ 0.1 %: CM threshold chain top/bottom (R657, R659); R670 1V3 series into U606 ch1</t>
  </si>
  <si>
    <t>YAGEO RT0402BRD0710KL</t>
  </si>
  <si>
    <t>C190095</t>
  </si>
  <si>
    <t>LCSC 428,500</t>
  </si>
  <si>
    <t>https://www.lcsc.com/product-detail/C190095.html</t>
  </si>
  <si>
    <t>,R657,R659,R670,</t>
  </si>
  <si>
    <t>R660, R690, R694, R916-R919, R926-R929</t>
  </si>
  <si>
    <t>330 kΩ 1 %: R660 CM threshold offset from VPOS into CMTH_LO (permit off when 3V3A is absent); re-arm latch: R690 N6_TRIP pull-up to 3V3D, R694 N6_HREF divider bottom; persistence detector: R916–R919 base pull-ups of Q623–Q626 from VPOS; R926–R929 over-range (OR) taps from the legs</t>
  </si>
  <si>
    <t>330 kΩ</t>
  </si>
  <si>
    <t>1 %, 100 ppm/K</t>
  </si>
  <si>
    <t>UNI-ROYAL 0402WGF3303TCE</t>
  </si>
  <si>
    <t>C25778</t>
  </si>
  <si>
    <t>LCSC C25778, ≈ 72,700 (25 Sep 2026 list); JLCPCB Extended; drop-in if short: YAGEO RC0402FR-07330KL C138006 (355,200)</t>
  </si>
  <si>
    <t>https://jlcpcb.com/partdetail/26521-0402WGF3303TCE/C25778</t>
  </si>
  <si>
    <t>R926–R929 new (OR stages)</t>
  </si>
  <si>
    <t>,R660,R690,R694,R916,R917,R918,R919,R926,R927,R928,R929,</t>
  </si>
  <si>
    <t>R665</t>
  </si>
  <si>
    <t>MCLK-alive tap at the U301 XI pin (330 Ω; layout rules: X201 → R203 → XI ≤ 10 mm, R665 at XI, R665 → U607 ≤ 3 mm; X201 load ≤ 14.23 pF)</t>
  </si>
  <si>
    <t>LCSC C25104, 639,200 in stock (25 Sep 2026), JLCPCB Basic; same part as R228–R230 and R242–R246</t>
  </si>
  <si>
    <t>Changed 1 k → 330 Ω (own line; MCLK routed ≤ 10 mm)</t>
  </si>
  <si>
    <t>,R665,</t>
  </si>
  <si>
    <t>R666, R668, R930-R933, R938, R940</t>
  </si>
  <si>
    <t>1.00 MΩ 1 %: MCLK pump bleed (R666), MCLK-alive threshold divider top (R668, was 866 k 0.1 %); R930–R933 low-level persistence (LPW) taps from the legs, R938 V_LL+ divider top (3V3A), R940 V_LL− divider top (VNEG)</t>
  </si>
  <si>
    <t>1.00 MΩ</t>
  </si>
  <si>
    <t>UNI-ROYAL 0402WGF1004TCE</t>
  </si>
  <si>
    <t>C26083</t>
  </si>
  <si>
    <t>JLCPCB 2,055,430 (20 Sep 2026), Economic and Standard</t>
  </si>
  <si>
    <t>https://jlcpcb.com/partdetail/0402WGF1004TCE/C26083</t>
  </si>
  <si>
    <t>R930–R933, R938, R940 new (LPW stages); high-impedance nodes: layout rules and the cleaning remark apply</t>
  </si>
  <si>
    <t>,R666,R668,R930,R931,R932,R933,R938,R940,</t>
  </si>
  <si>
    <t>R671</t>
  </si>
  <si>
    <t>U606 ch1 hysteresis from N6_H</t>
  </si>
  <si>
    <t>2.2 MΩ</t>
  </si>
  <si>
    <t>SAE 1RC0402F2204</t>
  </si>
  <si>
    <t>C54530777</t>
  </si>
  <si>
    <t>JLCPCB 9,900 (25 Sep 2026), Economic and Standard, MSL 1; replaces the UNI-ROYAL 0402WGF2204TCE (C11490, LCSC out of stock on 25 Sep 2026); alternate RALEC RTT022204FTH C102893 (1 %, 100 ppm, 50 V; stock not shown)</t>
  </si>
  <si>
    <t>https://jlcpcb.com/partdetail/SAE-1RC0402F2204/C54530777</t>
  </si>
  <si>
    <t>Sourcing clean-up: drop-in 2.2 MΩ 1 % 0402 thick film; 100 ppm/K, 50 V, 62.5 mW per the SAE 1RC0402 series listing (assumption: same series data as C54530892)</t>
  </si>
  <si>
    <t>,R671,</t>
  </si>
  <si>
    <t>SAE</t>
  </si>
  <si>
    <t>R672</t>
  </si>
  <si>
    <t>1V3-good reference top (VPOS divider)</t>
  </si>
  <si>
    <t>237 kΩ</t>
  </si>
  <si>
    <t>YAGEO RT0402BRD07237KL</t>
  </si>
  <si>
    <t>C852654</t>
  </si>
  <si>
    <t>LCSC 7,520 (25 Sep 2026), min/multiple 20 for LCSC orders; JLCPCB places it per piece</t>
  </si>
  <si>
    <t>https://www.lcsc.com/product-detail/C852654.html</t>
  </si>
  <si>
    <t>LCSC number confirmed; not global-sourced</t>
  </si>
  <si>
    <t>,R672,</t>
  </si>
  <si>
    <t>R674</t>
  </si>
  <si>
    <t>1V3-good boot-test injection (PB8 via D610)</t>
  </si>
  <si>
    <t>2.2 kΩ</t>
  </si>
  <si>
    <t>UNI-ROYAL 0402WGF2201TCE</t>
  </si>
  <si>
    <t>C25879</t>
  </si>
  <si>
    <t>JLCPCB Basic, 754,758 available (18 Sep 2026 page); LCSC 147,500 (3 Sep 2026 page)</t>
  </si>
  <si>
    <t>https://www.lcsc.com/product-detail/C25879.html</t>
  </si>
  <si>
    <t>LCSC number confirmed in the sourcing clean-up; no substitution</t>
  </si>
  <si>
    <t>,R674,</t>
  </si>
  <si>
    <t>R675, R682</t>
  </si>
  <si>
    <t>U605 3V3A dividers, top (re-scaled to a 0402 value ≤ 240 k)</t>
  </si>
  <si>
    <t>44.2 kΩ</t>
  </si>
  <si>
    <t>YAGEO RT0402BRD0744K2L</t>
  </si>
  <si>
    <t>C705633</t>
  </si>
  <si>
    <t>LCSC ≈ 19,650 (18 Sep 2026 list); DigiKey 27,744</t>
  </si>
  <si>
    <t>Changed 237 k → 44.2 k (0.1 % 0402 thin film only up to 240 k)</t>
  </si>
  <si>
    <t>,R675,R682,</t>
  </si>
  <si>
    <t>R676, R683</t>
  </si>
  <si>
    <t>U605 3V3A dividers, bottom (IN−), re-scaled (was 953 k)</t>
  </si>
  <si>
    <t>200 kΩ</t>
  </si>
  <si>
    <t>YAGEO RT0402BRD07200KL</t>
  </si>
  <si>
    <t>C728556</t>
  </si>
  <si>
    <t>LCSC out of stock (min/multiple 50) → JLCPCB global sourcing; DigiKey 171,161 (25 Sep 2026)</t>
  </si>
  <si>
    <t>Changed 953 k → 200 k (re-scaled with R675/R682)</t>
  </si>
  <si>
    <t>,R676,R683,</t>
  </si>
  <si>
    <t>R677, R684</t>
  </si>
  <si>
    <t>U605 3V3M reference dividers, top (IN+): 300 k 0603 (was 330 k 0402)</t>
  </si>
  <si>
    <t>300 kΩ</t>
  </si>
  <si>
    <t>0.1 %, 25 ppm/K thin film, 75 V, 0.1 W</t>
  </si>
  <si>
    <t>YAGEO RT0603BRD07300KL</t>
  </si>
  <si>
    <t>C705762</t>
  </si>
  <si>
    <t>LCSC 65,780+ (25 Sep 2026)</t>
  </si>
  <si>
    <t>Changed 330 k 0402 → 300 k 0603 (0603 precision resistors for values above 240 k); not the same part as R660 (330 k 1 % UNI-ROYAL)</t>
  </si>
  <si>
    <t>,R677,R684,</t>
  </si>
  <si>
    <t>R678, R685, R901, R903, R905, R907, R909, R911, R913, R915</t>
  </si>
  <si>
    <t>1.00 MΩ 0.1 % 0603: 3V3M reference dividers, bottom (U605 IN+; R678/R685); persistence-detector difference divider Rb (R901–R915 odd)</t>
  </si>
  <si>
    <t>YAGEO RT0603BRD071ML</t>
  </si>
  <si>
    <t>C326730</t>
  </si>
  <si>
    <t>LCSC 1,200 (25 Sep 2026); 10 per board — buy now</t>
  </si>
  <si>
    <t>Changed 0402 → 0603 (0.1 % 0402 thin film only up to 240 k); R901–R915 new (persistence detector)</t>
  </si>
  <si>
    <t>,R678,R685,R901,R903,R905,R907,R909,R911,R913,R915,</t>
  </si>
  <si>
    <t>R679, R686</t>
  </si>
  <si>
    <t>U605 hysteresis (output to IN+)</t>
  </si>
  <si>
    <t>22 MΩ</t>
  </si>
  <si>
    <t>UNI-ROYAL 0402WGF2205TCE</t>
  </si>
  <si>
    <t>C407703</t>
  </si>
  <si>
    <t>LCSC out of stock (Jun 2026 page) → JLCPCB global sourcing, or any in-stock 22 MΩ ≤ 5 % 0402/0603</t>
  </si>
  <si>
    <t>Tolerance uncritical (5 % moves the U605 release threshold by ≤ 2 mV; margin 66 mV); an in-stock 22 MΩ is picked at order; 10 MΩ (C26082) is also out of stock</t>
  </si>
  <si>
    <t>,R679,R686,</t>
  </si>
  <si>
    <t>R681</t>
  </si>
  <si>
    <t>U605A output to U606 ch3 (limits injection into the unpowered U606)</t>
  </si>
  <si>
    <t>4.7 MΩ</t>
  </si>
  <si>
    <t>SAE 1RC0402F4704</t>
  </si>
  <si>
    <t>C54530892</t>
  </si>
  <si>
    <t>LCSC 4,600 (25 Sep 2026), min/multiple 100 for LCSC orders (JLCPCB places it per piece); replaces the UNI-ROYAL 0402WGF4704TCE C474132 (LCSC out of stock 25 Sep 2026)</t>
  </si>
  <si>
    <t>https://www.lcsc.com/product-detail/C54530892.html</t>
  </si>
  <si>
    <t>Sourcing clean-up: drop-in 4.7 MΩ 1 %, 100 ppm/K, 50 V, 62.5 mW, 0402 thick film (LCSC listing) — same as the UNI-ROYAL part</t>
  </si>
  <si>
    <t>,R681,</t>
  </si>
  <si>
    <t>R688, R689, R935-R937</t>
  </si>
  <si>
    <t>470 kΩ: U605 output readback to MCU PA12 / PB9 (a mis-driven pin cannot mask the gate); R935 V_OR+ divider bottom, R936/R937 V_OR− divider (R937 returned to the OR test line N6_ORTEST)</t>
  </si>
  <si>
    <t>LCSC 452,700 (2 Sep 2026); Economic and Standard</t>
  </si>
  <si>
    <t>R935–R937 new (OR stages)</t>
  </si>
  <si>
    <t>,R688,R689,R935,R936,R937,</t>
  </si>
  <si>
    <t>R900, R902, R904, R906, R908, R910, R912, R914</t>
  </si>
  <si>
    <t>487 kΩ 0.1 % 0603: persistence-detector difference divider Ra (V_L = VPOS × Ra/Rb = 1.80–2.00 V pair difference, with the 1.00 M Rb)</t>
  </si>
  <si>
    <t>487 kΩ</t>
  </si>
  <si>
    <t>YAGEO RT0603BRD07487KL</t>
  </si>
  <si>
    <t>C861426</t>
  </si>
  <si>
    <t>LCSC 1,840 (25 Sep 2026) — buy now</t>
  </si>
  <si>
    <t>New (persistence detector); 0603 because 0.1 % 0402 thin film stops at 240 k</t>
  </si>
  <si>
    <t>,R900,R902,R904,R906,R908,R910,R912,R914,</t>
  </si>
  <si>
    <t>R920-R923</t>
  </si>
  <si>
    <t>Persistence-detector timer resistor R_T from VPOS (110 k 0.1 %, leakage-robust value)</t>
  </si>
  <si>
    <t>110 kΩ</t>
  </si>
  <si>
    <t>YAGEO RT0402BRD07110KL</t>
  </si>
  <si>
    <t>C705063</t>
  </si>
  <si>
    <t>LCSC 8,000 (25 Sep 2026) — buy now</t>
  </si>
  <si>
    <t>New (persistence detector)</t>
  </si>
  <si>
    <t>,R920,R921,R922,R923,</t>
  </si>
  <si>
    <t>R924</t>
  </si>
  <si>
    <t>Persistence-detector timer threshold divider, top (V_T = 0.589 × VPOS with R925)</t>
  </si>
  <si>
    <t>69.8 kΩ</t>
  </si>
  <si>
    <t>YAGEO RT0402BRD0769K8L</t>
  </si>
  <si>
    <t>C852893</t>
  </si>
  <si>
    <t>LCSC stock only on a 2024 page → JLCPCB global sourcing; DigiKey SG 6,577 (DigiKey US 0 until Feb 2027)</t>
  </si>
  <si>
    <t>New (persistence detector). Same-spec alternate: Vishay TNPW040269K8BEED (0402, 0.1 %, 25 ppm; DigiKey 72,019); its value code also decodes to 69.8 kΩ (Checks)</t>
  </si>
  <si>
    <t>,R924,</t>
  </si>
  <si>
    <t>R934</t>
  </si>
  <si>
    <t>OR stage V_OR+ divider top (3V3A)</t>
  </si>
  <si>
    <t>360 kΩ</t>
  </si>
  <si>
    <t>1 %, 100 ppm/K, 1/16 W</t>
  </si>
  <si>
    <t>UNI-ROYAL 0402WGF3603TCE</t>
  </si>
  <si>
    <t>C45956</t>
  </si>
  <si>
    <t>JLCPCB Extended, 23,019 in stock / 21,995 available, Economic and Standard PCBA (JLCPCB part page, Jun 2026 copy, read 26 Sep 2026); re-check in the JLCPCB BOM tool at order</t>
  </si>
  <si>
    <t>New (OR stages)</t>
  </si>
  <si>
    <t>,R934,</t>
  </si>
  <si>
    <t>R941</t>
  </si>
  <si>
    <t>LPW stage V_LL− divider bottom (VNEG × 88.7/1088.7)</t>
  </si>
  <si>
    <t>88.7 kΩ</t>
  </si>
  <si>
    <t>UNI-ROYAL 0402WGF8872TCE</t>
  </si>
  <si>
    <t>C25922</t>
  </si>
  <si>
    <t>LCSC 121,600 (26 Sep 2026)</t>
  </si>
  <si>
    <t>New (LPW stages)</t>
  </si>
  <si>
    <t>,R941,</t>
  </si>
  <si>
    <t>R942-R949</t>
  </si>
  <si>
    <t>LPW timer charging resistors R_T2 (VPOS → timer node)</t>
  </si>
  <si>
    <t>910 kΩ</t>
  </si>
  <si>
    <t>UNI-ROYAL 0402WGF9103TCE</t>
  </si>
  <si>
    <t>C25800</t>
  </si>
  <si>
    <t>31,544 available (26 Sep 2026)</t>
  </si>
  <si>
    <t>New (LPW stages); high-impedance timer nodes: layout rules and the cleaning remark apply</t>
  </si>
  <si>
    <t>,R942,R943,R944,R945,R946,R947,R948,R949,</t>
  </si>
  <si>
    <t>R951</t>
  </si>
  <si>
    <t>OR self-test: series resistor in the Q627 collector (defined positive test threshold V_OR+ 0.086–0.141 V)</t>
  </si>
  <si>
    <t>LCSC C25744, Basic (same part as R103/R104, R201 ff., R305)</t>
  </si>
  <si>
    <t>New (OR self-test): no current in normal operation (Q627 off)</t>
  </si>
  <si>
    <t>,R951,</t>
  </si>
  <si>
    <t>U603, U606, U609-U612</t>
  </si>
  <si>
    <t>Comparator, quad, micropower, rail-to-rail input, open-collector output, on VPOS/VNEG: U603 I/V common-mode windows; U606: 1V3-good, MCLK-alive and 3V3A-good repeater into N6_H, and channel 4 = the re-arm latch H-OK detector (pin 10 = N6_H, pin 11 = N6_HREF, pin 13 = N6_TRIP; not spare); U609/U610: pair-difference persistence detectors L/R (2 level + 2 timer channels each; their timers and timer comparators also serve the OR and LPW stages); U611/U612: per-leg over-range (OR) stages L/R (tap &gt; V_OR+ / tap &lt; V_OR− per leg; outputs sink the timer-reset NPN bases)</t>
  </si>
  <si>
    <t>TLV1704</t>
  </si>
  <si>
    <t>TSSOP-14</t>
  </si>
  <si>
    <t>2.2-36 V; IQ ≤ 100 µA/ch (-40…125 °C); VOS ≤ 5.5 mV; IB ≤ 20 nA; CM V-..V+</t>
  </si>
  <si>
    <t>TI TLV1704AIPWR</t>
  </si>
  <si>
    <t>C181596</t>
  </si>
  <si>
    <t>LCSC C181596: 61 in stock (LCSC page read 26 Sep 2026), US$ 1.5567 at the 30+ tier → buy 31 from LCSC stock if ≥ 31 are in stock at order time, otherwise JLCPCB global sourcing; DigiKey 6,948 (25 Sep 2026); MSL 2 (bake)</t>
  </si>
  <si>
    <t>https://www.ti.com/lit/ds/symlink/tlv1704.pdf</t>
  </si>
  <si>
    <t>U611/U612 new (OR stages); still 6 per board</t>
  </si>
  <si>
    <t>,U603,U606,U609,U610,U611,U612,</t>
  </si>
  <si>
    <t>U604</t>
  </si>
  <si>
    <t>Dual zero-drift RRIO op-amp, LED-string current-sink regulator (supply 3V3D, reference from RELAY_EN)</t>
  </si>
  <si>
    <t>OPA2333</t>
  </si>
  <si>
    <t>1.8-5.5 V (7 V abs); VOS ≤ 10 µV, 0.05 µV/K; IQ ≤ 28 µA/ch (-40…125 °C); GBW 350 kHz</t>
  </si>
  <si>
    <t>TI OPA2333AIDR</t>
  </si>
  <si>
    <t>C38732</t>
  </si>
  <si>
    <t>Extended (not re-checked)</t>
  </si>
  <si>
    <t>LCSC 5,082 (25 Sep 2026)</t>
  </si>
  <si>
    <t>https://www.ti.com/lit/ds/symlink/opa2333.pdf</t>
  </si>
  <si>
    <t>,U604,</t>
  </si>
  <si>
    <t>U605</t>
  </si>
  <si>
    <t>Dual nanopower comparator, open drain, on 3V3M: two independent 3V3A-good channels</t>
  </si>
  <si>
    <t>TLV3402</t>
  </si>
  <si>
    <t>2.5-16 V; IQ ≤ 0.95 µA/ch (-40…125 °C); VOS ≤ 4.4 mV; IB ≤ 1.5 nA; VOL ≤ 0.3 V at 50 µA; CM -0.1 V..VCC+5 V</t>
  </si>
  <si>
    <t>TI TLV3402IDR</t>
  </si>
  <si>
    <t>C91242</t>
  </si>
  <si>
    <t>LCSC 745 (Mar 2026 page; recheck at order); DigiKey 1,323 — pre-order 6</t>
  </si>
  <si>
    <t>https://www.ti.com/lit/ds/symlink/tlv3402.pdf</t>
  </si>
  <si>
    <t>LCSC stock confirmed in the cost patch (US$ 0.6771; was an estimate); TI lifecycle note: "for new designs, we recommend considering an alternate". Drop-in alternate named: onsemi NCS3402DR2G (same SOIC-8 dual-comparator pinout) — IQ ≤ 1 µA per channel, VOL ≤ 0.3 V at 50 µA, the input range and the timing to be confirmed before use (not verified)</t>
  </si>
  <si>
    <t>,U605,</t>
  </si>
  <si>
    <t>U607</t>
  </si>
  <si>
    <t>Schmitt-trigger buffer, MCLK activity detector input (3V3D, Ioff)</t>
  </si>
  <si>
    <t>74AUP1G17</t>
  </si>
  <si>
    <t>SOT-353 (SC-70-5)</t>
  </si>
  <si>
    <t>0.8-3.6 V; VT+ 1.88-2.32 V, VT- 0.88-1.24 V at 3.0 V; CI 1.1 pF typ; Ioff</t>
  </si>
  <si>
    <t>Nexperia 74AUP1G17GW,125</t>
  </si>
  <si>
    <t>C545626</t>
  </si>
  <si>
    <t>Global sourcing (LCSC C545626 out of stock; DigiKey 66,948 on 25 Sep 2026)</t>
  </si>
  <si>
    <t>https://assets.nexperia.com/documents/data-sheet/74AUP1G17.pdf</t>
  </si>
  <si>
    <t>,U607,</t>
  </si>
  <si>
    <t>U608</t>
  </si>
  <si>
    <t>Single D flip-flop with preset/clear (re-arm latch: CP = RELAY_EN, D = RD̄ = N6_CLR_N, Q = N6_ARM → Q622 gate through R692 1 k), on 3V3D, Ioff</t>
  </si>
  <si>
    <t>74LVC1G74</t>
  </si>
  <si>
    <t>VSSOP-8 (DC)</t>
  </si>
  <si>
    <t>1.65-5.5 V; inputs 5.5 V tolerant; Ioff</t>
  </si>
  <si>
    <t>Nexperia 74LVC1G74DC,125</t>
  </si>
  <si>
    <t>C503431</t>
  </si>
  <si>
    <t>Extended (Economic and Standard)</t>
  </si>
  <si>
    <t>LCSC C503431: 4,620 (25 Sep 2026); JLCPCB 2,579 (Apr 2026 page); DigiKey 4,343; MSL 1</t>
  </si>
  <si>
    <t>New (re-arm latch)</t>
  </si>
  <si>
    <t>,U608,</t>
  </si>
  <si>
    <t>U613-U620</t>
  </si>
  <si>
    <t>Comparator, dual, nanopower, open-drain, 2.5–16 V, on VPOS/VNEG: low-level persistence (LPW) stages LP+, LP−, LN+, LN−, RP+, RP−, RN+, RN− (channel 1 level → own timer node; channel 2 timer &gt; 0 V → timer-reset NPN base)</t>
  </si>
  <si>
    <t>VSSOP-8 (DGK), 3.0 × 3.0 mm, 0.65 mm pitch</t>
  </si>
  <si>
    <t>2.5–16 V; VIO ≤ 4.4 mV, IIB ≤ 1.5 nA, VOL ≤ 0.30 V at 50 µA, ICC ≤ 0.95 µA/ch (full range); tpd 300 µs typical, no maximum</t>
  </si>
  <si>
    <t>TI TLV3402IDGKR</t>
  </si>
  <si>
    <t>C140314</t>
  </si>
  <si>
    <t>JLCPCB 153 (152 available) / LCSC 152 (26 Sep 2026); need 40 + attrition → buy now into the JLCPCB part library; MSL 1; same die and datasheet as U605 TLV3402IDR (C91242)</t>
  </si>
  <si>
    <t>New part type (package variant of U605). Pinout 1 OUT1, 2 IN1−, 3 IN1+, 4 GND (= VNEG), 5 IN2+, 6 IN2−, 7 OUT2, 8 VCC (= VPOS) (DGK = D pin map; gate G-3 checks the TI DGK drawing). Price at the JLCPCB 30+ tier</t>
  </si>
  <si>
    <t>,U613,U614,U615,U616,U617,U618,U619,U620,</t>
  </si>
  <si>
    <t>7 Outputs, indicators, test</t>
  </si>
  <si>
    <t>D701-D704</t>
  </si>
  <si>
    <t>ESD diode, bidirectional, one per jack contact on the jack side of the switches (JACK_LP, JACK_RP, JACK_LN, JACK_RN)</t>
  </si>
  <si>
    <t>5 V</t>
  </si>
  <si>
    <t>SOD-523</t>
  </si>
  <si>
    <t>Bidirectional (datasheet V-I figure); VRWM 5 V, VBR 7 V (≥ 6 V min), VC ≤ 16 V at IPP 7 A 8/20 µs, CJ 12 pF typ, IR ≤ 1 µA at 5 V (datasheet listing); IEC 61000-4-2 level 4</t>
  </si>
  <si>
    <t>GOODWORK LESD5D5.0CT1G</t>
  </si>
  <si>
    <t>C41399463</t>
  </si>
  <si>
    <t>LCSC 13,650 (24 Sep 2026); JLCPCB 131,706 (21 Aug 2026), Economic and Standard</t>
  </si>
  <si>
    <t>https://wmsc.lcsc.com/wmsc/upload/file/pdf/v2/lcsc/2412061650_GOODWORK-LESD5D5-0CT1G_C41399463.pdf</t>
  </si>
  <si>
    <t>Legs swing ±3.92 V max (&lt; VRWM 5 V); the numeric table of the PDF is an image (values from the LCSC/JLCPCB/DigiKey listings); approved alternate LRC LESD5D5.0CT1G C383211 (bidirectional, VRWM 5 V, VBR 7.8 V, VC 18.6 V at 9.4 A, 15 pF, MSL 3) — order by C number</t>
  </si>
  <si>
    <t>,D701,D702,D703,D704,</t>
  </si>
  <si>
    <t>D705</t>
  </si>
  <si>
    <t>LED status green, 3.3 V GPIO</t>
  </si>
  <si>
    <t>Green</t>
  </si>
  <si>
    <t>Vf 2.6-3.1 V</t>
  </si>
  <si>
    <t>Hubei KENTO KT-0805G</t>
  </si>
  <si>
    <t>C2297</t>
  </si>
  <si>
    <t>https://www.lcsc.com/product-detail/C2297.html</t>
  </si>
  <si>
    <t>Kept; pad 1 = cathode, polarity gate G-4</t>
  </si>
  <si>
    <t>,D705,</t>
  </si>
  <si>
    <t>D706</t>
  </si>
  <si>
    <t>LED fault red, 3.3 V GPIO</t>
  </si>
  <si>
    <t>Red</t>
  </si>
  <si>
    <t>Vf 1.8-2.4 V</t>
  </si>
  <si>
    <t>Hubei KENTO KT-0603R</t>
  </si>
  <si>
    <t>C2286</t>
  </si>
  <si>
    <t>https://www.lcsc.com/product-detail/C2286.html</t>
  </si>
  <si>
    <t>,D706,</t>
  </si>
  <si>
    <t>J701</t>
  </si>
  <si>
    <t>Jack, 4.4 mm 5-pole balanced (L+, L−, R+, R−, GND); 12 pads: 10 contact pins (incl. SWITCH, DETECT) + 2 "ep" mounting tabs</t>
  </si>
  <si>
    <t>Through-hole</t>
  </si>
  <si>
    <t>30 V, 500 mA, gold, -20…+70 °C</t>
  </si>
  <si>
    <t>G-Switch GT-3321667P-01</t>
  </si>
  <si>
    <t>C2762984</t>
  </si>
  <si>
    <t>Owner purchase (LCSC)</t>
  </si>
  <si>
    <t>Owner purchase (LCSC C2762984, 724 at the last check), 5 pcs</t>
  </si>
  <si>
    <t>https://www.lcsc.com/product-detail/C2762984.html</t>
  </si>
  <si>
    <t>Owner-fitted: hand-soldered after delivery, not placed by JLCPCB (THT, 12 joints: 10 contact pins + the 2 "ep" mounting tabs, soldered from L4); fitted last; lands with toes ≥ 0.3 mm and ≥ 1.5 mm iron clearance; footprint JLC_Imported:AUDIO-TH_GT-3321667P-01 with 12 plated slots 0.50 × 1.40 mm (+0.10/0) in 1.00 × 1.90 mm pads and two Ø1.20 mm locating holes for the Ø1.00 mm pegs; contact map per the G-Switch drawing C-GT03321667P-01 (owner-approved): 1 GND, 2/3 R− JACK_RN, 4/5 R+ JACK_RP, 6 L− JACK_LN, 7/8 L+ JACK_LP, 9 SWITCH, 10 DETECT, 11/12 "ep" (Contact H mounting tabs) no connection, soldered; G-2 on 2 samples confirms the map and whether pads 11/12 are common with the sleeve or the bushing; hole and peg sizes confirmed at the G-3 overlay</t>
  </si>
  <si>
    <t>,J701,</t>
  </si>
  <si>
    <t>J702</t>
  </si>
  <si>
    <t>Jack, 3.5 mm (TRRS body used with TRS plugs; ring 2 to GND): SMD with two plated slot terminals (pins 1/2) and four surface lands (pins 3–6)</t>
  </si>
  <si>
    <t>SMD with two plated slot terminals</t>
  </si>
  <si>
    <t>gold, 1 A</t>
  </si>
  <si>
    <t>HRO PJ-332A-6A</t>
  </si>
  <si>
    <t>C2848643</t>
  </si>
  <si>
    <t>JLCPCB stock (assembly difficulty "high")</t>
  </si>
  <si>
    <t>https://www.lcsc.com/product-detail/C2848643.html</t>
  </si>
  <si>
    <t>Contact map from the HRO PJ-332A maker drawing (G-2 confirms it on 2 samples): 1 sleeve GND, 2 ring 2 GND, 3 ring 1 JACK_RP, 4 tip JACK_LP, 5/6 break contacts (closed to pins 3/4 with no plug) no connection; pins 1/2 = the two GND terminals, plated slots 0.60 × 1.5 mm in 1.00 × 1.9 mm pads; pins 3–6 1.6 × 1.5 mm surface lands; two Ø1.20 mm locating pegs; JLCPCB to confirm how pads 1/2 are soldered (G-6), fallback: the owner hand-solders pads 1/2 from the bottom side (2 joints); if JLCPCB cannot assemble the part at all, J702 becomes owner-fitted (owner LCSC order); reflow peak rating not verified (the maker drawing gives none) — confirm with JLCPCB</t>
  </si>
  <si>
    <t>,J702,</t>
  </si>
  <si>
    <t>J703</t>
  </si>
  <si>
    <t>Header 1 × 6 2.54 mm, I²S test port (MCLK monitor, BCLK, LRCLK, SDATA, GND, 3V3D)</t>
  </si>
  <si>
    <t>1 × 6</t>
  </si>
  <si>
    <t>2.54 mm THT</t>
  </si>
  <si>
    <t>Generic 2.54 mm header</t>
  </si>
  <si>
    <t>DNF; pads only on the PCB</t>
  </si>
  <si>
    <t>,J703,</t>
  </si>
  <si>
    <t>R701</t>
  </si>
  <si>
    <t>Green LED series</t>
  </si>
  <si>
    <t>LED current 0.10–0.80 mA</t>
  </si>
  <si>
    <t>,R701,</t>
  </si>
  <si>
    <t>R702</t>
  </si>
  <si>
    <t>Red LED series</t>
  </si>
  <si>
    <t>LED current 0.36–0.73 mA</t>
  </si>
  <si>
    <t>,R702,</t>
  </si>
  <si>
    <t>R703</t>
  </si>
  <si>
    <t>J703 MCLK monitor series (monitor only)</t>
  </si>
  <si>
    <t>Fit together with J703</t>
  </si>
  <si>
    <t>,R703,</t>
  </si>
  <si>
    <t>TP732</t>
  </si>
  <si>
    <t>Test pad: PROG strap (MCU PC13), shorted to GND at reset</t>
  </si>
  <si>
    <t>1 SMD pad 1.0 mm</t>
  </si>
  <si>
    <t>Copper pad only — exclude from the JLCPCB BOM/CPL; TP732 = PROG strap (shorted to GND at reset = programming mode)</t>
  </si>
  <si>
    <t>,TP732,</t>
  </si>
  <si>
    <t>8 PCB and layout items (no part)</t>
  </si>
  <si>
    <t>TP701-TP731, TP733-TP753</t>
  </si>
  <si>
    <t>Test pads, 1.0 mm round on L1, mask open, no paste (allocation in the layout package, test points); TP732 (PROG) is on its own line in block 7</t>
  </si>
  <si>
    <t>pad</t>
  </si>
  <si>
    <t>No part</t>
  </si>
  <si>
    <t>No BOM part (copper only); netlisted as 1-pin pads (pin 1) — add the pad symbols in the schematic</t>
  </si>
  <si>
    <t>,TP701,TP702,TP703,TP704,TP705,TP706,TP707,TP708,TP709,TP710,TP711,TP712,TP713,TP714,TP715,TP716,TP717,TP718,TP719,TP720,TP721,TP722,TP723,TP724,TP725,TP726,TP727,TP728,TP729,TP730,TP731,TP733,TP734,TP735,TP736,TP737,TP738,TP739,TP740,TP741,TP742,TP743,TP744,TP745,TP746,TP747,TP748,TP749,TP750,TP751,TP752,TP753,</t>
  </si>
  <si>
    <t>MH, FID</t>
  </si>
  <si>
    <t>4 × M3 mounting holes (3.2 mm plated, 6.0 mm GND pad) + 3 global fiducials + 2 local fiducials at U202 + 2 at U201</t>
  </si>
  <si>
    <t>Layout package (board, fiducials); rail fiducials and tooling holes added by JLCPCB</t>
  </si>
  <si>
    <t>PCB</t>
  </si>
  <si>
    <t>4-layer FR-4 1.6 mm, JLC04161H-7628, 1 oz outer / 0.5 oz inner, ENIG, 90 Ω differential impedance control, 100 × 80 mm board (named alternative 100 × 70 mm) + 2 × 5 mm V-cut rails on the 100 mm edges (100 × 90 mm panel), top-side assembly only, exposed-pad thermal vias 0.30 mm unfilled and tented on L4 (no epoxy fill or cap).</t>
  </si>
  <si>
    <t>JLCPCB</t>
  </si>
  <si>
    <t>JLCPCB (bare PCB)</t>
  </si>
  <si>
    <t>Board</t>
  </si>
  <si>
    <t>Price on the Cost sheet (not a per-part line)</t>
  </si>
  <si>
    <t>Totals, fitted lines (Fit = Yes or Owner)</t>
  </si>
  <si>
    <t>of which placed by JLCPCB (Fit = Yes)</t>
  </si>
  <si>
    <t>of which owner-fitted (Fit = Owner)</t>
  </si>
  <si>
    <t>Columns: C = parts per board; O / P = SMT / through-hole joints per board; R–W = 5-board quantities and costs; AA = designators on fitted lines; AB = unique part numbers (fitted); AC = lines with a value code checked; AG = value mismatches (0 expected)</t>
  </si>
  <si>
    <t>Purchasing list — JLCPCB order (one line per part number) and the two owner orders</t>
  </si>
  <si>
    <t>JLCPCB order: quantities and costs summed from the Parts list by part number for the lines placed by JLCPCB (Fit = Yes): exact 5-board quantity plus attrition, no spares. JLCPCB-placed parts follow JLCPCB's minimums (a pre-ordered line buys at least its order quantity as costed); LCSC minimums and multiples apply only to the owner's LCSC order. Column Q checks both. Buy now = order before layout release into the JLCPCB private parts library; Pre-order = order early from LCSC stock. Owner orders: the owner-fitted parts (which double as samples for the pre-layout checks) and the other gate samples, bought by the owner from DigiKey and LCSC.</t>
  </si>
  <si>
    <t>Part type</t>
  </si>
  <si>
    <t>Qty to order (5 boards + attrition)</t>
  </si>
  <si>
    <t>Attrition</t>
  </si>
  <si>
    <t>Order rule</t>
  </si>
  <si>
    <t>LCSC minimum (input)</t>
  </si>
  <si>
    <t>LCSC multiple (input)</t>
  </si>
  <si>
    <t>Order-rule check</t>
  </si>
  <si>
    <t>Line cost US$</t>
  </si>
  <si>
    <t>Buy now</t>
  </si>
  <si>
    <t>Reason / sourcing</t>
  </si>
  <si>
    <t>Capacitor</t>
  </si>
  <si>
    <t>JLCPCB stock, per piece</t>
  </si>
  <si>
    <t>At PCBA order: exact quantity + attrition</t>
  </si>
  <si>
    <t>C103, C516, C624</t>
  </si>
  <si>
    <t>C104, C203-C210, C212-C215, C218, C219, C222-C224, C305-C309, C409-C412, C423-C426, C505, C515, C618, C619, C622, C623, C626-C628, C630, C635-C638, C655-C666</t>
  </si>
  <si>
    <t>Unit price differs between BOM lines (US$ 0.0011 / 0.0045); the line cost uses each line's price, the unit price shown is the average</t>
  </si>
  <si>
    <t>Connector</t>
  </si>
  <si>
    <t>Global sourcing via JLCPCB, per piece</t>
  </si>
  <si>
    <t>Global sourcing, bought with the PCBA order</t>
  </si>
  <si>
    <t>Resistor</t>
  </si>
  <si>
    <t>R103, R104, R201, R202, R207, R208, R212, R213, R216-R218, R227, R231, R232, R234, R236, R238, R239, R305, R508, R522, R951</t>
  </si>
  <si>
    <t>Unit price differs between BOM lines (US$ 0.0005 / 0.002 / 0.0033); the line cost uses each line's price, the unit price shown is the average</t>
  </si>
  <si>
    <t>R105, R108, R235, R240, R303, R505, R511, R512, R513, R535, R537, R538, R646-R648, R667, R669, R680, R687, R691, R693, R695, R696, R939, R950</t>
  </si>
  <si>
    <t>R106, R536</t>
  </si>
  <si>
    <t>R107, R417-R420</t>
  </si>
  <si>
    <t>R109, R532, R688, R689, R935-R937</t>
  </si>
  <si>
    <t>Unit price differs between BOM lines (US$ 0.002 / 0.0033); the line cost uses each line's price, the unit price shown is the average</t>
  </si>
  <si>
    <t>IC</t>
  </si>
  <si>
    <t>C201, C202, C421</t>
  </si>
  <si>
    <t>C217, C514, C620, C621</t>
  </si>
  <si>
    <t>Unit price differs between BOM lines (US$ 0.0011 / 0.002); the line cost uses each line's price, the unit price shown is the average</t>
  </si>
  <si>
    <t>C220, C221, C311, C312, C501, C506, C508, C617</t>
  </si>
  <si>
    <t>Ferrite bead</t>
  </si>
  <si>
    <t>FB202, FB301, FB302</t>
  </si>
  <si>
    <t>Transistor</t>
  </si>
  <si>
    <t>Q207, Q502-Q506, Q616, Q617, Q619, Q620, Q622</t>
  </si>
  <si>
    <t>Unit price differs between BOM lines (US$ 0.0524 / 0.0853); the line cost uses each line's price, the unit price shown is the average</t>
  </si>
  <si>
    <t>R228-R230, R242-R246, R665</t>
  </si>
  <si>
    <t>Unit price differs between BOM lines (US$ 0.001 / 0.002); the line cost uses each line's price, the unit price shown is the average</t>
  </si>
  <si>
    <t>R237, R643, R644</t>
  </si>
  <si>
    <t>Unit price differs between BOM lines (US$ 0.0005 / 0.002); the line cost uses each line's price, the unit price shown is the average</t>
  </si>
  <si>
    <t>Pre-order</t>
  </si>
  <si>
    <t>Single source, thin stock (JLCPCB 364 / LCSC 193): pre-order 6</t>
  </si>
  <si>
    <t>Single source, thin stock (LCSC 980): pre-order 6</t>
  </si>
  <si>
    <t>Pre-order: minimum order quantity 10 (as costed)</t>
  </si>
  <si>
    <t>Pre-order 10 (order quantity as costed)</t>
  </si>
  <si>
    <t>Oscillator</t>
  </si>
  <si>
    <t>X201: global sourcing; 32-week factory lead</t>
  </si>
  <si>
    <t>X202: global sourcing; 24-week factory lead</t>
  </si>
  <si>
    <t>X203: global sourcing; 24-week factory lead</t>
  </si>
  <si>
    <t>Crystal</t>
  </si>
  <si>
    <t>C301, C302, C303, C304, C310, C439, C440, C502</t>
  </si>
  <si>
    <t>Unit price differs between BOM lines (US$ 0.012 / 0.0191); the line cost uses each line's price, the unit price shown is the average</t>
  </si>
  <si>
    <t>Single source, thin stock (LCSC 724): pre-order 6</t>
  </si>
  <si>
    <t>C413-C416, C507, C509-C511, C512</t>
  </si>
  <si>
    <t>Pre-order from LCSC stock (C8024)</t>
  </si>
  <si>
    <t>Diode</t>
  </si>
  <si>
    <t>D413, D414, D104, D105</t>
  </si>
  <si>
    <t>Pre-order: minimum order quantity 60 (as costed)</t>
  </si>
  <si>
    <t>Thin LCSC stock (100 in stock): buy 60 now (order quantity as costed); the Susumu 0.05 % part is the fallback</t>
  </si>
  <si>
    <t>Pre-order: minimum order quantity 40 (as costed)</t>
  </si>
  <si>
    <t>Thin LCSC stock (120): pre-order 40 (order quantity as costed)</t>
  </si>
  <si>
    <t>Pre-order 60 (order quantity as costed)</t>
  </si>
  <si>
    <t>LCSC 16 in stock, DigiKey 0 until 14 Dec 2026; no compliant pin-compatible alternative</t>
  </si>
  <si>
    <t>Q507, Q612, Q614</t>
  </si>
  <si>
    <t>Q507 (suspend power cut), Q612/Q614: JLCPCB Basic, LCSC 25,800 (Q623–Q627 are onsemi MMBT3904LT1G, bought at the PCBA order)</t>
  </si>
  <si>
    <t>New 3V3M regulator (suspend power cut): LCSC C89347, 5,280 in stock</t>
  </si>
  <si>
    <t>220 nF film timing capacitors: global sourcing (Mouser 19,207, not at LCSC); owner-fitted if JLCPCB cannot confirm the reflow time</t>
  </si>
  <si>
    <t>R645, R692, R701</t>
  </si>
  <si>
    <t>R674, R702</t>
  </si>
  <si>
    <t>Global sourcing (LCSC out of stock; DigiKey 171,161)</t>
  </si>
  <si>
    <t>LCSC 65,780+ in stock; 0603 0.1 % for values above 240 k</t>
  </si>
  <si>
    <t>LCSC 1,200 in stock; 53 needed (10 per board + attrition)</t>
  </si>
  <si>
    <t>LCSC 1,840 in stock; 0603 0.1 % for values above 240 k</t>
  </si>
  <si>
    <t>Timer resistors R_T: LCSC 8,000 in stock</t>
  </si>
  <si>
    <t>Global sourcing (LCSC stock only on a 2024 page; DigiKey SG 6,577); same-spec alternate Vishay TNPW040269K8BEED (DigiKey 72,019)</t>
  </si>
  <si>
    <t>Buy the 31 needed (6 per board: U603, U606, U609–U612) from LCSC stock if ≥ 31 are in stock at order time (61 on the LCSC page read 26 Sep 2026; costed at the 30+ tier of US$ 1.5567), otherwise JLCPCB global sourcing (DigiKey 6,948)</t>
  </si>
  <si>
    <t>Pre-order from LCSC stock (C91242); TI lifecycle note; alternate onsemi NCS3402DR2G named, not verified</t>
  </si>
  <si>
    <t>MCLK detector gate: LCSC out of stock → global sourcing (DigiKey 66,948)</t>
  </si>
  <si>
    <t>New (re-arm latch): LCSC C503431, 4,620 in stock; JLCPCB Extended, MSL 1</t>
  </si>
  <si>
    <t>New (low-level persistence stages U613–U620, 8 per board): JLCPCB shows 152 available against 40 + attrition (web-page copy of 26 Sep 2026) — buy now into the JLCPCB part library</t>
  </si>
  <si>
    <t>ESD diode</t>
  </si>
  <si>
    <t>LED</t>
  </si>
  <si>
    <t>Total, JLCPCB order</t>
  </si>
  <si>
    <t>Owner order 1 — DigiKey (owner-fitted K601–K604, D102, R509 and gate samples)</t>
  </si>
  <si>
    <t>Type</t>
  </si>
  <si>
    <t>Qty to order</t>
  </si>
  <si>
    <t>Role</t>
  </si>
  <si>
    <t>Owner-fitted</t>
  </si>
  <si>
    <t>K601–K604</t>
  </si>
  <si>
    <t>DigiKey cut tape, per piece</t>
  </si>
  <si>
    <t>K601–K604 for 5 boards; also the G-3/G-4 samples (non-destructive checks before fitting)</t>
  </si>
  <si>
    <t>D102 for 5 boards; also the G-4 samples (DigiKey 1–9 pc tier)</t>
  </si>
  <si>
    <t>R509 for 5 boards (BOM price)</t>
  </si>
  <si>
    <t>Gate sample</t>
  </si>
  <si>
    <t>G-1 samples (LCSC out of stock)</t>
  </si>
  <si>
    <t>G-3/G-4 samples (not at LCSC)</t>
  </si>
  <si>
    <t>G-3 samples (LCSC out of stock; DigiKey 1-pc price)</t>
  </si>
  <si>
    <t>G-3 samples (moved here: keeps the LCSC order under NT$ 2,000)</t>
  </si>
  <si>
    <t>G-3 samples (moved here: LCSC holds only 61, needed by JLCPCB)</t>
  </si>
  <si>
    <t>DigiKey parts</t>
  </si>
  <si>
    <t>parts total rounded to cents, as ordered; column Q: order-rule flags (0 expected)</t>
  </si>
  <si>
    <t>DigiKey shipping to Taiwan</t>
  </si>
  <si>
    <t>free delivery to Taiwan above US$ 50; 5 % business tax (customs value above NT$ 2,000)</t>
  </si>
  <si>
    <t>DigiKey import tax</t>
  </si>
  <si>
    <t>DigiKey order total</t>
  </si>
  <si>
    <t>Owner order 2 — LCSC (owner-fitted J701 and gate samples)</t>
  </si>
  <si>
    <t>No LCSC minimum stated (1 assumed)</t>
  </si>
  <si>
    <t>J701 for 5 boards; also the G-2/G-3 samples</t>
  </si>
  <si>
    <t>G-2/G-3</t>
  </si>
  <si>
    <t>G-3</t>
  </si>
  <si>
    <t>G-3/G-4</t>
  </si>
  <si>
    <t>KENTO KT-0805G</t>
  </si>
  <si>
    <t>G-4</t>
  </si>
  <si>
    <t>KENTO KT-0603R</t>
  </si>
  <si>
    <t>LCSC min/multiple 20</t>
  </si>
  <si>
    <t>G-4 (LCSC min/multiple 20)</t>
  </si>
  <si>
    <t>LCSC min/multiple 5</t>
  </si>
  <si>
    <t>G-3/G-4 (LCSC min 5)</t>
  </si>
  <si>
    <t>G-3 (LCSC min 5)</t>
  </si>
  <si>
    <t>G-3 (1+ tier)</t>
  </si>
  <si>
    <t>LCSC minimum 10</t>
  </si>
  <si>
    <t>G-3/G-4 (LCSC min 10)</t>
  </si>
  <si>
    <t>LCSC parts</t>
  </si>
  <si>
    <t>LCSC shipping to Taiwan</t>
  </si>
  <si>
    <t>shipping ≈ US$ 10 (assumption: economy courier, rate shown only at checkout); no tax while the customs value stays under NT$ 2,000 (shipping ≤ ≈ US$ 16)</t>
  </si>
  <si>
    <t>LCSC import tax</t>
  </si>
  <si>
    <t>LCSC order total</t>
  </si>
  <si>
    <t>Owner purchase, both orders</t>
  </si>
  <si>
    <t>Conditional line, not in the totals: Panasonic ECH-U1H224GX9 (220 nF, 2416) × 20 from Mouser only if JLCPCB cannot confirm the reflow time (≤ 95 s above 220 °C, 260 °C peak); C631–C634 then become owner-fitted (limitation L-13)</t>
  </si>
  <si>
    <t>Cost — 5 assembled boards: JLCPCB Standard PCBA order + owner purchase (for information; no cost limit)</t>
  </si>
  <si>
    <t>Parts List v0.9 · 26 Sep 2026 · reproduces section 1 of the cost report of 26 Sep 2026 (tenth review round) with live formulas. Every total is an estimate until the supplier orders and the JLCPCB quote exist; the budget is not a constraint. Blue on yellow = input; US$ throughout, NTD at the exchange rate in B5. Line items rounded to the cent; totals computed from unrounded values.</t>
  </si>
  <si>
    <t>Input</t>
  </si>
  <si>
    <t>Unit</t>
  </si>
  <si>
    <t>Basis</t>
  </si>
  <si>
    <t>Exchange rate</t>
  </si>
  <si>
    <t>NTD per US$</t>
  </si>
  <si>
    <t>assumption: the v1.0 rate (USD/TWD spot 31.732 read on 25 Sep 2026); the rate at payment will differ</t>
  </si>
  <si>
    <t>Boards in the run</t>
  </si>
  <si>
    <t>boards</t>
  </si>
  <si>
    <t>JLCPCB Standard PCBA, top side only, one design</t>
  </si>
  <si>
    <t>Attrition, passives (R, C, FB)</t>
  </si>
  <si>
    <t>of the 5-board need</t>
  </si>
  <si>
    <t>assumption (JLCPCB sets the real attrition in the quote); no spare-parts stock</t>
  </si>
  <si>
    <t>Attrition minimum, passives</t>
  </si>
  <si>
    <t>pieces per line</t>
  </si>
  <si>
    <t>assumption</t>
  </si>
  <si>
    <t>Attrition, other lines</t>
  </si>
  <si>
    <t>piece per line</t>
  </si>
  <si>
    <t>Global-sourcing price difference</t>
  </si>
  <si>
    <t>of the global-sourced value</t>
  </si>
  <si>
    <t>assumption: JLCPCB states "a slight difference in price"</t>
  </si>
  <si>
    <t>Customs duty on relays in the JLCPCB order</t>
  </si>
  <si>
    <t>of their value</t>
  </si>
  <si>
    <t>assumption, worst case of the 3–30 % range; the photorelays are owner-bought</t>
  </si>
  <si>
    <t>Commodity inspection, connectors</t>
  </si>
  <si>
    <t>US$ per kind of part</t>
  </si>
  <si>
    <t>JLCPCB global-sourcing terms</t>
  </si>
  <si>
    <t>Connector kinds inspected</t>
  </si>
  <si>
    <t>kinds</t>
  </si>
  <si>
    <t>GCT USB4105-GF-A (global-sourced connector)</t>
  </si>
  <si>
    <t>Shipping JLCPCB → Taiwan (courier)</t>
  </si>
  <si>
    <t>Panel area per board</t>
  </si>
  <si>
    <t>cm²</t>
  </si>
  <si>
    <t>100 × 90 mm panel: 100 × 80 mm board + 2 × 5 mm V-cut rails</t>
  </si>
  <si>
    <t>Handling-fee rule: Standard at least Economic plus</t>
  </si>
  <si>
    <t>JLCPCB fee table: when both classes are possible, the shortfall is charged as a handling fee</t>
  </si>
  <si>
    <t>free delivery above US$ 50 (DigiKey Taiwan page)</t>
  </si>
  <si>
    <t>of the parts value</t>
  </si>
  <si>
    <t>5 % business tax (customs value above NT$ 2,000); tariff 0 % assumed</t>
  </si>
  <si>
    <t>assumption: economy courier; LCSC shows the rate only at checkout</t>
  </si>
  <si>
    <t>customs value under NT$ 2,000 (holds while the shipping stays ≤ ≈ US$ 16)</t>
  </si>
  <si>
    <t>Previous estimate, 5-board order</t>
  </si>
  <si>
    <t>earlier cost report, final pass before the cost patch (spare-parts stock, no owner purchase)</t>
  </si>
  <si>
    <t>earlier cost report</t>
  </si>
  <si>
    <t>Previous fitted parts per board</t>
  </si>
  <si>
    <t>v1.0 set estimate (Parts List v0.8), 5-board order</t>
  </si>
  <si>
    <t>Parts List v0.8 Cost sheet (ninth review round, after the independent check)</t>
  </si>
  <si>
    <t>Board data (linked from the Parts list and the Purchasing list)</t>
  </si>
  <si>
    <t>Fitted component lines (JLCPCB-placed + owner-fitted)</t>
  </si>
  <si>
    <t>lines</t>
  </si>
  <si>
    <t>Parts list: Fit = Yes or Owner</t>
  </si>
  <si>
    <t>of which owner-fitted lines</t>
  </si>
  <si>
    <t>K601–K604, J701, D102, R509</t>
  </si>
  <si>
    <t>parts</t>
  </si>
  <si>
    <t>of which placed by JLCPCB</t>
  </si>
  <si>
    <t>Parts list: Fit = Yes</t>
  </si>
  <si>
    <t>SMT joints per board, JLCPCB-placed</t>
  </si>
  <si>
    <t>joints</t>
  </si>
  <si>
    <t>Parts list: qty × SMT joints per part</t>
  </si>
  <si>
    <t>Plated through-hole joints in the JLCPCB order (J101 shell stakes S1–S4, J702 slot terminals 1/2)</t>
  </si>
  <si>
    <t>no fee priced: reflowed only if JLCPCB confirms the process in writing (G-6), otherwise hand-soldered by the owner from the bottom side at no cost; J701 is owner-fitted</t>
  </si>
  <si>
    <t>JLCPCB-placed part types</t>
  </si>
  <si>
    <t>types</t>
  </si>
  <si>
    <t>Purchasing list, JLCPCB order (one line per part number)</t>
  </si>
  <si>
    <t>of which Basic</t>
  </si>
  <si>
    <t>class as recorded; "preferred Extended" status not checked</t>
  </si>
  <si>
    <t>of which Extended or not verified</t>
  </si>
  <si>
    <t>pay the Economic Extended fee</t>
  </si>
  <si>
    <t>Leadless (X-ray) parts per board, JLCPCB-placed</t>
  </si>
  <si>
    <t>U102, U202, X201, X202, X203, U301, U401, U402, U501, U504</t>
  </si>
  <si>
    <t>X-ray components, whole run</t>
  </si>
  <si>
    <t>components</t>
  </si>
  <si>
    <t>per board × boards</t>
  </si>
  <si>
    <t>Global-sourced parts bought, value</t>
  </si>
  <si>
    <t>Parts list: Source = Global sourcing</t>
  </si>
  <si>
    <t>Relays in the JLCPCB order, value</t>
  </si>
  <si>
    <t>none: K601–K604 are owner-fitted</t>
  </si>
  <si>
    <t>Parts</t>
  </si>
  <si>
    <t>JLCPCB-placed parts per board</t>
  </si>
  <si>
    <t>Owner-fitted parts per board</t>
  </si>
  <si>
    <t>All fitted parts per board</t>
  </si>
  <si>
    <t>v1.0 set US$ 78.51 (JLCPCB-placed 55.76 + owner 22.75); final pass before the cost patch US$ 82.02 (input B23)</t>
  </si>
  <si>
    <t>JLCPCB parts for 5 boards, exact need</t>
  </si>
  <si>
    <t>boards × per board</t>
  </si>
  <si>
    <t>JLCPCB parts for 5 boards, need + attrition</t>
  </si>
  <si>
    <t>Purchasing list, JLCPCB order (attrition inputs B7–B9, LCSC pre-order quantities)</t>
  </si>
  <si>
    <t>JLCPCB assembly fees (5 boards, one design, top side)</t>
  </si>
  <si>
    <t>Quantity</t>
  </si>
  <si>
    <t>Rate US$</t>
  </si>
  <si>
    <t>Economic US$</t>
  </si>
  <si>
    <t>Standard US$</t>
  </si>
  <si>
    <t>NTD (Standard)</t>
  </si>
  <si>
    <t>Setup</t>
  </si>
  <si>
    <t>JLCPCB fee table (updated 8 Sep 2026)</t>
  </si>
  <si>
    <t>Stencil</t>
  </si>
  <si>
    <t>JLCPCB fee table</t>
  </si>
  <si>
    <t>SMT joints</t>
  </si>
  <si>
    <t>Manual / through-hole joints</t>
  </si>
  <si>
    <t>none charged: J701 is owner-fitted; the J101 shell stakes S1–S4 and the J702 slot terminals 1/2 are reflowed only if JLCPCB confirms the process in writing (G-6), else the owner hand-solders them (no cost)</t>
  </si>
  <si>
    <t>Hand-soldering labour</t>
  </si>
  <si>
    <t>no through-hole-only part in the JLCPCB order</t>
  </si>
  <si>
    <t>Extended part types (Economic only)</t>
  </si>
  <si>
    <t>Feeder loading, all part types (Standard only)</t>
  </si>
  <si>
    <t>every Basic and Extended part type</t>
  </si>
  <si>
    <t>X-ray inspection, leadless components</t>
  </si>
  <si>
    <t>rate from the tier table below</t>
  </si>
  <si>
    <t>Confirm Parts Placement</t>
  </si>
  <si>
    <t>Fixture (2 for 1–29 boards)</t>
  </si>
  <si>
    <t>Standard only</t>
  </si>
  <si>
    <t>Packing (US$ 0.50 + per cm² of panel area)</t>
  </si>
  <si>
    <t>Subtotal</t>
  </si>
  <si>
    <t>Handling fee (Standard must be at least Economic + B16)</t>
  </si>
  <si>
    <t>the JLCPCB rule when both classes are possible</t>
  </si>
  <si>
    <t>Total assembly fees</t>
  </si>
  <si>
    <t>Standard is the basis. Economic is for information only: the 0.4 mm-pitch CPLD U202 would sit at the Economic minimum pitch without solder-paste inspection, and the USB-C (J101) and 3.5 mm (J702) connectors are beyond the fixed Economic reflow</t>
  </si>
  <si>
    <t>Global-sourcing extras (lines still global-sourced)</t>
  </si>
  <si>
    <t>Rate</t>
  </si>
  <si>
    <t>Price difference of global-sourced parts</t>
  </si>
  <si>
    <t>Commodity inspection, USB4105 connector</t>
  </si>
  <si>
    <t>Customs duty on relays</t>
  </si>
  <si>
    <t>none: the photorelays are owner-bought</t>
  </si>
  <si>
    <t>Shipping of global-sourced parts to JLCPCB</t>
  </si>
  <si>
    <t>JLCPCB global-sourcing terms: no shipping charge</t>
  </si>
  <si>
    <t>Total global-sourcing extras</t>
  </si>
  <si>
    <t>PCB, 5 panels (assumptions — the JLCPCB online quote was not queried)</t>
  </si>
  <si>
    <t>Input US$</t>
  </si>
  <si>
    <t>4-layer FR-4 1.6 mm, JLC04161H-7628, 5 panels of 100 × 90 mm (100 × 80 mm board + 2 × 5 mm rails)</t>
  </si>
  <si>
    <t>assumption: small-batch 4-layer price, same JLCPCB ≤ 100 × 100 mm tier as the former 80 × 70 mm panel</t>
  </si>
  <si>
    <t>ENIG surface finish (kept; HASL rejected)</t>
  </si>
  <si>
    <t>90 Ω impedance control on the standard stack-up</t>
  </si>
  <si>
    <t>assumption: no charge on JLC04161H-7628</t>
  </si>
  <si>
    <t>Exposed-pad thermal vias unfilled and tented</t>
  </si>
  <si>
    <t>no epoxy fill or cap (tented vias everywhere)</t>
  </si>
  <si>
    <t>V-cut rails panel, fiducials and tooling by JLCPCB</t>
  </si>
  <si>
    <t>assumption: panel by JLCPCB, one design</t>
  </si>
  <si>
    <t>PCB estimate</t>
  </si>
  <si>
    <t>re-quote at order</t>
  </si>
  <si>
    <t>Owner purchase — two orders (owner-fitted parts and gate samples)</t>
  </si>
  <si>
    <t>DigiKey order, parts</t>
  </si>
  <si>
    <t>Purchasing list, owner order 1</t>
  </si>
  <si>
    <t>input B17</t>
  </si>
  <si>
    <t>input B18</t>
  </si>
  <si>
    <t>LCSC order, parts</t>
  </si>
  <si>
    <t>Purchasing list, owner order 2</t>
  </si>
  <si>
    <t>input B19 (assumption)</t>
  </si>
  <si>
    <t>input B20</t>
  </si>
  <si>
    <t>Owner purchase total</t>
  </si>
  <si>
    <t>the owner-fitted parts double as samples for the pre-layout checks</t>
  </si>
  <si>
    <t>Total — 5-board order (for information)</t>
  </si>
  <si>
    <t>JLCPCB parts, need + attrition</t>
  </si>
  <si>
    <t>row 45</t>
  </si>
  <si>
    <t>JLCPCB Standard PCBA assembly fees</t>
  </si>
  <si>
    <t>row 61</t>
  </si>
  <si>
    <t>Global-sourcing extras</t>
  </si>
  <si>
    <t>row 68</t>
  </si>
  <si>
    <t>PCB, 5 panels</t>
  </si>
  <si>
    <t>row 76 (assumption)</t>
  </si>
  <si>
    <t>Shipping JLCPCB → Taiwan</t>
  </si>
  <si>
    <t>input B14 (assumption)</t>
  </si>
  <si>
    <t>row 87</t>
  </si>
  <si>
    <t>import charges of the JLCPCB shipment not included</t>
  </si>
  <si>
    <t>Equivalent per assembled board (total ÷ boards)</t>
  </si>
  <si>
    <t>of which JLCPCB order per board</t>
  </si>
  <si>
    <t>of which owner purchase per board</t>
  </si>
  <si>
    <t>Earlier round's comparison: saving against US$ 1,072.87</t>
  </si>
  <si>
    <t>Earlier round's comparison: saving per assembled board</t>
  </si>
  <si>
    <t>Earlier record: the v1.0 set against the v0.9 set (Parts List v0.7)</t>
  </si>
  <si>
    <t>Earlier round's comparison (cost patch): where the saving comes from, US$ 1,072.87 → now</t>
  </si>
  <si>
    <t>Previous US$</t>
  </si>
  <si>
    <t>Now US$</t>
  </si>
  <si>
    <t>Change US$</t>
  </si>
  <si>
    <t>Main cause</t>
  </si>
  <si>
    <t>JLCPCB parts (incl. spares / attrition)</t>
  </si>
  <si>
    <t>no spare-parts stock; cheaper LCSC-stocked parts; the owner-fitted lines moved out</t>
  </si>
  <si>
    <t>Assembly fees (Standard)</t>
  </si>
  <si>
    <t>no through-hole or hand-soldering fee; the handling-fee rule lifts Standard to Economic + US$ 14.93</t>
  </si>
  <si>
    <t>no photorelay duty (owner-bought); fewer global-sourced lines</t>
  </si>
  <si>
    <t>exposed-pad vias tented instead of epoxy-filled and capped</t>
  </si>
  <si>
    <t>Shipping</t>
  </si>
  <si>
    <t>Owner purchase (two orders, incl. gate samples, shipping and tax)</t>
  </si>
  <si>
    <t>owner-fitted parts at distributor prices plus the samples for the pre-layout checks</t>
  </si>
  <si>
    <t>Total</t>
  </si>
  <si>
    <t>Change vs the v1.0 set (Parts List v0.8, US$ 856.14 → now)</t>
  </si>
  <si>
    <t>v1.0 set US$</t>
  </si>
  <si>
    <t>JLCPCB parts (need + attrition)</t>
  </si>
  <si>
    <t>history-robust protection: per-leg OR stages (U611/U612 TLV1704) and LPW stages (8 × TLV3402IDGKR at US$ 1.3642, 1 M / 910 k / 360 k / 88.7 k resistors, 3.3 nF 0603 and 100 nF 1206 C0G), R951, onsemi MMBT3904LT1G for Q623–Q627, the TLV1704 line priced at the 30+ tier (US$ 1.5567); the leg-window RC stage (115 k, 2.2 µF, 0.1 % 121 k / 115 k / 10.0 k) removed</t>
  </si>
  <si>
    <t>more Extended part types (TLV3402IDGKR, 910 k, 88.7 k, 360 k, FH 0603 / 1206 C0G, MMBT3904LT1G) minus the retired 115 k type — Standard base and the handling-fee top-up</t>
  </si>
  <si>
    <t>the retired 0.1 % 121 k / 115 k global lines; the new C0G lines are LCSC-stocked (no global sourcing)</t>
  </si>
  <si>
    <t>unchanged: 100 × 80 mm (panel 100 × 90 mm), same price tier (assumption)</t>
  </si>
  <si>
    <t>Owner purchase</t>
  </si>
  <si>
    <t>unchanged (no owner-fitted change in this round)</t>
  </si>
  <si>
    <t>Reconciliation with the cost report of 26 Sep 2026 (tenth review round, section 1)</t>
  </si>
  <si>
    <t>Report</t>
  </si>
  <si>
    <t>This sheet</t>
  </si>
  <si>
    <t>Difference</t>
  </si>
  <si>
    <t>Tolerance</t>
  </si>
  <si>
    <t>Result</t>
  </si>
  <si>
    <t>Compared at the report rounding</t>
  </si>
  <si>
    <t>JLCPCB-placed parts per board (US$)</t>
  </si>
  <si>
    <t>US$, 2 decimals</t>
  </si>
  <si>
    <t>JLCPCB-placed parts per board (NTD)</t>
  </si>
  <si>
    <t>whole numbers</t>
  </si>
  <si>
    <t>Owner-fitted parts per board (US$)</t>
  </si>
  <si>
    <t>Owner-fitted parts per board (NTD)</t>
  </si>
  <si>
    <t>All fitted parts per board (US$)</t>
  </si>
  <si>
    <t>All fitted parts per board (NTD)</t>
  </si>
  <si>
    <t>JLCPCB parts, exact need (US$)</t>
  </si>
  <si>
    <t>JLCPCB parts, need + attrition (US$)</t>
  </si>
  <si>
    <t>JLCPCB parts, need + attrition (NTD)</t>
  </si>
  <si>
    <t>Standard PCBA fees (US$)</t>
  </si>
  <si>
    <t>Standard PCBA fees (NTD)</t>
  </si>
  <si>
    <t>Handling-fee top-up (US$)</t>
  </si>
  <si>
    <t>(information) Economic PCBA fees (US$)</t>
  </si>
  <si>
    <t>(information) Economic PCBA fees (NTD)</t>
  </si>
  <si>
    <t>Global-sourcing extras (US$)</t>
  </si>
  <si>
    <t>Global-sourcing extras (NTD)</t>
  </si>
  <si>
    <t>PCB, 5 panels (US$)</t>
  </si>
  <si>
    <t>PCB, 5 panels (NTD)</t>
  </si>
  <si>
    <t>Shipping (US$)</t>
  </si>
  <si>
    <t>Shipping (NTD)</t>
  </si>
  <si>
    <t>JLCPCB order, Standard (US$)</t>
  </si>
  <si>
    <t>JLCPCB order, Standard (NTD)</t>
  </si>
  <si>
    <t>DigiKey order (US$)</t>
  </si>
  <si>
    <t>LCSC order (US$)</t>
  </si>
  <si>
    <t>Owner purchase (US$)</t>
  </si>
  <si>
    <t>Owner purchase (NTD)</t>
  </si>
  <si>
    <t>Total per 5-board order (US$)</t>
  </si>
  <si>
    <t>Total per 5-board order (NTD)</t>
  </si>
  <si>
    <t>Per assembled board (US$)</t>
  </si>
  <si>
    <t>Per assembled board (NTD)</t>
  </si>
  <si>
    <t>of which JLCPCB order per board (US$)</t>
  </si>
  <si>
    <t>of which owner purchase per board (US$)</t>
  </si>
  <si>
    <t>(information) Total with Economic PCBA (US$)</t>
  </si>
  <si>
    <t>(information) Total with Economic PCBA (NTD)</t>
  </si>
  <si>
    <t>Change vs the v1.0 set: JLCPCB parts (US$)</t>
  </si>
  <si>
    <t>Change vs the v1.0 set: Standard fees (US$)</t>
  </si>
  <si>
    <t>Change vs the v1.0 set: global-sourcing extras (US$)</t>
  </si>
  <si>
    <t>Change vs the v1.0 set, total (US$)</t>
  </si>
  <si>
    <t>Earlier round's comparison: saving vs US$ 1,072.87 (US$)</t>
  </si>
  <si>
    <t>Earlier round's comparison: saving (NTD)</t>
  </si>
  <si>
    <t>Earlier round's comparison: saving (% of 1,072.87)</t>
  </si>
  <si>
    <t>one decimal</t>
  </si>
  <si>
    <t>Earlier round's comparison: saving per assembled board (US$)</t>
  </si>
  <si>
    <t>JLCPCB-placed lines</t>
  </si>
  <si>
    <t>Owner-fitted lines</t>
  </si>
  <si>
    <t>Extended part types (Economic fee)</t>
  </si>
  <si>
    <t>All placed part types (feeder loading)</t>
  </si>
  <si>
    <t>Global-sourced parts bought, value (US$)</t>
  </si>
  <si>
    <t>All reconciliation lines</t>
  </si>
  <si>
    <t>X-ray fee tiers (JLCPCB fee table, per component)</t>
  </si>
  <si>
    <t>From (components)</t>
  </si>
  <si>
    <t>US$ per component</t>
  </si>
  <si>
    <t>Tier (components per order)</t>
  </si>
  <si>
    <t>1–10</t>
  </si>
  <si>
    <t>11–50</t>
  </si>
  <si>
    <t>51–200</t>
  </si>
  <si>
    <t>201–500</t>
  </si>
  <si>
    <t>501–1,000</t>
  </si>
  <si>
    <t>1,001–3,000</t>
  </si>
  <si>
    <t>above 3,000</t>
  </si>
  <si>
    <t>Ordering plan — 5 boards, JLCPCB Standard PCBA (top side) + two owner orders</t>
  </si>
  <si>
    <t>No spare-parts stock: every JLCPCB line buys the exact 5-board quantity plus attrition. Buy-now and pre-order parts go into the JLCPCB private parts library before layout release; everything else is bought by JLCPCB with the PCBA order. The owner buys the owner-fitted parts and the gate samples in two small orders (DigiKey, LCSC). Quantities and values are live from the Purchasing list. The order stays on HOLD until routing, the layout review and gates G-5 and G-6 are done, including JLCPCB's written confirmation of how the J101 shell stakes and the J702 slot pads are soldered.</t>
  </si>
  <si>
    <t>A. Buy now and pre-order — into the JLCPCB private parts library before layout release</t>
  </si>
  <si>
    <t>Part (MPN)</t>
  </si>
  <si>
    <t>Need, 5 boards</t>
  </si>
  <si>
    <t>Buy</t>
  </si>
  <si>
    <t>Value US$</t>
  </si>
  <si>
    <t>When / reason</t>
  </si>
  <si>
    <t>Buy now: LCSC 16 in stock, DigiKey 0 until 14 Dec 2026; no compliant pin-compatible alternative</t>
  </si>
  <si>
    <t>Buy now: Thin LCSC stock (100 in stock): buy 60 now (order quantity as costed); the Susumu 0.05 % part is the fallback</t>
  </si>
  <si>
    <t>Buy now: Buy the 31 needed (6 per board: U603, U606, U609–U612) from LCSC stock if ≥ 31 are in stock at order time (61 on the LCSC page read 26 Sep 2026; costed at the 30+ tier of US$ 1.5567), otherwise JLCPCB global sourcing (DigiKey 6,948)</t>
  </si>
  <si>
    <t>Buy now: New (low-level persistence stages U613–U620, 8 per board): JLCPCB shows 152 available against 40 + attrition (web-page copy of 26 Sep 2026) — buy now into the JLCPCB part library</t>
  </si>
  <si>
    <t>Buy now: New 3V3M regulator (suspend power cut): LCSC C89347, 5,280 in stock</t>
  </si>
  <si>
    <t>Buy now: Q507 (suspend power cut), Q612/Q614: JLCPCB Basic, LCSC 25,800 (Q623–Q627 are onsemi MMBT3904LT1G, bought at the PCBA order)</t>
  </si>
  <si>
    <t>Buy now: New (re-arm latch): LCSC C503431, 4,620 in stock; JLCPCB Extended, MSL 1</t>
  </si>
  <si>
    <t>Buy now: 220 nF film timing capacitors: global sourcing (Mouser 19,207, not at LCSC); owner-fitted if JLCPCB cannot confirm the reflow time</t>
  </si>
  <si>
    <t>Buy now: LCSC 1,200 in stock; 53 needed (10 per board + attrition)</t>
  </si>
  <si>
    <t>Buy now: LCSC 1,840 in stock; 0603 0.1 % for values above 240 k</t>
  </si>
  <si>
    <t>Buy now: LCSC 65,780+ in stock; 0603 0.1 % for values above 240 k</t>
  </si>
  <si>
    <t>Buy now: Timer resistors R_T: LCSC 8,000 in stock</t>
  </si>
  <si>
    <t>Buy now: Global sourcing (LCSC out of stock; DigiKey 171,161)</t>
  </si>
  <si>
    <t>Buy now: Global sourcing (LCSC stock only on a 2024 page; DigiKey SG 6,577); same-spec alternate Vishay TNPW040269K8BEED (DigiKey 72,019)</t>
  </si>
  <si>
    <t>Buy now: X201: global sourcing; 32-week factory lead</t>
  </si>
  <si>
    <t>Buy now: X202: global sourcing; 24-week factory lead</t>
  </si>
  <si>
    <t>Buy now: X203: global sourcing; 24-week factory lead</t>
  </si>
  <si>
    <t>Buy now: MCLK detector gate: LCSC out of stock → global sourcing (DigiKey 66,948)</t>
  </si>
  <si>
    <t>Pre-order: Pre-order 60 (order quantity as costed)</t>
  </si>
  <si>
    <t>Pre-order: Thin LCSC stock (120): pre-order 40 (order quantity as costed)</t>
  </si>
  <si>
    <t>Pre-order: Pre-order from LCSC stock (C91242); TI lifecycle note; alternate onsemi NCS3402DR2G named, not verified</t>
  </si>
  <si>
    <t>Pre-order: Pre-order 10 (order quantity as costed)</t>
  </si>
  <si>
    <t>Pre-order: Pre-order from LCSC stock (C8024)</t>
  </si>
  <si>
    <t>Pre-order: Single source, thin stock (LCSC 724): pre-order 6</t>
  </si>
  <si>
    <t>Pre-order: Single source, thin stock (JLCPCB 364 / LCSC 193): pre-order 6</t>
  </si>
  <si>
    <t>Pre-order: Single source, thin stock (LCSC 980): pre-order 6</t>
  </si>
  <si>
    <t>Buy-now and pre-order total</t>
  </si>
  <si>
    <t>B. Owner orders — bought by the owner, delivered to the owner (Purchasing list, owner orders 1 and 2)</t>
  </si>
  <si>
    <t>Order</t>
  </si>
  <si>
    <t>Content</t>
  </si>
  <si>
    <t>Total US$</t>
  </si>
  <si>
    <t>Note</t>
  </si>
  <si>
    <t>DigiKey</t>
  </si>
  <si>
    <t>K601–K604 TLP3545A ×20, D102 SMDJ12A ×5, R509 4.75 kΩ ×5 (owner-fitted) + gate samples</t>
  </si>
  <si>
    <t>LCSC</t>
  </si>
  <si>
    <t>J701 GT-3321667P-01 ×5 (owner-fitted) + gate samples; LCSC minimum/multiple checked (Purchasing list column Q)</t>
  </si>
  <si>
    <t>Both orders</t>
  </si>
  <si>
    <t>the owner-fitted parts double as samples for the pre-layout checks (G-2, G-3, G-4 are non-destructive and done before fitting)</t>
  </si>
  <si>
    <t>Conditional</t>
  </si>
  <si>
    <t>Panasonic ECH-U1H224GX9 ×20 (Mouser) for C631–C634</t>
  </si>
  <si>
    <t>only if JLCPCB cannot confirm the reflow time (≤ 95 s above 220 °C, 260 °C peak); not in the totals</t>
  </si>
  <si>
    <t>C. Owner fitting order after delivery (bring-up)</t>
  </si>
  <si>
    <t>Step</t>
  </si>
  <si>
    <t>When</t>
  </si>
  <si>
    <t>D102 (SMDJ12A) and R509 (4.75 kΩ)</t>
  </si>
  <si>
    <t>before the first USB plug-in and the first power-up: D102 is in the VBUS surge path; U503 must never run with its ILM pin open</t>
  </si>
  <si>
    <t>K601–K604 (TLP3545A photorelays)</t>
  </si>
  <si>
    <t>after the rail, MCU and DAC bring-up and the protection/permit self-tests. Safety note: until the photorelays are fitted the headphone outputs are open (no signal reaches the jacks)</t>
  </si>
  <si>
    <t>J701 (4.4 mm jack, THT, 12 joints)</t>
  </si>
  <si>
    <t>last, soldered from L4: 12 THT joints (10 contact pins plus the two "ep" mounting tabs 11/12); J702 (3.5 mm) is placed by JLCPCB</t>
  </si>
  <si>
    <t>fallback</t>
  </si>
  <si>
    <t>J101 shell stakes S1–S4 (4 joints) and J702 slot pads 1/2 (2 joints)</t>
  </si>
  <si>
    <t>only if JLCPCB does not confirm how it solders them: hand-soldered from the bottom side (no parts there) before the first plug-in; never use the board with the J101 stakes unsoldered</t>
  </si>
  <si>
    <t>if needed</t>
  </si>
  <si>
    <t>C631–C634 (220 nF film timing capacitors, 2416)</t>
  </si>
  <si>
    <t>only if JLCPCB cannot confirm the reflow time: 20 pieces from Mouser, fitted before the first playback test (the persistence-detector timers need C_T); follow the Panasonic hand-soldering note; 1.5 mm iron clearance at both pad ends</t>
  </si>
  <si>
    <t>D. Global-sourcing lines — stock, lead time, alternates</t>
  </si>
  <si>
    <t>Stock seen (date)</t>
  </si>
  <si>
    <t>Factory lead time</t>
  </si>
  <si>
    <t>Alternates / fallback</t>
  </si>
  <si>
    <t>DigiKey 127,933 (24 Sep 2026); LCSC out of stock (14 Sep 2026)</t>
  </si>
  <si>
    <t>Commodity inspection US$ 20 (Cost sheet); pin-in-paste shell stakes; 2 samples on the DigiKey owner order (gate G-1)</t>
  </si>
  <si>
    <t>DigiKey 2,964 (Aug 2026); Mouser 1,375 (+10,000 on order)</t>
  </si>
  <si>
    <t>32 weeks</t>
  </si>
  <si>
    <t>NDK NSC5338D-80M, conditional second source (bring-up checks of disable time and edges; no R509 change)</t>
  </si>
  <si>
    <t>Buy now; LCSC C1988889 not stocked</t>
  </si>
  <si>
    <t>DigiKey 3,438 (24 Sep 2026)</t>
  </si>
  <si>
    <t>24 weeks</t>
  </si>
  <si>
    <t>SiT8008BI-xx-33S-49.152000 (compliant second source)</t>
  </si>
  <si>
    <t>Buy now; no LCSC stock</t>
  </si>
  <si>
    <t>DigiKey 3,166 (Sep 2026)</t>
  </si>
  <si>
    <t>SiT8008BI-xx-33S-45.158400 (compliant second source)</t>
  </si>
  <si>
    <t>DigiKey 66,948 (25 Sep 2026); LCSC C545626 out of stock</t>
  </si>
  <si>
    <t>20 weeks</t>
  </si>
  <si>
    <t>Buy now (MCLK detector gate)</t>
  </si>
  <si>
    <t>Susumu RG1608N-202-W-T1 (2.00 k, 0.05 %)</t>
  </si>
  <si>
    <t>DigiKey 16,746 cut tape (25 Sep 2026)</t>
  </si>
  <si>
    <t>Panasonic ERA-3ARW202V (0.05 %/10 ppm, DigiKey 1,259)</t>
  </si>
  <si>
    <t>Mixed leg network (offset guarantee); no LCSC stock</t>
  </si>
  <si>
    <t>C631–C634</t>
  </si>
  <si>
    <t>Panasonic ECH-U1H224GX9 (220 nF ±2 % PPS film, 2416)</t>
  </si>
  <si>
    <t>Mouser 19,207; DigiKey 62 (25 Sep 2026); not at LCSC</t>
  </si>
  <si>
    <t>owner-fitted fallback (2416 land, 1.5 mm iron clearance at both pad ends)</t>
  </si>
  <si>
    <t>Buy now; JLCPCB to confirm ≤ 95 s above 220 °C, 260 °C peak (gate G-6, limitation L-13)</t>
  </si>
  <si>
    <t>YAGEO RT0402BRD07200KL (200 k, 0.1 %)</t>
  </si>
  <si>
    <t>DigiKey 171,161 (25 Sep 2026); LCSC out of stock</t>
  </si>
  <si>
    <t>Buy now (U605 3V3A dividers)</t>
  </si>
  <si>
    <t>YAGEO RT0402BRD0769K8L (69.8 k, 0.1 %)</t>
  </si>
  <si>
    <t>DigiKey SG 6,577; DigiKey US 0 until Feb 2027; LCSC only on a 2024 page</t>
  </si>
  <si>
    <t>same-spec alternate Vishay TNPW040269K8BEED (0402, 0.1 %, 25 ppm; DigiKey 72,019)</t>
  </si>
  <si>
    <t>Buy now (timer threshold divider)</t>
  </si>
  <si>
    <t>R628–R631, R639, R663</t>
  </si>
  <si>
    <t>DigiKey 25,165</t>
  </si>
  <si>
    <t>LCSC out of stock; bought with the order</t>
  </si>
  <si>
    <t>UNI-ROYAL 0402WGF2205TCE (22 MΩ)</t>
  </si>
  <si>
    <t>LCSC C407703 out of stock (Jun 2026)</t>
  </si>
  <si>
    <t>any in-stock 22 MΩ ≤ 5 % 0402/0603 (tolerance uncritical)</t>
  </si>
  <si>
    <t>E. At PCBA order — bought by JLCPCB with the order</t>
  </si>
  <si>
    <t>Named for the order: BAT54 (D104/D105, D413/D414), BAS70-04 (D609/D610), PMEG2010AEH (D411/D412: 11 placed by JLCPCB, JLCPCB's minimums apply; LCSC multiples only on the owner's LCSC order), R535/R536 (100 k / 47 k Basic) and the Basic passives.</t>
  </si>
  <si>
    <t>New in this round and bought at the PCBA order (LCSC-stocked, no global sourcing): FH 0603CG332J500NT (C190576, C643–C646) and FH 1206CG104J500NT (C46348, C647–C654) C0G capacitors, onsemi MMBT3904LT1G (C81464, Q623–Q627), 360 kΩ (C45956), 88.7 kΩ (C25922) and 910 kΩ (C25800). Prices, stock and JLCPCB classes come from web-page copies read on 26 Sep 2026 — re-check them in the JLCPCB BOM tool at order.</t>
  </si>
  <si>
    <t>F. Order remarks for JLCPCB (attach at order release, gate G-6)</t>
  </si>
  <si>
    <t>JLCPCB Standard PCBA, top side only, 5 boards; board 100 × 80 mm (100 × 70 mm is the named alternative), panel 100 × 90 mm (2 × 5 mm V-cut rails, panelised by JLCPCB); exposed-pad thermal vias unfilled and tented everywhere (no epoxy fill or cap); ENIG.</t>
  </si>
  <si>
    <t>Do not place (remove from the JLCPCB BOM/CPL): the owner-fitted parts K601–K604, J701, D102 and R509, and the copper-only items J201, J202, TP732 and the test pads. The JLCPCB order then contains no through-hole-only part: J101 (four plated shell stakes) and J702 (two plated slot terminals) mix surface lands with plated terminations, and JLCPCB must confirm how those are soldered (G-6).</t>
  </si>
  <si>
    <t>X-ray: U202 (QFN-32), U301 (QFN-28), U401/U402 (VSON-10), U501 (WSON-12), U102 and U504 (WSON-6), X201/X202/X203 (4-pad LGA) — 10 leadless parts per board, 50 for the run; also the U503 PowerPAD void check (55 components would move the run into the 51–200 tier — ask JLCPCB). The new parts of this round (U611/U612 TSSOP-14, U613–U620 VSSOP-8, Q627 SOT-23) are leaded.</t>
  </si>
  <si>
    <t>Bake the MSL ≥ 2 parts per J-STD-033: CH32V307 (MSL 3), TPS2596, OPA2210, TLV1704 (MSL 2, 1 year; 6 per board incl. U611/U612), KENTO LEDs and the LESD5D5-type ESD diodes (MSL 3); request bake for the global-sourced reels. TLV3402IDGKR, MMBT3904LT1G and the FH C0G capacitors are MSL 1.</t>
  </si>
  <si>
    <t>J101 shell stakes S1–S4: the design intent is pin-in-paste, but JLCPCB's stencil standard opens no paste on through-hole pads unless they are on the paste layer or remarked — S1–S4 get F.Paste apertures only after JLCPCB confirms the process and gives the aperture geometry. Fallback, no cost: JLCPCB reflows the 12 surface lands and the owner hand-solders S1–S4 from the bottom side before the first plug-in (the stakes carry the shell and the mechanical retention; never use the board with them unsoldered).</t>
  </si>
  <si>
    <t>J702 (HRO PJ-332A-6A, SMD with two plated slot terminals, pads 1/2 = the two GND terminals per the maker drawing): JLCPCB lists it as SMT assembly, which does not establish how the slots are soldered — JLCPCB confirms the method at G-6; fallback: the owner hand-solders pads 1/2 from the bottom side (2 joints); J702 becomes owner-fitted if JLCPCB cannot assemble it at all. Its slot rings add exposed bottom-side copper. The maker drawing gives no reflow rating (housing PPA): the reflow-rating check with JLCPCB stays open.</t>
  </si>
  <si>
    <t>Question to JLCPCB (owner action before the order, quoted as written): "For a top-side Standard PCBA order, can you solder the four plated shell slots S1–S4 of GCT USB4105-GF-A (J101) and the two plated slots 1/2 of HRO PJ-332A-6A, C2848643 (J702)? Do you require F.Paste apertures or an order remark, and what aperture geometry/hand-solder step do you recommend?"</t>
  </si>
  <si>
    <t>Reflow questions: "Please confirm the Standard profile dwell above 240 °C for GCT USB4105-GF-A (maker limit 255 °C, 5 s)" and "Please confirm the Standard profile time above 220 °C ≤ 95 s (260 °C peak) for Panasonic ECH-U1H224GX9 (C631–C634, size 2416)" — Standard profile 240 ± 5 °C, peak ≤ 245 °C; if the second cannot be confirmed, C631–C634 become owner-fitted.</t>
  </si>
  <si>
    <t>AGRV2K marking: AGM ships the AGRV2KQ32 (U202, LCSC C18208899) marked as the AG32VF303 of the same package — accept the AG32VF marking at incoming inspection.</t>
  </si>
  <si>
    <t>QFN decoupling spacing exception (≥ 0.5 mm) — state it in the order remark.</t>
  </si>
  <si>
    <t>Board cleaning after reflow: no-clean flux residue must not reach the high-impedance nodes (22 MΩ R679/R686, 4.7 MΩ R681, 1 MΩ R666/R668/R678/R685 and R901–R915, 487 kΩ R900–R914, 470 kΩ R688/R689, 330 kΩ R916–R919, the C631–C634 timer nodes; the low-level persistence taps R930–R933 1.00 MΩ and timers R942–R949 910 kΩ, the references R934–R941 and the over-range taps R926–R929 330 kΩ).</t>
  </si>
  <si>
    <t>Global-sourced lines have no LCSC footprint link: attach the verified footprint and the maker drawing to each line.</t>
  </si>
  <si>
    <t>CPL rotation check in the JLCPCB 3D preview ("Confirm Parts Placement"): LEDs, BAT54S, X201 pin 1, TPS2596 pin 1, SOT-23-5 parts (U303, U502, U505), U103, D102, D104/D105, D411–D414, D609/D610, Q507, Q621–Q627, C442/C443 (+), U208, U605–U620.</t>
  </si>
  <si>
    <t>NC pins keep their pads (U607 pin 1, D104/D105/D610 pin 2, TLP3545A pins 3/5, U503 pin 8, U502 pin 3 EN): "no copper" in a netlist note means no trace, never a missing pad. U606 pins 10, 11 and 13 are NOT spare (re-arm latch H-OK detector: N6_H, N6_HREF, N6_TRIP), and U301 pins 2, 19 and 22 are routed to GND.</t>
  </si>
  <si>
    <t>Silkscreen rule: designators only in the assembly drawing; the silkscreen carries pin-1/polarity marks, the OWNER marks (K601–K604, J701, D102, R509) and "R509 owner-fitted — eFuse off without it".</t>
  </si>
  <si>
    <t>G. Release gates (schematic freeze and routing after G-1…G-4; the order after routing, the layout review, G-5 and G-6)</t>
  </si>
  <si>
    <t>Gate</t>
  </si>
  <si>
    <t>Object</t>
  </si>
  <si>
    <t>Method / pass criterion</t>
  </si>
  <si>
    <t>Before</t>
  </si>
  <si>
    <t>Status (26 Sep 2026)</t>
  </si>
  <si>
    <t>G-1</t>
  </si>
  <si>
    <t>J101 GCT USB4105-GF-A pin map</t>
  </si>
  <si>
    <t>DMM continuity of 2 samples, both plug orientations: the 12 solder lands (four shared A1/B12, A4/B9, B4/A9, B1/A12; eight single A5–A8, B5–B8) and the plated shell stakes S1–S4; the provisional footprint uses the 16 JLCPCB pad IDs (each shared land = two touching pads on one net); matches the netlist labels</t>
  </si>
  <si>
    <t>before schematic freeze and routing</t>
  </si>
  <si>
    <t>open</t>
  </si>
  <si>
    <t>G-2</t>
  </si>
  <si>
    <t>J701 (4.4 mm) and J702 (3.5 mm) contact maps</t>
  </si>
  <si>
    <t>G-2 record on 2 samples of each jack, confirming the maps documented from the maker drawings: terminals labelled from the JLCPCB footprint top view; continuity from every terminal to the tip, each ring, the sleeve and any metal shell with no plug, with the plug fully inserted and while slowly inserting and removing it (switch/detect/break contacts); J702 with a TRS plug and any TRRS plug the design allows (the break contacts 5/6 open on insertion); J701 pads 11/12 common with the sleeve/bushing or not; every internally common pair recorded; the table sets the final symbol pin names, nets and footprint pads; the owner-fitted parts serve as their own samples</t>
  </si>
  <si>
    <t>1:1 footprint overlays</t>
  </si>
  <si>
    <t>real samples on 1:1 prints of every new part (incl. U502, U608, U609/U610, C631–C634 in 2416, Q507, Q623–Q626; this round: U611/U612 TSSOP-14 with TLV1704 samples, Q627 SOT-23, C647–C654 1206, and U613–U620 TLV3402IDGKR VSSOP-8 against the TI DGK drawing and the JLCPCB 3D preview instead of a sample), J101 against the GCT drawing (12 lands, slots S1–S4, two Ø0.65 mm locating holes), the J701 slots and peg holes (G-Switch drawing), the J702 slots and pegs (HRO drawing) and the U202 AGRV2K exposed-pad size and net (X-rayed); the owner-fitted parts serve as their own samples</t>
  </si>
  <si>
    <t>open; owner decision before this overlay: slot-pad copper ring J702 0.20 mm, J701 0.25 mm (0.20 mm at the +0.10 mm slot tolerance) against JLCPCB's 0.18 mm minimum / 0.25 mm recommendation and this design's 0.30 mm rule; pads as the maker drawings give them until the owner decides (Notes sheet)</t>
  </si>
  <si>
    <t>Polarity</t>
  </si>
  <si>
    <t>DMM diode test of 2 samples: D705/D706, BAT54S, D102, D104/D105, D411/D412, D609/D610, Q623–Q626 (pin 1 B, 3 C = timer node); C442/C443 tantalum (+ band); pin 1 of K601–K604, X201–X203, U206, U208, U605–U607, U611–U620; Q627 pin 1 B / 3 C; the owner-fitted parts serve as their own samples</t>
  </si>
  <si>
    <t>G-5</t>
  </si>
  <si>
    <t>Netlist/BOM freeze</t>
  </si>
  <si>
    <t>design check clean incl. the value decode; stress and PCBA scans re-run; value-locked parts (Rf R423–R426, VREF R431/R432, leg resistors) unchanged</t>
  </si>
  <si>
    <t>before the order</t>
  </si>
  <si>
    <t>G-6</t>
  </si>
  <si>
    <t>Order release</t>
  </si>
  <si>
    <t>every buy-now part in the JLCPCB private library in the required quantity; order remarks attached; JLCPCB confirms the ECH-U reflow time (else C631–C634 owner-fitted) and, in writing, how the J101 shell stakes S1–S4 and the J702 pads 1/2 are soldered (else the owner fallback)</t>
  </si>
  <si>
    <t>Changes vs Parts List v0.8 — added, removed and changed parts</t>
  </si>
  <si>
    <t>One line per group of designators with the same change (tenth review round: history-robust hardware protection — per-leg over-range (OR) and low-level persistence (LPW) stages replace the per-leg RC window stage; the timer-reset transistors move to onsemi MMBT3904LT1G). The summary below counts designators with live formulas and reconciles them with the fitted-part totals. Details in the Design Specification v1.1 and the Schematic Design Notes v1.0.</t>
  </si>
  <si>
    <t>Change</t>
  </si>
  <si>
    <t>Part in v0.8</t>
  </si>
  <si>
    <t>Part in v0.9</t>
  </si>
  <si>
    <t>Reason</t>
  </si>
  <si>
    <t>Counts as designators</t>
  </si>
  <si>
    <t>Added</t>
  </si>
  <si>
    <t>C639–C642</t>
  </si>
  <si>
    <t>Samsung CL05C102JB5NNNC (1 nF)</t>
  </si>
  <si>
    <t>OR tap filters (τ 0.33 ms)</t>
  </si>
  <si>
    <t>C643–C646</t>
  </si>
  <si>
    <t>FH 0603CG332J500NT (3.3 nF)</t>
  </si>
  <si>
    <t>LPW tap filters (τ 3.3 ms)</t>
  </si>
  <si>
    <t>C647–C654</t>
  </si>
  <si>
    <t>FH 1206CG104J500NT (100 nF)</t>
  </si>
  <si>
    <t>LPW timers</t>
  </si>
  <si>
    <t>C655–C666</t>
  </si>
  <si>
    <t>Samsung CL05B104KO5NNNC (100 nF)</t>
  </si>
  <si>
    <t>Decoupling of U611–U620</t>
  </si>
  <si>
    <t>Q627</t>
  </si>
  <si>
    <t>onsemi MMBT3904LT1G (MMBT3904)</t>
  </si>
  <si>
    <t>OR self-test switch on the PC15 test line; R951 sets the positive test threshold</t>
  </si>
  <si>
    <t>R926–R929</t>
  </si>
  <si>
    <t>UNI-ROYAL 0402WGF3303TCE (330 kΩ)</t>
  </si>
  <si>
    <t>R930–R933, R938, R940</t>
  </si>
  <si>
    <t>UNI-ROYAL 0402WGF1004TCE (1.00 MΩ)</t>
  </si>
  <si>
    <t>LPW tap filters (τ 3.3 ms) (R930–R933); LPW threshold dividers (R938, R940)</t>
  </si>
  <si>
    <t>UNI-ROYAL 0402WGF3603TCE (360 kΩ)</t>
  </si>
  <si>
    <t>OR threshold dividers (R937 returned to the OR test line)</t>
  </si>
  <si>
    <t>R935–R937</t>
  </si>
  <si>
    <t>UNI-ROYAL 0402WGF4703TCE (470 kΩ)</t>
  </si>
  <si>
    <t>R939, R950</t>
  </si>
  <si>
    <t>UNI-ROYAL 0402WGF1003TCE (100 kΩ)</t>
  </si>
  <si>
    <t>LPW threshold dividers (R939); OR self-test switch on the PC15 test line; R951 sets the positive test threshold (R950)</t>
  </si>
  <si>
    <t>UNI-ROYAL 0402WGF8872TCE (88.7 kΩ)</t>
  </si>
  <si>
    <t>LPW threshold dividers</t>
  </si>
  <si>
    <t>R942–R949</t>
  </si>
  <si>
    <t>UNI-ROYAL 0402WGF9103TCE (910 kΩ)</t>
  </si>
  <si>
    <t>UNI-ROYAL 0402WGF1002TCE (10 kΩ)</t>
  </si>
  <si>
    <t>U611, U612</t>
  </si>
  <si>
    <t>TI TLV1704AIPWR (TLV1704)</t>
  </si>
  <si>
    <t>Per-leg over-range (OR) stages, left / right (history-robust hardware protection): removes a large DC on one leg with any partner-leg content, from every reachable pre-fault state</t>
  </si>
  <si>
    <t>U613–U620</t>
  </si>
  <si>
    <t>TI TLV3402IDGKR (TLV3402)</t>
  </si>
  <si>
    <t>Per-leg low-level persistence (LPW) stages, one per leg and polarity (history-robust hardware protection): remove DC down to the 0.34 V per-leg floor</t>
  </si>
  <si>
    <t>Changed</t>
  </si>
  <si>
    <t>Q623–Q626</t>
  </si>
  <si>
    <t>JSCJ MMBT3904 (RANGE:100-300) (MMBT3904)</t>
  </si>
  <si>
    <t>Persistence-timer reset transistors (same land): moved to onsemi MMBT3904LT1G (C81464), whose datasheet gives VCE(sat) ≤ 0.2 V at 10 mA / 1 mA; same pinout and land</t>
  </si>
  <si>
    <t>Removed</t>
  </si>
  <si>
    <t>C601–C604</t>
  </si>
  <si>
    <t>Samsung CL10A225KO8NNNC (2.2 µF)</t>
  </si>
  <si>
    <t>Window filters: retired with the per-leg RC window stage</t>
  </si>
  <si>
    <t>C612–C615</t>
  </si>
  <si>
    <t>Window comparator input resistors and decoupling: retired with the per-leg RC window stage</t>
  </si>
  <si>
    <t>R601–R604</t>
  </si>
  <si>
    <t>UNI-ROYAL 0402WGF1153TCE (115 kΩ)</t>
  </si>
  <si>
    <t>R607</t>
  </si>
  <si>
    <t>YAGEO RT0402BRD07121KL (121 kΩ)</t>
  </si>
  <si>
    <t>Window threshold dividers: retired with the per-leg RC window stage</t>
  </si>
  <si>
    <t>R608</t>
  </si>
  <si>
    <t>YAGEO RT0402BRD07115KL (115 kΩ)</t>
  </si>
  <si>
    <t>R609, R610</t>
  </si>
  <si>
    <t>YAGEO RT0402BRD0710KL (10.0 kΩ)</t>
  </si>
  <si>
    <t>R649–R652</t>
  </si>
  <si>
    <t>U601, U602</t>
  </si>
  <si>
    <t>Per-leg RC window stage: retired; its zero-state energy proof was invalidated by the pre-fault history; replaced by the OR / LPW stages</t>
  </si>
  <si>
    <t>Designators (part designators only)</t>
  </si>
  <si>
    <t>Count</t>
  </si>
  <si>
    <t>Expected</t>
  </si>
  <si>
    <t>Check</t>
  </si>
  <si>
    <t>Fitted parts: v0.8 + added − removed = v0.9</t>
  </si>
  <si>
    <t>column B = fitted parts per board in v0.8 (input); column D = fitted parts per board in the Parts list now</t>
  </si>
  <si>
    <t>Change lines (groups)</t>
  </si>
  <si>
    <t>Netlist — every pin of every part and test pad</t>
  </si>
  <si>
    <t>1445 pin rows: the component pins of the 474 BOM parts (fitted and DNF) plus the 52 one-pin layout test pads (526 designators). Pin = footprint pad label; NC = no-connect pin (pad kept, no trace). Helper columns F–G feed the BOM ↔ netlist check on the Checks sheet.</t>
  </si>
  <si>
    <t>Designator</t>
  </si>
  <si>
    <t>Pin</t>
  </si>
  <si>
    <t>Pin name</t>
  </si>
  <si>
    <t>Net</t>
  </si>
  <si>
    <t>First pin of designator (helper)</t>
  </si>
  <si>
    <t>Designator in Parts list (helper)</t>
  </si>
  <si>
    <t>N1_SHIELD</t>
  </si>
  <si>
    <t>GND</t>
  </si>
  <si>
    <t>VBUS</t>
  </si>
  <si>
    <t>Place at U102 IN pin / J101</t>
  </si>
  <si>
    <t>VBUS_SENSE</t>
  </si>
  <si>
    <t>At the MCU PA1 pin</t>
  </si>
  <si>
    <t>N1_U102_EN</t>
  </si>
  <si>
    <t>At U102 pin 4</t>
  </si>
  <si>
    <t>C201</t>
  </si>
  <si>
    <t>N2_HSE_IN</t>
  </si>
  <si>
    <t>33 pF C0G</t>
  </si>
  <si>
    <t>C202</t>
  </si>
  <si>
    <t>N2_HSE_OUT</t>
  </si>
  <si>
    <t>C203</t>
  </si>
  <si>
    <t>3V3M</t>
  </si>
  <si>
    <t>VBAT pin 1</t>
  </si>
  <si>
    <t>C204</t>
  </si>
  <si>
    <t>VDDA pin 13</t>
  </si>
  <si>
    <t>C205</t>
  </si>
  <si>
    <t>VDD_4 pin 19</t>
  </si>
  <si>
    <t>C206</t>
  </si>
  <si>
    <t>VDD_4 pin 19, second (USB PHY)</t>
  </si>
  <si>
    <t>C207</t>
  </si>
  <si>
    <t>VIO_1 pin 32</t>
  </si>
  <si>
    <t>C208</t>
  </si>
  <si>
    <t>VDD_2 pin 48</t>
  </si>
  <si>
    <t>C209</t>
  </si>
  <si>
    <t>VDD_2 pin 48, second</t>
  </si>
  <si>
    <t>C210</t>
  </si>
  <si>
    <t>VIO_3 pin 64</t>
  </si>
  <si>
    <t>MCU bulk 2.2 µF</t>
  </si>
  <si>
    <t>C212</t>
  </si>
  <si>
    <t>NRST</t>
  </si>
  <si>
    <t>NRST filter</t>
  </si>
  <si>
    <t>C213</t>
  </si>
  <si>
    <t>N2_V33_CPLD</t>
  </si>
  <si>
    <t>CPLD VDDA33 pin 6</t>
  </si>
  <si>
    <t>C214</t>
  </si>
  <si>
    <t>CPLD VDD33 pin 16</t>
  </si>
  <si>
    <t>C215</t>
  </si>
  <si>
    <t>CPLD VDD33 pin 32</t>
  </si>
  <si>
    <t>3V3D</t>
  </si>
  <si>
    <t>10 nF HF bypass at the X201 VCC pad (Kyocera spec: 0.01 µF high-frequency type, nearest position)</t>
  </si>
  <si>
    <t>C218</t>
  </si>
  <si>
    <t>C219</t>
  </si>
  <si>
    <t>C220</t>
  </si>
  <si>
    <t>FB202 branch bulk 1 µF</t>
  </si>
  <si>
    <t>C221</t>
  </si>
  <si>
    <t>VDDA 1 µF</t>
  </si>
  <si>
    <t>C222</t>
  </si>
  <si>
    <t>C223</t>
  </si>
  <si>
    <t>C224</t>
  </si>
  <si>
    <t>U208 VCC pin 8</t>
  </si>
  <si>
    <t>5V_SYS</t>
  </si>
  <si>
    <t>3V3A</t>
  </si>
  <si>
    <t>C303</t>
  </si>
  <si>
    <t>AVCC_L</t>
  </si>
  <si>
    <t>C304</t>
  </si>
  <si>
    <t>AVCC_R</t>
  </si>
  <si>
    <t>C305</t>
  </si>
  <si>
    <t>100 nF at pin 15</t>
  </si>
  <si>
    <t>C306</t>
  </si>
  <si>
    <t>100 nF at pin 16</t>
  </si>
  <si>
    <t>C307</t>
  </si>
  <si>
    <t>VCCA</t>
  </si>
  <si>
    <t>100 nF at pin 17</t>
  </si>
  <si>
    <t>C308</t>
  </si>
  <si>
    <t>DVCC</t>
  </si>
  <si>
    <t>100 nF at pin 18</t>
  </si>
  <si>
    <t>C309</t>
  </si>
  <si>
    <t>1V3</t>
  </si>
  <si>
    <t>100 nF at pin 21</t>
  </si>
  <si>
    <t>C310</t>
  </si>
  <si>
    <t>2.2 µF at pin 21</t>
  </si>
  <si>
    <t>C401</t>
  </si>
  <si>
    <t>N4_LP_INN</t>
  </si>
  <si>
    <t>Clead 10 pF across R2</t>
  </si>
  <si>
    <t>N4_LP_OUT</t>
  </si>
  <si>
    <t>C402</t>
  </si>
  <si>
    <t>N4_LP_INP</t>
  </si>
  <si>
    <t>Clead 10 pF across R4</t>
  </si>
  <si>
    <t>C403</t>
  </si>
  <si>
    <t>N4_LN_INN</t>
  </si>
  <si>
    <t>N4_LN_OUT</t>
  </si>
  <si>
    <t>C404</t>
  </si>
  <si>
    <t>N4_LN_INP</t>
  </si>
  <si>
    <t>C405</t>
  </si>
  <si>
    <t>N4_RP_INN</t>
  </si>
  <si>
    <t>N4_RP_OUT</t>
  </si>
  <si>
    <t>C406</t>
  </si>
  <si>
    <t>N4_RP_INP</t>
  </si>
  <si>
    <t>C407</t>
  </si>
  <si>
    <t>N4_RN_INN</t>
  </si>
  <si>
    <t>N4_RN_OUT</t>
  </si>
  <si>
    <t>C408</t>
  </si>
  <si>
    <t>N4_RN_INP</t>
  </si>
  <si>
    <t>C409</t>
  </si>
  <si>
    <t>VPOS</t>
  </si>
  <si>
    <t>100 nF at U401</t>
  </si>
  <si>
    <t>C410</t>
  </si>
  <si>
    <t>VNEG</t>
  </si>
  <si>
    <t>C411</t>
  </si>
  <si>
    <t>100 nF at U402</t>
  </si>
  <si>
    <t>C412</t>
  </si>
  <si>
    <t>C413</t>
  </si>
  <si>
    <t>10 µF local bulk at U401</t>
  </si>
  <si>
    <t>C414</t>
  </si>
  <si>
    <t>C415</t>
  </si>
  <si>
    <t>10 µF local bulk at U402</t>
  </si>
  <si>
    <t>C416</t>
  </si>
  <si>
    <t>C417</t>
  </si>
  <si>
    <t>DACL</t>
  </si>
  <si>
    <t>Cf 820 pF C0G</t>
  </si>
  <si>
    <t>N4_IVL_P</t>
  </si>
  <si>
    <t>C418</t>
  </si>
  <si>
    <t>DACLB</t>
  </si>
  <si>
    <t>N4_IVL_N</t>
  </si>
  <si>
    <t>C419</t>
  </si>
  <si>
    <t>DACR</t>
  </si>
  <si>
    <t>N4_IVR_P</t>
  </si>
  <si>
    <t>C420</t>
  </si>
  <si>
    <t>DACRB</t>
  </si>
  <si>
    <t>N4_IVR_N</t>
  </si>
  <si>
    <t>VREF</t>
  </si>
  <si>
    <t>C423</t>
  </si>
  <si>
    <t>N4_VPOS_IV</t>
  </si>
  <si>
    <t>100 nF at U403 N4_VPOS_IV</t>
  </si>
  <si>
    <t>C424</t>
  </si>
  <si>
    <t>N4_VNEG_IV</t>
  </si>
  <si>
    <t>100 nF at U403 N4_VNEG_IV</t>
  </si>
  <si>
    <t>C425</t>
  </si>
  <si>
    <t>100 nF at U404 N4_VPOS_IV</t>
  </si>
  <si>
    <t>C426</t>
  </si>
  <si>
    <t>100 nF at U404 N4_VNEG_IV</t>
  </si>
  <si>
    <t>C431</t>
  </si>
  <si>
    <t>N4_LP_TN</t>
  </si>
  <si>
    <t>Ct 1.8 nF C0G (T filter)</t>
  </si>
  <si>
    <t>C432</t>
  </si>
  <si>
    <t>N4_LP_TP</t>
  </si>
  <si>
    <t>C433</t>
  </si>
  <si>
    <t>N4_LN_TN</t>
  </si>
  <si>
    <t>C434</t>
  </si>
  <si>
    <t>N4_LN_TP</t>
  </si>
  <si>
    <t>C435</t>
  </si>
  <si>
    <t>N4_RP_TN</t>
  </si>
  <si>
    <t>C436</t>
  </si>
  <si>
    <t>N4_RP_TP</t>
  </si>
  <si>
    <t>C437</t>
  </si>
  <si>
    <t>N4_RN_TN</t>
  </si>
  <si>
    <t>C438</t>
  </si>
  <si>
    <t>N4_RN_TP</t>
  </si>
  <si>
    <t>C439</t>
  </si>
  <si>
    <t>2.2 µF after FB301 (damps the bead-100 nF resonance)</t>
  </si>
  <si>
    <t>C440</t>
  </si>
  <si>
    <t>2.2 µF after FB302 (damps the bead-100 nF resonance)</t>
  </si>
  <si>
    <t>DNF 1 µF: slower 3V3A rise for power-up pop margin; keeps 3V3A ≤ 10 µF effective with C440 (LP5907 limit)</t>
  </si>
  <si>
    <t>C442</t>
  </si>
  <si>
    <t>+</t>
  </si>
  <si>
    <t>220 µF tantalum reservoir, + to VPOS_IV (polarity band = +)</t>
  </si>
  <si>
    <t>-</t>
  </si>
  <si>
    <t>C443</t>
  </si>
  <si>
    <t>220 µF tantalum reservoir, + to GND, - to VNEG_IV</t>
  </si>
  <si>
    <t>At U503 IN</t>
  </si>
  <si>
    <t>5V_ANA</t>
  </si>
  <si>
    <t>5V_ANA_F</t>
  </si>
  <si>
    <t>N5_C1P</t>
  </si>
  <si>
    <t>N5_C1N</t>
  </si>
  <si>
    <t>C509</t>
  </si>
  <si>
    <t>N5_CP</t>
  </si>
  <si>
    <t>C510</t>
  </si>
  <si>
    <t>C511</t>
  </si>
  <si>
    <t>N5_DAMP</t>
  </si>
  <si>
    <t>N5_DVDT</t>
  </si>
  <si>
    <t>DVdt, at pin 2</t>
  </si>
  <si>
    <t>U505 VDD decoupling</t>
  </si>
  <si>
    <t>ANA_SENSE</t>
  </si>
  <si>
    <t>At the MCU PA0 pin</t>
  </si>
  <si>
    <t>C608</t>
  </si>
  <si>
    <t>DC_SENSE_LP</t>
  </si>
  <si>
    <t>DC-sense filter (tau 8.4-12.9 ms)</t>
  </si>
  <si>
    <t>C609</t>
  </si>
  <si>
    <t>DC_SENSE_LN</t>
  </si>
  <si>
    <t>C610</t>
  </si>
  <si>
    <t>DC_SENSE_RP</t>
  </si>
  <si>
    <t>C611</t>
  </si>
  <si>
    <t>DC_SENSE_RN</t>
  </si>
  <si>
    <t>C616</t>
  </si>
  <si>
    <t>V3A_MON</t>
  </si>
  <si>
    <t>Reference network filter (same tau as the leg networks)</t>
  </si>
  <si>
    <t>N6_H</t>
  </si>
  <si>
    <t>Permit node capacitor (off-time stretch, 1 µF 50 V)</t>
  </si>
  <si>
    <t>C618</t>
  </si>
  <si>
    <t>U603 V+ decoupling, at the pin</t>
  </si>
  <si>
    <t>C619</t>
  </si>
  <si>
    <t>U603 V- decoupling, at the pin</t>
  </si>
  <si>
    <t>C620</t>
  </si>
  <si>
    <t>N6_CML</t>
  </si>
  <si>
    <t>CM node filter L</t>
  </si>
  <si>
    <t>C621</t>
  </si>
  <si>
    <t>N6_CMR</t>
  </si>
  <si>
    <t>CM node filter R</t>
  </si>
  <si>
    <t>C622</t>
  </si>
  <si>
    <t>U604 V+ (3V3D) decoupling, at the pin</t>
  </si>
  <si>
    <t>C623</t>
  </si>
  <si>
    <t>U607 VCC decoupling 100 nF</t>
  </si>
  <si>
    <t>N6_MCK_BUF</t>
  </si>
  <si>
    <t>Pump 100 pF C0G</t>
  </si>
  <si>
    <t>N6_PMP</t>
  </si>
  <si>
    <t>N6_MCK_RC</t>
  </si>
  <si>
    <t>Hold 82 pF C0G</t>
  </si>
  <si>
    <t>C626</t>
  </si>
  <si>
    <t>U606 V+ decoupling</t>
  </si>
  <si>
    <t>C627</t>
  </si>
  <si>
    <t>U606 V- decoupling</t>
  </si>
  <si>
    <t>C628</t>
  </si>
  <si>
    <t>U605 VCC decoupling</t>
  </si>
  <si>
    <t>C629</t>
  </si>
  <si>
    <t>N6_V13_CMP</t>
  </si>
  <si>
    <t>1V3 input filter 1 nF C0G</t>
  </si>
  <si>
    <t>C630</t>
  </si>
  <si>
    <t>U608 decoupling</t>
  </si>
  <si>
    <t>C631</t>
  </si>
  <si>
    <t>N6_TLP_L</t>
  </si>
  <si>
    <t>C_T 220 nF PPS film 2 %</t>
  </si>
  <si>
    <t>C632</t>
  </si>
  <si>
    <t>N6_TLN_L</t>
  </si>
  <si>
    <t>C633</t>
  </si>
  <si>
    <t>N6_TLP_R</t>
  </si>
  <si>
    <t>C634</t>
  </si>
  <si>
    <t>N6_TLN_R</t>
  </si>
  <si>
    <t>C635</t>
  </si>
  <si>
    <t>U609 V+ decoupling</t>
  </si>
  <si>
    <t>C636</t>
  </si>
  <si>
    <t>U609 V- decoupling</t>
  </si>
  <si>
    <t>C637</t>
  </si>
  <si>
    <t>U610 V+ decoupling</t>
  </si>
  <si>
    <t>C638</t>
  </si>
  <si>
    <t>U610 V- decoupling</t>
  </si>
  <si>
    <t>C639</t>
  </si>
  <si>
    <t>N6_ORLP</t>
  </si>
  <si>
    <t>OR tap 1 nF C0G (tau 0.33 ms)</t>
  </si>
  <si>
    <t>C640</t>
  </si>
  <si>
    <t>N6_ORLN</t>
  </si>
  <si>
    <t>C641</t>
  </si>
  <si>
    <t>N6_ORRP</t>
  </si>
  <si>
    <t>C642</t>
  </si>
  <si>
    <t>N6_ORRN</t>
  </si>
  <si>
    <t>C643</t>
  </si>
  <si>
    <t>N6_LWLP</t>
  </si>
  <si>
    <t>LPW tap 3.3 nF C0G</t>
  </si>
  <si>
    <t>C644</t>
  </si>
  <si>
    <t>N6_LWLN</t>
  </si>
  <si>
    <t>C645</t>
  </si>
  <si>
    <t>N6_LWRP</t>
  </si>
  <si>
    <t>C646</t>
  </si>
  <si>
    <t>N6_LWRN</t>
  </si>
  <si>
    <t>C647</t>
  </si>
  <si>
    <t>N6_TWLPP</t>
  </si>
  <si>
    <t>LPW timer C_T2 100 nF C0G 0805</t>
  </si>
  <si>
    <t>C648</t>
  </si>
  <si>
    <t>N6_TWLPN</t>
  </si>
  <si>
    <t>C649</t>
  </si>
  <si>
    <t>N6_TWLNP</t>
  </si>
  <si>
    <t>C650</t>
  </si>
  <si>
    <t>N6_TWLNN</t>
  </si>
  <si>
    <t>C651</t>
  </si>
  <si>
    <t>N6_TWRPP</t>
  </si>
  <si>
    <t>C652</t>
  </si>
  <si>
    <t>N6_TWRPN</t>
  </si>
  <si>
    <t>C653</t>
  </si>
  <si>
    <t>N6_TWRNP</t>
  </si>
  <si>
    <t>C654</t>
  </si>
  <si>
    <t>N6_TWRNN</t>
  </si>
  <si>
    <t>C655</t>
  </si>
  <si>
    <t>U611 V+ decoupling</t>
  </si>
  <si>
    <t>C656</t>
  </si>
  <si>
    <t>U611 V- decoupling</t>
  </si>
  <si>
    <t>C657</t>
  </si>
  <si>
    <t>U612 V+ decoupling</t>
  </si>
  <si>
    <t>C658</t>
  </si>
  <si>
    <t>U612 V- decoupling</t>
  </si>
  <si>
    <t>C659</t>
  </si>
  <si>
    <t>U613 VCC-GND (VPOS-VNEG) decoupling 100 nF</t>
  </si>
  <si>
    <t>C660</t>
  </si>
  <si>
    <t>U614 VCC-GND (VPOS-VNEG) decoupling 100 nF</t>
  </si>
  <si>
    <t>C661</t>
  </si>
  <si>
    <t>U615 VCC-GND (VPOS-VNEG) decoupling 100 nF</t>
  </si>
  <si>
    <t>C662</t>
  </si>
  <si>
    <t>U616 VCC-GND (VPOS-VNEG) decoupling 100 nF</t>
  </si>
  <si>
    <t>C663</t>
  </si>
  <si>
    <t>U617 VCC-GND (VPOS-VNEG) decoupling 100 nF</t>
  </si>
  <si>
    <t>C664</t>
  </si>
  <si>
    <t>U618 VCC-GND (VPOS-VNEG) decoupling 100 nF</t>
  </si>
  <si>
    <t>C665</t>
  </si>
  <si>
    <t>U619 VCC-GND (VPOS-VNEG) decoupling 100 nF</t>
  </si>
  <si>
    <t>C666</t>
  </si>
  <si>
    <t>U620 VCC-GND (VPOS-VNEG) decoupling 100 nF</t>
  </si>
  <si>
    <t>K</t>
  </si>
  <si>
    <t>SMDJ12A DO-214AB: pin 1 = cathode (band) to VBUS; ≤ 5 mm from J101</t>
  </si>
  <si>
    <t>A</t>
  </si>
  <si>
    <t>D104</t>
  </si>
  <si>
    <t>Schottky OUT→IN: anode = regulator OUT, cathode = IN</t>
  </si>
  <si>
    <t>NC</t>
  </si>
  <si>
    <t>D105</t>
  </si>
  <si>
    <t>D405</t>
  </si>
  <si>
    <t>A1</t>
  </si>
  <si>
    <t>Lower diode anode to GND (at the DAC AGND)</t>
  </si>
  <si>
    <t>K2</t>
  </si>
  <si>
    <t>Upper diode cathode to AVCC_L at its decoupling capacitor</t>
  </si>
  <si>
    <t>K1/A2</t>
  </si>
  <si>
    <t>Common node on the I/V output (NOT on the DAC pin)</t>
  </si>
  <si>
    <t>D406</t>
  </si>
  <si>
    <t>D407</t>
  </si>
  <si>
    <t>Upper diode cathode to AVCC_R at its decoupling capacitor</t>
  </si>
  <si>
    <t>D408</t>
  </si>
  <si>
    <t>D411</t>
  </si>
  <si>
    <t>VPOS → VPOS_IV (blocks reverse flow when VPOS collapses)</t>
  </si>
  <si>
    <t>D412</t>
  </si>
  <si>
    <t>VNEG_IV → VNEG (blocks when VNEG collapses)</t>
  </si>
  <si>
    <t>D413</t>
  </si>
  <si>
    <t>Reverse clamp across C442 (at C442 -)</t>
  </si>
  <si>
    <t>No connection (pad only)</t>
  </si>
  <si>
    <t>At C442 +</t>
  </si>
  <si>
    <t>D414</t>
  </si>
  <si>
    <t>Reverse clamp across C443 (at C443 -)</t>
  </si>
  <si>
    <t>At C443 +</t>
  </si>
  <si>
    <t>D609</t>
  </si>
  <si>
    <t>Pump clamp diode anode</t>
  </si>
  <si>
    <t>Rectifier cathode</t>
  </si>
  <si>
    <t>Common node</t>
  </si>
  <si>
    <t>D610</t>
  </si>
  <si>
    <t>N6_V13_TI</t>
  </si>
  <si>
    <t>BAS70-04, diode 1 only: 1V3-good test injection</t>
  </si>
  <si>
    <t>N.c.</t>
  </si>
  <si>
    <t>N6_V13_TEST</t>
  </si>
  <si>
    <t>To MCU PB8 (open drain)</t>
  </si>
  <si>
    <t>D701</t>
  </si>
  <si>
    <t>JACK_LP</t>
  </si>
  <si>
    <t>Bidirectional ESD at the jack contact, jack side of the switch; symmetric part, either orientation</t>
  </si>
  <si>
    <t>D702</t>
  </si>
  <si>
    <t>JACK_RP</t>
  </si>
  <si>
    <t>D703</t>
  </si>
  <si>
    <t>JACK_LN</t>
  </si>
  <si>
    <t>D704</t>
  </si>
  <si>
    <t>JACK_RN</t>
  </si>
  <si>
    <t>Pad 1 = cathode per the EasyEDA/LCSC footprint convention; NOT confirmed from the KENTO drawing (not retrievable here): overlay the drawing + cathode bar on silk before layout</t>
  </si>
  <si>
    <t>N7_LEDG_A</t>
  </si>
  <si>
    <t>Anode</t>
  </si>
  <si>
    <t>N7_LEDR_A</t>
  </si>
  <si>
    <t>Bead-isolated CPLD feed (AGM guide)</t>
  </si>
  <si>
    <t>FB301</t>
  </si>
  <si>
    <t>Ferrite, DVCC branch</t>
  </si>
  <si>
    <t>FB302</t>
  </si>
  <si>
    <t>Ferrite, VCCA (XI buffer) branch</t>
  </si>
  <si>
    <t>A1/B12</t>
  </si>
  <si>
    <t>GND (A1+B12)</t>
  </si>
  <si>
    <t>GCT USB4105 drawing pad label (Recommended PCB Layout); continuity-check samples</t>
  </si>
  <si>
    <t>A4/B9</t>
  </si>
  <si>
    <t>VBUS (A4+B9)</t>
  </si>
  <si>
    <t>A5</t>
  </si>
  <si>
    <t>CC1</t>
  </si>
  <si>
    <t>A6</t>
  </si>
  <si>
    <t>DP1</t>
  </si>
  <si>
    <t>USB_DP</t>
  </si>
  <si>
    <t>A7</t>
  </si>
  <si>
    <t>DN1</t>
  </si>
  <si>
    <t>USB_DN</t>
  </si>
  <si>
    <t>A8</t>
  </si>
  <si>
    <t>SBU1</t>
  </si>
  <si>
    <t>B1/A12</t>
  </si>
  <si>
    <t>GND (B1+A12)</t>
  </si>
  <si>
    <t>B4/A9</t>
  </si>
  <si>
    <t>VBUS (B4+A9)</t>
  </si>
  <si>
    <t>B5</t>
  </si>
  <si>
    <t>CC2</t>
  </si>
  <si>
    <t>B6</t>
  </si>
  <si>
    <t>DP2</t>
  </si>
  <si>
    <t>B7</t>
  </si>
  <si>
    <t>DN2</t>
  </si>
  <si>
    <t>B8</t>
  </si>
  <si>
    <t>SBU2</t>
  </si>
  <si>
    <t>S1</t>
  </si>
  <si>
    <t>SHELL stake</t>
  </si>
  <si>
    <t>S2</t>
  </si>
  <si>
    <t>S3</t>
  </si>
  <si>
    <t>S4</t>
  </si>
  <si>
    <t>3V3_DNF</t>
  </si>
  <si>
    <t>N2_J201_3V3</t>
  </si>
  <si>
    <t>WCH-LinkE pad; pin 1 only via DNF R241: never connect the probe 3V3 lead</t>
  </si>
  <si>
    <t>SWDIO</t>
  </si>
  <si>
    <t>SWCLK</t>
  </si>
  <si>
    <t>BOOT0</t>
  </si>
  <si>
    <t>USART_TX</t>
  </si>
  <si>
    <t>USART_RX</t>
  </si>
  <si>
    <t>3V3D_SENSE</t>
  </si>
  <si>
    <t>J-Link / AGM DAP-Link (Blaster) pad; 3V3D sense only</t>
  </si>
  <si>
    <t>JTCK</t>
  </si>
  <si>
    <t>CPLD_JTCK</t>
  </si>
  <si>
    <t>JTMS</t>
  </si>
  <si>
    <t>CPLD_JTMS</t>
  </si>
  <si>
    <t>CPLD_NRST</t>
  </si>
  <si>
    <t>Map per the G-Switch drawing C-GT03321667P-01 (owner-approved); G-2 confirms on two samples; dedicated sleeve return, ≥ 4 vias</t>
  </si>
  <si>
    <t>R−</t>
  </si>
  <si>
    <t>Map per the G-Switch drawing C-GT03321667P-01 (owner-approved); G-2 confirms on two samples; after K604</t>
  </si>
  <si>
    <t>R+</t>
  </si>
  <si>
    <t>Map per the G-Switch drawing C-GT03321667P-01 (owner-approved); G-2 confirms on two samples; after K603</t>
  </si>
  <si>
    <t>L−</t>
  </si>
  <si>
    <t>Map per the G-Switch drawing C-GT03321667P-01 (owner-approved); G-2 confirms on two samples; after K602</t>
  </si>
  <si>
    <t>L+</t>
  </si>
  <si>
    <t>Map per the G-Switch drawing C-GT03321667P-01 (owner-approved); G-2 confirms on two samples; after K601</t>
  </si>
  <si>
    <t>SWITCH</t>
  </si>
  <si>
    <t>Map per the G-Switch drawing C-GT03321667P-01 (owner-approved); G-2 confirms on two samples; no connection (no detect circuit)</t>
  </si>
  <si>
    <t>DETECT</t>
  </si>
  <si>
    <t>EP</t>
  </si>
  <si>
    <t>Map per the G-Switch drawing C-GT03321667P-01 (owner-approved); G-2 confirms on two samples; EP = BOM item 11 'Contact H' mounting tabs (Ni-plated), not in the maker schematic; NC, soldered; G-2 checks whether common with the sleeve/bushing</t>
  </si>
  <si>
    <t>Sleeve</t>
  </si>
  <si>
    <t>Map from HRO PJ-332A drawing (PJ-332A-A schematic + PCB layout); G-2 confirms on two samples; dedicated sleeve return, ≥ 4 vias; plated slot terminal</t>
  </si>
  <si>
    <t>Ring 2</t>
  </si>
  <si>
    <t>Map from HRO PJ-332A drawing (PJ-332A-A schematic + PCB layout); G-2 confirms on two samples; TRRS body with TRS plugs; plated slot terminal</t>
  </si>
  <si>
    <t>Ring 1 (R+)</t>
  </si>
  <si>
    <t>Map from HRO PJ-332A drawing (PJ-332A-A schematic + PCB layout); G-2 confirms on two samples</t>
  </si>
  <si>
    <t>Tip (L+)</t>
  </si>
  <si>
    <t>Ring-1 break contact</t>
  </si>
  <si>
    <t>Map from HRO PJ-332A drawing (PJ-332A-A schematic + PCB layout); G-2 confirms on two samples; closed to pin 3 with no plug; tied to GND it would short JACK_RP whenever J702 is empty</t>
  </si>
  <si>
    <t>Tip break contact</t>
  </si>
  <si>
    <t>Map from HRO PJ-332A drawing (PJ-332A-A schematic + PCB layout); G-2 confirms on two samples; closed to pin 4 with no plug; same reason for JACK_LP</t>
  </si>
  <si>
    <t>MCLK_MON</t>
  </si>
  <si>
    <t>N7_MCLK_MON</t>
  </si>
  <si>
    <t>DNF 1 × 6 2.54 mm test header</t>
  </si>
  <si>
    <t>BCLK</t>
  </si>
  <si>
    <t>LRCLK</t>
  </si>
  <si>
    <t>SDATA</t>
  </si>
  <si>
    <t>3V3D_REF</t>
  </si>
  <si>
    <t>K601</t>
  </si>
  <si>
    <t>ANODE</t>
  </si>
  <si>
    <t>Owner-fitted (hand-soldered, not placed by JLCPCB); TLP3545A output switch LEG_LP → JACK_LP; A connection (pins 4-6); pin 5 (common source) and pin 3 unconnected (isolated pads)</t>
  </si>
  <si>
    <t>CATHODE</t>
  </si>
  <si>
    <t>N6_SL_A</t>
  </si>
  <si>
    <t>N.C.</t>
  </si>
  <si>
    <t>DRAIN</t>
  </si>
  <si>
    <t>LEG_LP</t>
  </si>
  <si>
    <t>SOURCE</t>
  </si>
  <si>
    <t>K602</t>
  </si>
  <si>
    <t>Owner-fitted (hand-soldered, not placed by JLCPCB); TLP3545A output switch LEG_LN → JACK_LN; A connection (pins 4-6); pin 5 (common source) and pin 3 unconnected (isolated pads)</t>
  </si>
  <si>
    <t>N6_SL_C</t>
  </si>
  <si>
    <t>LEG_LN</t>
  </si>
  <si>
    <t>K603</t>
  </si>
  <si>
    <t>Owner-fitted (hand-soldered, not placed by JLCPCB); TLP3545A output switch LEG_RP → JACK_RP; A connection (pins 4-6); pin 5 (common source) and pin 3 unconnected (isolated pads)</t>
  </si>
  <si>
    <t>N6_SR_A</t>
  </si>
  <si>
    <t>LEG_RP</t>
  </si>
  <si>
    <t>K604</t>
  </si>
  <si>
    <t>Owner-fitted (hand-soldered, not placed by JLCPCB); TLP3545A output switch LEG_RN → JACK_RN; A connection (pins 4-6); pin 5 (common source) and pin 3 unconnected (isolated pads)</t>
  </si>
  <si>
    <t>N6_SR_C</t>
  </si>
  <si>
    <t>LEG_RN</t>
  </si>
  <si>
    <t>G</t>
  </si>
  <si>
    <t>N2_RESET_DRV</t>
  </si>
  <si>
    <t>AO3400A; gate = MCU PA8 + R240 100k pull-up to 3V3M (DAC held in reset while the MCU is in reset)</t>
  </si>
  <si>
    <t>S</t>
  </si>
  <si>
    <t>D</t>
  </si>
  <si>
    <t>DAC_RESETB</t>
  </si>
  <si>
    <t>Open drain; R305 10k pull-up to DVCC at U301; PA8 low = DAC released</t>
  </si>
  <si>
    <t>Q502</t>
  </si>
  <si>
    <t>AVCC_EN</t>
  </si>
  <si>
    <t>AO3400A inverter for the 3V3A discharge</t>
  </si>
  <si>
    <t>N5_DIS_A</t>
  </si>
  <si>
    <t>Q503</t>
  </si>
  <si>
    <t>AO3400A 3V3A discharge</t>
  </si>
  <si>
    <t>N5_DIS_A_R</t>
  </si>
  <si>
    <t>Q504</t>
  </si>
  <si>
    <t>AUD_EN</t>
  </si>
  <si>
    <t>AO3400A inverter for 3V3D/1V3 discharge</t>
  </si>
  <si>
    <t>N5_DIS_D</t>
  </si>
  <si>
    <t>Q505</t>
  </si>
  <si>
    <t>AO3400A 3V3D discharge</t>
  </si>
  <si>
    <t>N5_DIS_D_R</t>
  </si>
  <si>
    <t>Q506</t>
  </si>
  <si>
    <t>AO3400A 1V3 discharge</t>
  </si>
  <si>
    <t>N5_DIS_13_R</t>
  </si>
  <si>
    <t>B</t>
  </si>
  <si>
    <t>N5_Q507_B</t>
  </si>
  <si>
    <t>MMBT3904: U102 off in Stop (suspend power cut); PC14 high = off</t>
  </si>
  <si>
    <t>E</t>
  </si>
  <si>
    <t>C</t>
  </si>
  <si>
    <t>Q612</t>
  </si>
  <si>
    <t>N6_BL</t>
  </si>
  <si>
    <t>String L current-sink pass transistor (Q613/Q615 retired)</t>
  </si>
  <si>
    <t>N6_EL</t>
  </si>
  <si>
    <t>Q614</t>
  </si>
  <si>
    <t>N6_BR</t>
  </si>
  <si>
    <t>String R current-sink pass transistor (Q613/Q615 retired)</t>
  </si>
  <si>
    <t>N6_ER</t>
  </si>
  <si>
    <t>Q616</t>
  </si>
  <si>
    <t>N6_GMC</t>
  </si>
  <si>
    <t>MCLK permit gate (switch opens whenever X201 is stopped: MCLK_EN, AVCC_EN or MCLK_PERMIT low)</t>
  </si>
  <si>
    <t>N6_M2</t>
  </si>
  <si>
    <t>N6_EM</t>
  </si>
  <si>
    <t>Q617</t>
  </si>
  <si>
    <t>Hardware permit switch (bottom of the LED stack)</t>
  </si>
  <si>
    <t>N6_M3</t>
  </si>
  <si>
    <t>Re-arm latch: source to Q622 (re-arm latch switch)</t>
  </si>
  <si>
    <t>Q618</t>
  </si>
  <si>
    <t>Readback: DC_PERMIT_N low = hardware permit present</t>
  </si>
  <si>
    <t>DC_PERMIT_N</t>
  </si>
  <si>
    <t>Q619</t>
  </si>
  <si>
    <t>N6_V3AG_A</t>
  </si>
  <si>
    <t>3V3A-good pull-down on N2_AVCC_EN_G (U206 input B)</t>
  </si>
  <si>
    <t>N2_AVCC_EN_G</t>
  </si>
  <si>
    <t>Q620</t>
  </si>
  <si>
    <t>N6_V3AG_B</t>
  </si>
  <si>
    <t>3V3A-good pull-down on AUD_EN (TLV767 EN, U303 via 3V3D, Q504)</t>
  </si>
  <si>
    <t>Q621</t>
  </si>
  <si>
    <t>N6_TRIP</t>
  </si>
  <si>
    <t>Re-arm latch: TRIP high → CLR_N low</t>
  </si>
  <si>
    <t>N6_CLR_N</t>
  </si>
  <si>
    <t>Q622</t>
  </si>
  <si>
    <t>N6_ARMG</t>
  </si>
  <si>
    <t>Re-arm latch: LED return switch, on only while armed</t>
  </si>
  <si>
    <t>Q623</t>
  </si>
  <si>
    <t>N6_OLP_L</t>
  </si>
  <si>
    <t>Persistence detector L+: timer reset NPN</t>
  </si>
  <si>
    <t>Q624</t>
  </si>
  <si>
    <t>N6_OLN_L</t>
  </si>
  <si>
    <t>Persistence detector L−: timer reset NPN</t>
  </si>
  <si>
    <t>Q625</t>
  </si>
  <si>
    <t>N6_OLP_R</t>
  </si>
  <si>
    <t>Persistence detector R+: timer reset NPN</t>
  </si>
  <si>
    <t>Q626</t>
  </si>
  <si>
    <t>N6_OLN_R</t>
  </si>
  <si>
    <t>Persistence detector R−: timer reset NPN</t>
  </si>
  <si>
    <t>N6_ORTB</t>
  </si>
  <si>
    <t>OR self-test: test line high → V_OR+ pulled to 0.086-0.141 V through R951</t>
  </si>
  <si>
    <t>N6_ORQC</t>
  </si>
  <si>
    <t>R101</t>
  </si>
  <si>
    <t>R102</t>
  </si>
  <si>
    <t>R103</t>
  </si>
  <si>
    <t>CC1_ADC</t>
  </si>
  <si>
    <t>R104</t>
  </si>
  <si>
    <t>CC2_ADC</t>
  </si>
  <si>
    <t>N1_U102_ILIM</t>
  </si>
  <si>
    <t>R201</t>
  </si>
  <si>
    <t>10k pull-up</t>
  </si>
  <si>
    <t>R202</t>
  </si>
  <si>
    <t>10k pull-down</t>
  </si>
  <si>
    <t>R203</t>
  </si>
  <si>
    <t>N2_X201_OUT</t>
  </si>
  <si>
    <t>33R source termination, at X201</t>
  </si>
  <si>
    <t>MCLK</t>
  </si>
  <si>
    <t>R204</t>
  </si>
  <si>
    <t>N2_BCLK_SRC</t>
  </si>
  <si>
    <t>33R at CPLD pin 18</t>
  </si>
  <si>
    <t>R205</t>
  </si>
  <si>
    <t>N2_LRCLK_SRC</t>
  </si>
  <si>
    <t>33R at CPLD pin 19</t>
  </si>
  <si>
    <t>R206</t>
  </si>
  <si>
    <t>N2_SDATA_SRC</t>
  </si>
  <si>
    <t>33R at CPLD pin 20</t>
  </si>
  <si>
    <t>R207</t>
  </si>
  <si>
    <t>I2C_SCL</t>
  </si>
  <si>
    <t>10k pull-up (sink ≤ 0.35 mA; tr ≤ 0.85 µs at 100 pF, 100 kHz)</t>
  </si>
  <si>
    <t>R208</t>
  </si>
  <si>
    <t>I2C_SDA</t>
  </si>
  <si>
    <t>R210</t>
  </si>
  <si>
    <t>N2_X202_OUT</t>
  </si>
  <si>
    <t>33R at X202</t>
  </si>
  <si>
    <t>N2_MUX_I0</t>
  </si>
  <si>
    <t>R211</t>
  </si>
  <si>
    <t>N2_X203_OUT</t>
  </si>
  <si>
    <t>33R at X203</t>
  </si>
  <si>
    <t>N2_MUX_I1</t>
  </si>
  <si>
    <t>R212</t>
  </si>
  <si>
    <t>OSC48_EN</t>
  </si>
  <si>
    <t>10k: X202 off by default</t>
  </si>
  <si>
    <t>R213</t>
  </si>
  <si>
    <t>OSC44_EN</t>
  </si>
  <si>
    <t>10k: X203 off by default</t>
  </si>
  <si>
    <t>R215</t>
  </si>
  <si>
    <t>N2_MUX_Y</t>
  </si>
  <si>
    <t>33R at U205 output</t>
  </si>
  <si>
    <t>FAM_CLK</t>
  </si>
  <si>
    <t>R216</t>
  </si>
  <si>
    <t>10k: defined low while X202 is in stand-by (Hi-Z)</t>
  </si>
  <si>
    <t>R217</t>
  </si>
  <si>
    <t>10k: defined low while X203 is in stand-by</t>
  </si>
  <si>
    <t>R218</t>
  </si>
  <si>
    <t>MCLK_EN</t>
  </si>
  <si>
    <t>10k: gate input A low while the CPLD is unconfigured</t>
  </si>
  <si>
    <t>R224</t>
  </si>
  <si>
    <t>N2_LINK_SCK_MCU</t>
  </si>
  <si>
    <t>33R source termination at MCU PA5 (long trace to U208 at the CPLD)</t>
  </si>
  <si>
    <t>N2_LINK_SCK_BUF</t>
  </si>
  <si>
    <t>R225</t>
  </si>
  <si>
    <t>N2_LINK_MOSI_MCU</t>
  </si>
  <si>
    <t>33R source termination at MCU PA7</t>
  </si>
  <si>
    <t>N2_LINK_MOSI_BUF</t>
  </si>
  <si>
    <t>R227</t>
  </si>
  <si>
    <t>10k: XI low when X201 is in standby (Epson OUT Hi-Z; ESS standby rule)</t>
  </si>
  <si>
    <t>R228</t>
  </si>
  <si>
    <t>330R capture tap, at CPLD pin 18</t>
  </si>
  <si>
    <t>N2_CAP_CK</t>
  </si>
  <si>
    <t>R229</t>
  </si>
  <si>
    <t>330R capture tap</t>
  </si>
  <si>
    <t>N2_CAP_WS</t>
  </si>
  <si>
    <t>R230</t>
  </si>
  <si>
    <t>N2_CAP_SD</t>
  </si>
  <si>
    <t>R231</t>
  </si>
  <si>
    <t>10k pull-up (noise immunity of the J202/MCU trace)</t>
  </si>
  <si>
    <t>R232</t>
  </si>
  <si>
    <t>N2_BOOT1</t>
  </si>
  <si>
    <t>10k pull-down (PB2/BOOT1)</t>
  </si>
  <si>
    <t>R234</t>
  </si>
  <si>
    <t>N2_MCLK_PERMIT</t>
  </si>
  <si>
    <t>10k at U206: MCLK_PERMIT low within 0.2 µs of any MCU reset</t>
  </si>
  <si>
    <t>R235</t>
  </si>
  <si>
    <t>N2_MCLK_OE</t>
  </si>
  <si>
    <t>100k at U206 Y: defines X201 INH, PB1 and the Q616 gate (via R645) while U206 is unpowered</t>
  </si>
  <si>
    <t>R236</t>
  </si>
  <si>
    <t>10k series, MCU AVCC_EN → U206 input B; U605A (open collector) overrides low while 3V3A is not good (0.35 mA)</t>
  </si>
  <si>
    <t>N2_AUD_EN_MCU</t>
  </si>
  <si>
    <t>4.7k series, MCU PC10 → AUD_EN; U605B (open collector) overrides low while 3V3A is not good (0.74 mA); R508 10k to GND</t>
  </si>
  <si>
    <t>R238</t>
  </si>
  <si>
    <t>10k JTMS pull-up at U202 (CPLD VDD33 = 3V3D after FB202)</t>
  </si>
  <si>
    <t>R239</t>
  </si>
  <si>
    <t>10k JTCK pull-down at U202</t>
  </si>
  <si>
    <t>R240</t>
  </si>
  <si>
    <t>100k Q207 gate pull-up: DAC in reset whenever PA8 floats (MCU reset)</t>
  </si>
  <si>
    <t>DNF 0R link to J201-1 (WCH-LinkE 3V3 is a power output; fit only for a verified sense-only probe)</t>
  </si>
  <si>
    <t>R242</t>
  </si>
  <si>
    <t>330R at MCU PC0 - limits clamp injection from the 4.7 µF protection node with the MCU unpowered</t>
  </si>
  <si>
    <t>N2_DCS_LP_PIN</t>
  </si>
  <si>
    <t>R243</t>
  </si>
  <si>
    <t>330R at MCU PC1</t>
  </si>
  <si>
    <t>N2_DCS_LN_PIN</t>
  </si>
  <si>
    <t>R244</t>
  </si>
  <si>
    <t>330R at MCU PC2</t>
  </si>
  <si>
    <t>N2_DCS_RP_PIN</t>
  </si>
  <si>
    <t>R245</t>
  </si>
  <si>
    <t>330R at MCU PC3</t>
  </si>
  <si>
    <t>N2_DCS_RN_PIN</t>
  </si>
  <si>
    <t>R246</t>
  </si>
  <si>
    <t>330R at MCU PC4</t>
  </si>
  <si>
    <t>N2_V3A_MON_PIN</t>
  </si>
  <si>
    <t>R301</t>
  </si>
  <si>
    <t>2.2 Ω AVCC_L branch</t>
  </si>
  <si>
    <t>R302</t>
  </si>
  <si>
    <t>2.2 Ω AVCC_R branch</t>
  </si>
  <si>
    <t>Pull-UP to DVCC for the Q207 open-drain driver (Q207 on = reset); no back-power when 3V3D is off</t>
  </si>
  <si>
    <t>R401</t>
  </si>
  <si>
    <t>R1a 1.30 k</t>
  </si>
  <si>
    <t>R402</t>
  </si>
  <si>
    <t>R2 2.00 k feedback (from the op-amp output pin)</t>
  </si>
  <si>
    <t>R403</t>
  </si>
  <si>
    <t>R3a 1.30 k</t>
  </si>
  <si>
    <t>R404</t>
  </si>
  <si>
    <t>R4 2.00 k</t>
  </si>
  <si>
    <t>R405</t>
  </si>
  <si>
    <t>R406</t>
  </si>
  <si>
    <t>R407</t>
  </si>
  <si>
    <t>R408</t>
  </si>
  <si>
    <t>R409</t>
  </si>
  <si>
    <t>R410</t>
  </si>
  <si>
    <t>R411</t>
  </si>
  <si>
    <t>R412</t>
  </si>
  <si>
    <t>R413</t>
  </si>
  <si>
    <t>R414</t>
  </si>
  <si>
    <t>R415</t>
  </si>
  <si>
    <t>R416</t>
  </si>
  <si>
    <t>R417</t>
  </si>
  <si>
    <t>DFT link 0 Ω: remove to drive LEG_LP from a lab source (rail-stuck emulation); LEG_LP → K60x (TLP3545A) → JACK_LP</t>
  </si>
  <si>
    <t>R418</t>
  </si>
  <si>
    <t>DFT link 0 Ω: remove to drive LEG_LN from a lab source (rail-stuck emulation); LEG_LN → K60x (TLP3545A) → JACK_LN</t>
  </si>
  <si>
    <t>R419</t>
  </si>
  <si>
    <t>DFT link 0 Ω: remove to drive LEG_RP from a lab source (rail-stuck emulation); LEG_RP → K60x (TLP3545A) → JACK_RP</t>
  </si>
  <si>
    <t>R420</t>
  </si>
  <si>
    <t>DFT link 0 Ω: remove to drive LEG_RN from a lab source (rail-stuck emulation); LEG_RN → K60x (TLP3545A) → JACK_RN</t>
  </si>
  <si>
    <t>R423</t>
  </si>
  <si>
    <t>Rf 698 Ω</t>
  </si>
  <si>
    <t>R424</t>
  </si>
  <si>
    <t>R425</t>
  </si>
  <si>
    <t>R426</t>
  </si>
  <si>
    <t>VREF top 9.76 k</t>
  </si>
  <si>
    <t>VREF bottom 10.0 k</t>
  </si>
  <si>
    <t>R438</t>
  </si>
  <si>
    <t>R1b 680</t>
  </si>
  <si>
    <t>R439</t>
  </si>
  <si>
    <t>R3b 680</t>
  </si>
  <si>
    <t>R440</t>
  </si>
  <si>
    <t>R441</t>
  </si>
  <si>
    <t>R442</t>
  </si>
  <si>
    <t>R443</t>
  </si>
  <si>
    <t>R444</t>
  </si>
  <si>
    <t>R445</t>
  </si>
  <si>
    <t>R446</t>
  </si>
  <si>
    <t>DNF VREF trim: in parallel with R431, raises VREF (237 k: +2.1 %)</t>
  </si>
  <si>
    <t>R447</t>
  </si>
  <si>
    <t>DNF VREF trim: in parallel with R432, lowers VREF (243 k: -2.1 %)</t>
  </si>
  <si>
    <t>N5_FBP</t>
  </si>
  <si>
    <t>R502</t>
  </si>
  <si>
    <t>N5_FBN</t>
  </si>
  <si>
    <t>R504</t>
  </si>
  <si>
    <t>N5_PGOOD</t>
  </si>
  <si>
    <t>N5_ILIM</t>
  </si>
  <si>
    <t>Keep the ILM node short</t>
  </si>
  <si>
    <t>N5_ILIM_HI</t>
  </si>
  <si>
    <t>ILIM_HI</t>
  </si>
  <si>
    <t>ANA_FAULT_N</t>
  </si>
  <si>
    <t>ANA_EN</t>
  </si>
  <si>
    <t>RAILS_OK_N</t>
  </si>
  <si>
    <t>R526</t>
  </si>
  <si>
    <t>R527</t>
  </si>
  <si>
    <t>R528</t>
  </si>
  <si>
    <t>R529</t>
  </si>
  <si>
    <t>At the MCU PB4 pin</t>
  </si>
  <si>
    <t>U303 feedback top, at the FB pin</t>
  </si>
  <si>
    <t>N3_1V3_FB</t>
  </si>
  <si>
    <t>U303 feedback bottom</t>
  </si>
  <si>
    <t>Divider top</t>
  </si>
  <si>
    <t>Divider bottom</t>
  </si>
  <si>
    <t>N5_U102_OFF</t>
  </si>
  <si>
    <t>Q507 base series</t>
  </si>
  <si>
    <t>Q507 base-emitter, default U102 on</t>
  </si>
  <si>
    <t>R624</t>
  </si>
  <si>
    <t>DC-sense series R_S</t>
  </si>
  <si>
    <t>R625</t>
  </si>
  <si>
    <t>R626</t>
  </si>
  <si>
    <t>R627</t>
  </si>
  <si>
    <t>R628</t>
  </si>
  <si>
    <t>DC-sense bias R_U</t>
  </si>
  <si>
    <t>R629</t>
  </si>
  <si>
    <t>R630</t>
  </si>
  <si>
    <t>R631</t>
  </si>
  <si>
    <t>R632</t>
  </si>
  <si>
    <t>DC-sense R_D</t>
  </si>
  <si>
    <t>R633</t>
  </si>
  <si>
    <t>R634</t>
  </si>
  <si>
    <t>R635</t>
  </si>
  <si>
    <t>R639</t>
  </si>
  <si>
    <t>Reference network R_U (V3A_MON = a × 3V3A, a = 0.487)</t>
  </si>
  <si>
    <t>R640</t>
  </si>
  <si>
    <t>Reference network R_D</t>
  </si>
  <si>
    <t>R641</t>
  </si>
  <si>
    <t>String L sense resistor R_S (I = V_IREF/R_S)</t>
  </si>
  <si>
    <t>R642</t>
  </si>
  <si>
    <t>String R sense resistor R_S (I = V_IREF/R_S)</t>
  </si>
  <si>
    <t>R643</t>
  </si>
  <si>
    <t>N6_OAL</t>
  </si>
  <si>
    <t>String L base resistor from U604</t>
  </si>
  <si>
    <t>R644</t>
  </si>
  <si>
    <t>N6_OAR</t>
  </si>
  <si>
    <t>String R base resistor from U604</t>
  </si>
  <si>
    <t>R645</t>
  </si>
  <si>
    <t>Gate series resistor from U206 output N2_MCLK_OE = MCLK_EN AND AVCC_EN AND MCLK_PERMIT (R235 100 k pull-down, digital)</t>
  </si>
  <si>
    <t>R646</t>
  </si>
  <si>
    <t>RELAY_EN</t>
  </si>
  <si>
    <t>RELAY_EN pull-down (switches open when the MCU is in reset)</t>
  </si>
  <si>
    <t>R647</t>
  </si>
  <si>
    <t>Permit pull-up (100 k: tolerates 9 × the listed comparator leakage)</t>
  </si>
  <si>
    <t>R648</t>
  </si>
  <si>
    <t>DC_PERMIT_N pull-up</t>
  </si>
  <si>
    <t>R653</t>
  </si>
  <si>
    <t>From the DACL I/V output</t>
  </si>
  <si>
    <t>R654</t>
  </si>
  <si>
    <t>From the DACLB I/V output</t>
  </si>
  <si>
    <t>R655</t>
  </si>
  <si>
    <t>From the DACR I/V output</t>
  </si>
  <si>
    <t>R656</t>
  </si>
  <si>
    <t>From the DACRB I/V output</t>
  </si>
  <si>
    <t>R657</t>
  </si>
  <si>
    <t>CM threshold chain top (ratiometric to VREF)</t>
  </si>
  <si>
    <t>N6_CMTH_HI</t>
  </si>
  <si>
    <t>R658</t>
  </si>
  <si>
    <t>CM threshold chain middle</t>
  </si>
  <si>
    <t>N6_CMTH_LO</t>
  </si>
  <si>
    <t>R659</t>
  </si>
  <si>
    <t>CM threshold chain bottom</t>
  </si>
  <si>
    <t>R660</t>
  </si>
  <si>
    <t>Offset: CMTH_LO ≥ 70 mV when 3V3A = 0 → permit off</t>
  </si>
  <si>
    <t>R661</t>
  </si>
  <si>
    <t>Reference network R_S (leg input tied to GND)</t>
  </si>
  <si>
    <t>R662</t>
  </si>
  <si>
    <t>LED-sink reference divider top (V_IREF 137-164 mV)</t>
  </si>
  <si>
    <t>N6_IREF</t>
  </si>
  <si>
    <t>R663</t>
  </si>
  <si>
    <t>LED-sink reference divider bottom</t>
  </si>
  <si>
    <t>MCLK tap 330 Ω at the U301 XI pin (MCLK tap; layout rule)</t>
  </si>
  <si>
    <t>N6_MCK_IN</t>
  </si>
  <si>
    <t>R666</t>
  </si>
  <si>
    <t>Pump bleed 1 M</t>
  </si>
  <si>
    <t>R667</t>
  </si>
  <si>
    <t>Series 100 k into U606 ch2</t>
  </si>
  <si>
    <t>N6_MCK_CMP</t>
  </si>
  <si>
    <t>R668</t>
  </si>
  <si>
    <t>MCLK threshold top 1.00 M 1 % (cost patch; was 866 k 0.1 %)</t>
  </si>
  <si>
    <t>N6_REFMCK</t>
  </si>
  <si>
    <t>R669</t>
  </si>
  <si>
    <t>MCLK threshold bottom 100 k 1 % (cost patch; was 0.1 %)</t>
  </si>
  <si>
    <t>R670</t>
  </si>
  <si>
    <t>1V3 series 10 k</t>
  </si>
  <si>
    <t>Hysteresis 2.2 M</t>
  </si>
  <si>
    <t>1V3 reference top 237 k</t>
  </si>
  <si>
    <t>N6_REF13</t>
  </si>
  <si>
    <t>R673</t>
  </si>
  <si>
    <t>1V3 reference bottom 100 k</t>
  </si>
  <si>
    <t>Test injection 2.2 k</t>
  </si>
  <si>
    <t>R675</t>
  </si>
  <si>
    <t>3V3A divider A top 44.2 k</t>
  </si>
  <si>
    <t>N6_V3A_DA</t>
  </si>
  <si>
    <t>R676</t>
  </si>
  <si>
    <t>3V3A divider A bottom 200 k</t>
  </si>
  <si>
    <t>R677</t>
  </si>
  <si>
    <t>Reference A top 300 k 0603</t>
  </si>
  <si>
    <t>N6_V3R_A</t>
  </si>
  <si>
    <t>R678</t>
  </si>
  <si>
    <t>Reference A bottom 1.00 M 0603</t>
  </si>
  <si>
    <t>R679</t>
  </si>
  <si>
    <t>Hysteresis A 22 M</t>
  </si>
  <si>
    <t>R680</t>
  </si>
  <si>
    <t>Pull-up A 100 k</t>
  </si>
  <si>
    <t>To U606 ch3 4.7 M</t>
  </si>
  <si>
    <t>N6_V3AG_S</t>
  </si>
  <si>
    <t>R682</t>
  </si>
  <si>
    <t>3V3A divider B top 44.2 k</t>
  </si>
  <si>
    <t>N6_V3A_DB</t>
  </si>
  <si>
    <t>R683</t>
  </si>
  <si>
    <t>3V3A divider B bottom 200 k</t>
  </si>
  <si>
    <t>R684</t>
  </si>
  <si>
    <t>Reference B top 300 k 0603</t>
  </si>
  <si>
    <t>N6_V3R_B</t>
  </si>
  <si>
    <t>R685</t>
  </si>
  <si>
    <t>Reference B bottom 1.00 M 0603</t>
  </si>
  <si>
    <t>R686</t>
  </si>
  <si>
    <t>Hysteresis B 22 M</t>
  </si>
  <si>
    <t>R687</t>
  </si>
  <si>
    <t>Pull-up B 100 k</t>
  </si>
  <si>
    <t>R688</t>
  </si>
  <si>
    <t>Readback A to MCU PA12</t>
  </si>
  <si>
    <t>N6_V3AG_A_MCU</t>
  </si>
  <si>
    <t>R689</t>
  </si>
  <si>
    <t>Readback B to MCU PB9</t>
  </si>
  <si>
    <t>N6_V3AG_B_MCU</t>
  </si>
  <si>
    <t>R690</t>
  </si>
  <si>
    <t>TRIP pull-up 330 k (fail-safe high when U606 is unpowered)</t>
  </si>
  <si>
    <t>R691</t>
  </si>
  <si>
    <t>CLR_N pull-up 100 k</t>
  </si>
  <si>
    <t>R692</t>
  </si>
  <si>
    <t>N6_ARM</t>
  </si>
  <si>
    <t>Q622 gate 1 k</t>
  </si>
  <si>
    <t>R693</t>
  </si>
  <si>
    <t>HREF top 100 k</t>
  </si>
  <si>
    <t>N6_HREF</t>
  </si>
  <si>
    <t>R694</t>
  </si>
  <si>
    <t>HREF bottom 330 k</t>
  </si>
  <si>
    <t>R695</t>
  </si>
  <si>
    <t>ARM readback 100 k to MCU PB0</t>
  </si>
  <si>
    <t>N6_ARM_MCU</t>
  </si>
  <si>
    <t>R696</t>
  </si>
  <si>
    <t>Q622 gate pull-down 100 k (R692 open or U608 unpowered → Q622 off)</t>
  </si>
  <si>
    <t>LED_G</t>
  </si>
  <si>
    <t>1k</t>
  </si>
  <si>
    <t>LED_R</t>
  </si>
  <si>
    <t>2.2k</t>
  </si>
  <si>
    <t>DNF 1k, fitted with J703 (monitor only)</t>
  </si>
  <si>
    <t>R900</t>
  </si>
  <si>
    <t>Persistence detector L: A = LEG_LP divider Ra 487 k</t>
  </si>
  <si>
    <t>N6_DA_L</t>
  </si>
  <si>
    <t>R901</t>
  </si>
  <si>
    <t>Rb 1.00 M to GND</t>
  </si>
  <si>
    <t>R902</t>
  </si>
  <si>
    <t>Persistence detector L: B = LEG_LN divider Ra</t>
  </si>
  <si>
    <t>N6_DB_L</t>
  </si>
  <si>
    <t>R903</t>
  </si>
  <si>
    <t>Rb 1.00 M to VPOS</t>
  </si>
  <si>
    <t>R904</t>
  </si>
  <si>
    <t>Persistence detector L: C = LEG_LP divider Ra</t>
  </si>
  <si>
    <t>N6_DC_L</t>
  </si>
  <si>
    <t>R905</t>
  </si>
  <si>
    <t>R906</t>
  </si>
  <si>
    <t>Persistence detector L: D = LEG_LN divider Ra</t>
  </si>
  <si>
    <t>N6_DD_L</t>
  </si>
  <si>
    <t>R907</t>
  </si>
  <si>
    <t>R908</t>
  </si>
  <si>
    <t>Persistence detector R: A = LEG_RP divider Ra 487 k</t>
  </si>
  <si>
    <t>N6_DA_R</t>
  </si>
  <si>
    <t>R909</t>
  </si>
  <si>
    <t>R910</t>
  </si>
  <si>
    <t>Persistence detector R: B = LEG_RN divider Ra</t>
  </si>
  <si>
    <t>N6_DB_R</t>
  </si>
  <si>
    <t>R911</t>
  </si>
  <si>
    <t>R912</t>
  </si>
  <si>
    <t>Persistence detector R: C = LEG_RP divider Ra</t>
  </si>
  <si>
    <t>N6_DC_R</t>
  </si>
  <si>
    <t>R913</t>
  </si>
  <si>
    <t>R914</t>
  </si>
  <si>
    <t>Persistence detector R: D = LEG_RN divider Ra</t>
  </si>
  <si>
    <t>N6_DD_R</t>
  </si>
  <si>
    <t>R915</t>
  </si>
  <si>
    <t>R916</t>
  </si>
  <si>
    <t>NPN base pull-up 330 k</t>
  </si>
  <si>
    <t>R917</t>
  </si>
  <si>
    <t>R918</t>
  </si>
  <si>
    <t>R919</t>
  </si>
  <si>
    <t>R920</t>
  </si>
  <si>
    <t>R_T 110 k</t>
  </si>
  <si>
    <t>R921</t>
  </si>
  <si>
    <t>R922</t>
  </si>
  <si>
    <t>R923</t>
  </si>
  <si>
    <t>Persistence-detector V_T divider top 69.8 k</t>
  </si>
  <si>
    <t>N6_VT</t>
  </si>
  <si>
    <t>R925</t>
  </si>
  <si>
    <t>V_T divider bottom 100 k</t>
  </si>
  <si>
    <t>R926</t>
  </si>
  <si>
    <t>OR tap 330 k from LEG_LP</t>
  </si>
  <si>
    <t>R927</t>
  </si>
  <si>
    <t>OR tap 330 k from LEG_LN</t>
  </si>
  <si>
    <t>R928</t>
  </si>
  <si>
    <t>OR tap 330 k from LEG_RP</t>
  </si>
  <si>
    <t>R929</t>
  </si>
  <si>
    <t>OR tap 330 k from LEG_RN</t>
  </si>
  <si>
    <t>R930</t>
  </si>
  <si>
    <t>LPW tap 1.00 M from LEG_LP</t>
  </si>
  <si>
    <t>R931</t>
  </si>
  <si>
    <t>LPW tap 1.00 M from LEG_LN</t>
  </si>
  <si>
    <t>R932</t>
  </si>
  <si>
    <t>LPW tap 1.00 M from LEG_RP</t>
  </si>
  <si>
    <t>R933</t>
  </si>
  <si>
    <t>LPW tap 1.00 M from LEG_RN</t>
  </si>
  <si>
    <t>V_OR+ top 360 k</t>
  </si>
  <si>
    <t>N6_VORP</t>
  </si>
  <si>
    <t>R935</t>
  </si>
  <si>
    <t>V_OR+ bottom 470 k</t>
  </si>
  <si>
    <t>R936</t>
  </si>
  <si>
    <t>V_OR- top 470 k</t>
  </si>
  <si>
    <t>N6_VORN</t>
  </si>
  <si>
    <t>R937</t>
  </si>
  <si>
    <t>V_OR- bottom 470 k, returned to the OR test line (0 V normal)</t>
  </si>
  <si>
    <t>N6_ORTEST</t>
  </si>
  <si>
    <t>R938</t>
  </si>
  <si>
    <t>V_LL+ top 1.00 M</t>
  </si>
  <si>
    <t>N6_VLLP</t>
  </si>
  <si>
    <t>R939</t>
  </si>
  <si>
    <t>V_LL+ bottom 100 k</t>
  </si>
  <si>
    <t>R940</t>
  </si>
  <si>
    <t>V_LL- top 1.00 M</t>
  </si>
  <si>
    <t>N6_VLLN</t>
  </si>
  <si>
    <t>V_LL- bottom 88.7 k</t>
  </si>
  <si>
    <t>R942</t>
  </si>
  <si>
    <t>LPW timer R_T2 910 k</t>
  </si>
  <si>
    <t>R943</t>
  </si>
  <si>
    <t>R944</t>
  </si>
  <si>
    <t>R945</t>
  </si>
  <si>
    <t>R946</t>
  </si>
  <si>
    <t>R947</t>
  </si>
  <si>
    <t>R948</t>
  </si>
  <si>
    <t>R949</t>
  </si>
  <si>
    <t>R950</t>
  </si>
  <si>
    <t>Q627 base 100 k; N6_ORTEST = MCU/CPLD test output (push-pull, default low)</t>
  </si>
  <si>
    <t>OR self-test: 10 k in series with the Q627 collector (defined positive test threshold)</t>
  </si>
  <si>
    <t>TP701</t>
  </si>
  <si>
    <t>TP</t>
  </si>
  <si>
    <t>Test pad, 1.0 mm round on L1, mask open, no paste (layout package)</t>
  </si>
  <si>
    <t>TP702</t>
  </si>
  <si>
    <t>TP703</t>
  </si>
  <si>
    <t>TP704</t>
  </si>
  <si>
    <t>TP705</t>
  </si>
  <si>
    <t>TP706</t>
  </si>
  <si>
    <t>TP707</t>
  </si>
  <si>
    <t>TP708</t>
  </si>
  <si>
    <t>TP709</t>
  </si>
  <si>
    <t>TP710</t>
  </si>
  <si>
    <t>TP711</t>
  </si>
  <si>
    <t>TP712</t>
  </si>
  <si>
    <t>TP713</t>
  </si>
  <si>
    <t>TP714</t>
  </si>
  <si>
    <t>TP715</t>
  </si>
  <si>
    <t>TP716</t>
  </si>
  <si>
    <t>TP717</t>
  </si>
  <si>
    <t>TP718</t>
  </si>
  <si>
    <t>TP719</t>
  </si>
  <si>
    <t>TP720</t>
  </si>
  <si>
    <t>TP721</t>
  </si>
  <si>
    <t>TP722</t>
  </si>
  <si>
    <t>TP723</t>
  </si>
  <si>
    <t>TP724</t>
  </si>
  <si>
    <t>TP725</t>
  </si>
  <si>
    <t>TP726</t>
  </si>
  <si>
    <t>TP727</t>
  </si>
  <si>
    <t>TP728</t>
  </si>
  <si>
    <t>TP729</t>
  </si>
  <si>
    <t>TP730</t>
  </si>
  <si>
    <t>TP731</t>
  </si>
  <si>
    <t>PROG</t>
  </si>
  <si>
    <t>PROG strap pad: short to an adjacent GND pad at reset = programming mode</t>
  </si>
  <si>
    <t>TP733</t>
  </si>
  <si>
    <t>TP734</t>
  </si>
  <si>
    <t>TP735</t>
  </si>
  <si>
    <t>TP736</t>
  </si>
  <si>
    <t>TP737</t>
  </si>
  <si>
    <t>TP738</t>
  </si>
  <si>
    <t>TP739</t>
  </si>
  <si>
    <t>TP740</t>
  </si>
  <si>
    <t>TP741</t>
  </si>
  <si>
    <t>TP742</t>
  </si>
  <si>
    <t>TP743</t>
  </si>
  <si>
    <t>TP744</t>
  </si>
  <si>
    <t>TP745</t>
  </si>
  <si>
    <t>TP746</t>
  </si>
  <si>
    <t>TP747</t>
  </si>
  <si>
    <t>TP748</t>
  </si>
  <si>
    <t>TP749</t>
  </si>
  <si>
    <t>TP750</t>
  </si>
  <si>
    <t>TP751</t>
  </si>
  <si>
    <t>TP752</t>
  </si>
  <si>
    <t>TP753</t>
  </si>
  <si>
    <t>I/O1</t>
  </si>
  <si>
    <t>USBLC6-2SC6 pinout; pins 1/6 and 3/4 flow-through</t>
  </si>
  <si>
    <t>I/O2</t>
  </si>
  <si>
    <t>OUT</t>
  </si>
  <si>
    <t>TPS25200 DRV pin table 4-1</t>
  </si>
  <si>
    <t>ILIM</t>
  </si>
  <si>
    <t>FAULT</t>
  </si>
  <si>
    <t>EN</t>
  </si>
  <si>
    <t>IN</t>
  </si>
  <si>
    <t>PAD</t>
  </si>
  <si>
    <t>PowerPAD</t>
  </si>
  <si>
    <t>TPD2E2U06 DRL; at J101, own GND via</t>
  </si>
  <si>
    <t>IO1</t>
  </si>
  <si>
    <t>IO2</t>
  </si>
  <si>
    <t>VBAT</t>
  </si>
  <si>
    <t>No backup battery; tied to 3V3M, 100 nF C203</t>
  </si>
  <si>
    <t>PC13-TAMPER-RTC</t>
  </si>
  <si>
    <t>Input, internal pull-up; TP732 shorted to GND at reset = programming mode</t>
  </si>
  <si>
    <t>PC14-OSC32_IN</t>
  </si>
  <si>
    <t>Suspend power cut: push-pull (RTC-domain pin, static gate signal): HIGH = Q507 on = U102 EN low = 5V_SYS off (suspend only, after ANA_EN/AVCC_EN/AUD_EN are low); LOW in every other state; floats at reset → R537 1M → U102 on (default on)</t>
  </si>
  <si>
    <t>PC15-OSC32_OUT</t>
  </si>
  <si>
    <t>OR self-test line: push-pull, LOW in every state except the boot OR self-test (g), high ≤ 32 ms per run, low again in the DC_PERMIT_N EXTI at the trip; RTC-domain pin, static load ≤ 34 µA (R950 100 k to Q627 base + V_OR- divider); Hi-Z at reset → the divider pulls to about -0.5 V via 470 k (≤ 8 µA negative injection into the pin clamp, &lt;&lt; ±5 mA IINJ [assumption STM32F1-class], only while VNEG is up and before GPIO init; no ADC conversion then); no series R needed</t>
  </si>
  <si>
    <t>OSC_IN</t>
  </si>
  <si>
    <t>Y201 8 MHz</t>
  </si>
  <si>
    <t>OSC_OUT</t>
  </si>
  <si>
    <t>R201 10k pull-up, C212 100 nF, J201-4</t>
  </si>
  <si>
    <t>PC0</t>
  </si>
  <si>
    <t>Via R242 330R from DC_SENSE_LP (injection ≤ 3.0 mA); ADC2 IN10, slot 5 of 9, TS 41.5 cyc, 20.000 kHz per channel; R_TH 2.49 k + 4.7 µF</t>
  </si>
  <si>
    <t>PC1</t>
  </si>
  <si>
    <t>Via R243 330R from DC_SENSE_LN; ADC2 IN11, slot 6 (as PC0)</t>
  </si>
  <si>
    <t>PC2</t>
  </si>
  <si>
    <t>Via R244 330R from DC_SENSE_RP; ADC2 IN12, slot 7 (as PC0)</t>
  </si>
  <si>
    <t>PC3</t>
  </si>
  <si>
    <t>Via R245 330R from DC_SENSE_RN; ADC2 IN13, slot 8 (as PC0)</t>
  </si>
  <si>
    <t>VSSA</t>
  </si>
  <si>
    <t>VDDA</t>
  </si>
  <si>
    <t>Must equal VIO (datasheet); C204 100 nF + C221 1 µF</t>
  </si>
  <si>
    <t>PA0-WKUP</t>
  </si>
  <si>
    <t>ADC2 IN0, slot 9 of 9 (TS 41.5 cyc, 20.000 kHz); 5V_ANA_F divider R535/R536 100k/47k + C516 100 pF C0G at the pin, ≤ 1.799 V at 5.55 V, source 32.0 k; &lt; 4.0 V = 1.279 V at the pin = ADC code 1587 at VDDA 3.30 V with ANA_EN high &gt; 5 ms after the start-up window = supply fault in every state → ANA_EN low</t>
  </si>
  <si>
    <t>PA1</t>
  </si>
  <si>
    <t>ADC1 IN1 only (all 9 slots, dual regular-simultaneous master, TIM4-triggered 20 kHz), TS 41.5 cyc, AWD LTR 1587 = 4.00 V; C103 100 pF C0G</t>
  </si>
  <si>
    <t>PA2</t>
  </si>
  <si>
    <t>ADC2 IN2, slot 1 of 9 (TS 41.5 cyc, 20.000 kHz); source 12.3-15.3 k (R103 + Rd∥Rp); thresholds 0.2 / 0.66 / 1.23 V (Type-C Release 2.0 sink CC table)</t>
  </si>
  <si>
    <t>PA3</t>
  </si>
  <si>
    <t>ADC2 IN3, slot 2 of 8 (as CC1)</t>
  </si>
  <si>
    <t>VSS_4</t>
  </si>
  <si>
    <t>VDD_4</t>
  </si>
  <si>
    <t>C205 + C206 100 nF (USB PHY supply side)</t>
  </si>
  <si>
    <t>PA4</t>
  </si>
  <si>
    <t>N2_LINK_FRAME_MCU</t>
  </si>
  <si>
    <t>GPIO push-pull, active high → U208 3A (Ioff buffer on 3V3D at the CPLD); set low before AUD_EN falls</t>
  </si>
  <si>
    <t>PA5</t>
  </si>
  <si>
    <t>SPI1_SCK AF push-pull 36 MHz (writes) / 9 MHz (register reads); R224 33R at this pin → U208 1A</t>
  </si>
  <si>
    <t>PA6</t>
  </si>
  <si>
    <t>LINK_MISO</t>
  </si>
  <si>
    <t>SPI1_MISO input, internal pull-down</t>
  </si>
  <si>
    <t>PA7</t>
  </si>
  <si>
    <t>SPI1_MOSI AF push-pull; R225 33R at this pin → U208 2A</t>
  </si>
  <si>
    <t>PC4</t>
  </si>
  <si>
    <t>Via R246 330R from V3A_MON; ADC2 IN14, slots 3 (dummy, discarded) and 4 of 9 (reference: reading = leg - ref); R_TH 2.49 k + 4.7 µF</t>
  </si>
  <si>
    <t>PC5</t>
  </si>
  <si>
    <t>GPIO open-drain only (never push-pull high); R231 10k pull-up on the CPLD side</t>
  </si>
  <si>
    <t>PB0</t>
  </si>
  <si>
    <t>Re-arm latch: input, no pull - re-arm latch readback via R695 100k from N6_ARM (U608 74LVC1G74 on 3V3D); high = armed; must read high ≤ 1 ms after each RELAY_EN rising edge</t>
  </si>
  <si>
    <t>PB1</t>
  </si>
  <si>
    <t>Floating input (R235 defines it): readback of the X201 run / Q616 permit signal for the boot self-test of U206/R234; never an output</t>
  </si>
  <si>
    <t>PB2/BOOT1</t>
  </si>
  <si>
    <t>R232 10k pull-down: BOOT1 defined 0 (BOOT0 pad selects the system bootloader)</t>
  </si>
  <si>
    <t>PB10</t>
  </si>
  <si>
    <t>I2C2_SCL open-drain, 100 kHz; R207 4.7k to 3V3D</t>
  </si>
  <si>
    <t>PB11</t>
  </si>
  <si>
    <t>I2C2_SDA open-drain; R208 4.7k to 3V3D</t>
  </si>
  <si>
    <t>VSS_1</t>
  </si>
  <si>
    <t>VIO_1</t>
  </si>
  <si>
    <t>C207 100 nF; VIO ≤ VDD (datasheet)</t>
  </si>
  <si>
    <t>PB12</t>
  </si>
  <si>
    <t>I2S2_WS slave-receive input (on-board I²S capture), R229</t>
  </si>
  <si>
    <t>PB13</t>
  </si>
  <si>
    <t>I2S2_CK slave input, R228</t>
  </si>
  <si>
    <t>PB14</t>
  </si>
  <si>
    <t>GPIO push-pull (never SPI2 AF); U206 input C; R234 10k pull-down: MCLK stops &lt;0.2 µs after any MCU reset</t>
  </si>
  <si>
    <t>PB15</t>
  </si>
  <si>
    <t>I2S2_SD slave-receive input, R230</t>
  </si>
  <si>
    <t>PC6</t>
  </si>
  <si>
    <t>Push-pull, active high, R701</t>
  </si>
  <si>
    <t>PC7</t>
  </si>
  <si>
    <t>Push-pull, active high, R702</t>
  </si>
  <si>
    <t>PC8</t>
  </si>
  <si>
    <t>CPLD_IRQ</t>
  </si>
  <si>
    <t>Input, internal pull-down, EXTI8</t>
  </si>
  <si>
    <t>PC9</t>
  </si>
  <si>
    <t>DAC_LOCK</t>
  </si>
  <si>
    <t>Input, internal pull-down (DAC GPIO2 tri-stated in reset), EXTI9</t>
  </si>
  <si>
    <t>PA8</t>
  </si>
  <si>
    <t>Push-pull; LOW = DAC released (Q207 off, R305 10k pulls RESETB to DVCC); HIGH or floating (MCU reset: R240 100k to 3V3M) = Q207 on = DAC in reset; keep HIGH whenever AUD_EN is low (no R240 current in suspend)</t>
  </si>
  <si>
    <t>PA9</t>
  </si>
  <si>
    <t>USART1_TX debug, J201-7</t>
  </si>
  <si>
    <t>PA10</t>
  </si>
  <si>
    <t>USART1_RX debug, J201-8, input pull-up</t>
  </si>
  <si>
    <t>PA11</t>
  </si>
  <si>
    <t>Push-pull; protection load R662/R663 LED-sink reference + R646 100k pull-down = 66 µA, no capacitor; floats in reset → switch open ≤ 1.01 ms; USBFS/USBD never enabled (PA11/PA12 are their pins)</t>
  </si>
  <si>
    <t>PA12</t>
  </si>
  <si>
    <t>Input, no pull: U605 ch1 3V3A-good readback via R688 470k; high = 3V3A not good, low = good (boot self-test d)</t>
  </si>
  <si>
    <t>PA13</t>
  </si>
  <si>
    <t>SDI data at reset (datasheet pin table); J201-2</t>
  </si>
  <si>
    <t>VSS_2</t>
  </si>
  <si>
    <t>VDD_2</t>
  </si>
  <si>
    <t>C208 + C209 100 nF</t>
  </si>
  <si>
    <t>PA14</t>
  </si>
  <si>
    <t>SDI clock at reset (datasheet); J201-3</t>
  </si>
  <si>
    <t>PA15</t>
  </si>
  <si>
    <t>Push-pull → U505 TMUX1101 SEL (fail-safe 5.5 V; 1 = High limit), R511 pull-down; floating GPIO at reset (no JTAG on CH32V307)</t>
  </si>
  <si>
    <t>PC10</t>
  </si>
  <si>
    <t>Push-pull → R237 4.7k → AUD_EN (U605B pulls AUD_EN low while 3V3A is not good)</t>
  </si>
  <si>
    <t>PC11</t>
  </si>
  <si>
    <t>Push-pull; also R236 10k → N2_AVCC_EN_G = U206 input B (U605A pulls it low while 3V3A is not good)</t>
  </si>
  <si>
    <t>PC12</t>
  </si>
  <si>
    <t>Push-pull</t>
  </si>
  <si>
    <t>PD2</t>
  </si>
  <si>
    <t>LRCLK_FB</t>
  </si>
  <si>
    <t>TIM3_ETR (external clock mode 2), latched in the USB SOF ISR; internal pull-down</t>
  </si>
  <si>
    <t>PB3</t>
  </si>
  <si>
    <t>Input (FT), no internal pull, EXTI3 both edges, highest priority; Q618 drain + R648 100k to 3V3M</t>
  </si>
  <si>
    <t>PB4</t>
  </si>
  <si>
    <t>Input, FT, no internal pull: R522 10k series + R532 470k pin-side pull-down → 3.22…4.76 V high; valid only with ANA_EN = 1 for ≥ 20 ms (RAIL_EN deleted)</t>
  </si>
  <si>
    <t>PB5</t>
  </si>
  <si>
    <t>Input (FT), no internal pull, EXTI5 falling: U503 TPS259621 FLT (open drain) + R512 100k to 3V3M; valid with ANA_EN high</t>
  </si>
  <si>
    <t>PB6</t>
  </si>
  <si>
    <t>USBHS_DM (90 Ω pair)</t>
  </si>
  <si>
    <t>PB7</t>
  </si>
  <si>
    <t>USBHS_DP (90 Ω pair)</t>
  </si>
  <si>
    <t>R202 10k pull-down; J201-6 pad next to J201-1 (3V3M) for the bootloader bridge</t>
  </si>
  <si>
    <t>PB8</t>
  </si>
  <si>
    <t>Open drain, default Hi-Z: low 5 ms = 1V3-good test injection via D610 (boot self-test c); Hi-Z in every other state</t>
  </si>
  <si>
    <t>PB9</t>
  </si>
  <si>
    <t>Input, no pull: U605 ch2 3V3A-good readback via R689 470k (boot self-test d)</t>
  </si>
  <si>
    <t>VSS_3</t>
  </si>
  <si>
    <t>VIO_3</t>
  </si>
  <si>
    <t>C210 100 nF</t>
  </si>
  <si>
    <t>IO_GB/PIN_1</t>
  </si>
  <si>
    <t>Only dedicated global clock pin; I²S engine clock (no PLL)</t>
  </si>
  <si>
    <t>IO/PIN_2</t>
  </si>
  <si>
    <t>X202 stand-by pin; R212 10k pull-down</t>
  </si>
  <si>
    <t>IO/PIN_3</t>
  </si>
  <si>
    <t>X203 stand-by pin and U205 select S; R213 10k pull-down (default: X202 selected)</t>
  </si>
  <si>
    <t>Soft reset, active low, internal pull-up (AGM guide); R231, MCU PC5, J202-4</t>
  </si>
  <si>
    <t>IO/PIN_5</t>
  </si>
  <si>
    <t>Spare</t>
  </si>
  <si>
    <t>VDDA33</t>
  </si>
  <si>
    <t>PLL unused but supply pin stays powered; C213 100 nF</t>
  </si>
  <si>
    <t>IO/PIN_7</t>
  </si>
  <si>
    <t>IO/PIN_8</t>
  </si>
  <si>
    <t>IO/PIN_9</t>
  </si>
  <si>
    <t>LINK_SCK</t>
  </si>
  <si>
    <t>From U208 1Y (Ioff buffer, 3V3D); to global network through ALTCLKCTRL; no internal pull needed (driven)</t>
  </si>
  <si>
    <t>IO/PIN_10</t>
  </si>
  <si>
    <t>LINK_MOSI</t>
  </si>
  <si>
    <t>From U208 2Y</t>
  </si>
  <si>
    <t>IO/PIN_11</t>
  </si>
  <si>
    <t>LINK_FRAME</t>
  </si>
  <si>
    <t>From U208 3Y</t>
  </si>
  <si>
    <t>IO/PIN_12</t>
  </si>
  <si>
    <t>Output, register read data</t>
  </si>
  <si>
    <t>IO/PIN_13</t>
  </si>
  <si>
    <t>Copy of LRCLK (own output register)</t>
  </si>
  <si>
    <t>IO/PIN_14</t>
  </si>
  <si>
    <t>FIFO under/overflow, sticky, cleared by register read</t>
  </si>
  <si>
    <t>IO/PIN_15</t>
  </si>
  <si>
    <t>VDD33</t>
  </si>
  <si>
    <t>C214 100 nF</t>
  </si>
  <si>
    <t>IO/PIN_18</t>
  </si>
  <si>
    <t>BCLK output register → R204 → BCLK; R228 capture tap</t>
  </si>
  <si>
    <t>IO/PIN_19</t>
  </si>
  <si>
    <t>LRCLK output register → R205 → LRCLK; R229 tap</t>
  </si>
  <si>
    <t>IO/PIN_20</t>
  </si>
  <si>
    <t>SDATA output register → R206 → SDATA; R230 tap</t>
  </si>
  <si>
    <t>IO/PIN_21</t>
  </si>
  <si>
    <t>Register bit, reset 0; U206 input A; R218 10k pull-down (Q616 is now fed from U206 Y)</t>
  </si>
  <si>
    <t>IO/PIN_22</t>
  </si>
  <si>
    <t>IO/PIN_23</t>
  </si>
  <si>
    <t>2-wire Compact-JTAG; J202-3; R238 10k pull-up at U202 (TAP held in Test-Logic-Reset)</t>
  </si>
  <si>
    <t>2-wire Compact-JTAG; J202-2; R239 10k pull-down at U202</t>
  </si>
  <si>
    <t>IO/PIN_26</t>
  </si>
  <si>
    <t>IO/PIN_27</t>
  </si>
  <si>
    <t>IO/PIN_28</t>
  </si>
  <si>
    <t>IO/PIN_29</t>
  </si>
  <si>
    <t>IO/PIN_31</t>
  </si>
  <si>
    <t>C215 100 nF</t>
  </si>
  <si>
    <t>EXPOSED_PAD</t>
  </si>
  <si>
    <t>2.7 mm EP (LCSC footprint QFN-32_L4.0-W4.0-P0.40-BL-EP2.7) to GND</t>
  </si>
  <si>
    <t>I1</t>
  </si>
  <si>
    <t>X203 (44.1k family), S = H</t>
  </si>
  <si>
    <t>I0</t>
  </si>
  <si>
    <t>X202 (48k family), S = L (default)</t>
  </si>
  <si>
    <t>Y</t>
  </si>
  <si>
    <t>→ R215 → FAM_CLK</t>
  </si>
  <si>
    <t>VCC</t>
  </si>
  <si>
    <t>C222 100 nF</t>
  </si>
  <si>
    <t>Select = OSC44_EN: X203 selected exactly while it is enabled</t>
  </si>
  <si>
    <t>74LVC1G11 3-input AND; CPLD register bit, R218 pull-down</t>
  </si>
  <si>
    <t>AVCC_EN via R236 10k, pulled low by U605A while 3V3A is not good; IOFF, 5.5 V tolerant, Schmitt action</t>
  </si>
  <si>
    <t>X201 INH = MCLK_EN AND AVCC_EN AND MCLK_PERMIT; R235 100k pull-down; MCU PB1 readback; protection R645 1k → Q616 gate</t>
  </si>
  <si>
    <t>C223 100 nF</t>
  </si>
  <si>
    <t>MCU PB14 with R234 10k pull-down (fast stop at MCU reset)</t>
  </si>
  <si>
    <t>1A</t>
  </si>
  <si>
    <t>From R224 33R (MCU PA5); 5.5 V tolerant input; Ioff ≤ ±10 µA with VCC = 0 (TI)</t>
  </si>
  <si>
    <t>3Y</t>
  </si>
  <si>
    <t>→ CPLD pin 11 (≤ 5 mm)</t>
  </si>
  <si>
    <t>2A</t>
  </si>
  <si>
    <t>From R225 33R (MCU PA7)</t>
  </si>
  <si>
    <t>2Y</t>
  </si>
  <si>
    <t>→ CPLD pin 10 (≤ 5 mm)</t>
  </si>
  <si>
    <t>3A</t>
  </si>
  <si>
    <t>From MCU PA4 (direct)</t>
  </si>
  <si>
    <t>1Y</t>
  </si>
  <si>
    <t>→ CPLD pin 9 (≤ 5 mm)</t>
  </si>
  <si>
    <t>C224 100 nF at the pin; place U208 next to U202</t>
  </si>
  <si>
    <t>DGND</t>
  </si>
  <si>
    <t>No internal connection; grounded for pad strength (ESS p.4)</t>
  </si>
  <si>
    <t>SCL</t>
  </si>
  <si>
    <t>Pull-up on 3V3D on the digital side; input ≤ DVCC+0.3 V</t>
  </si>
  <si>
    <t>SDA</t>
  </si>
  <si>
    <t>Pull-up on 3V3D on the digital side</t>
  </si>
  <si>
    <t>ADDR</t>
  </si>
  <si>
    <t>Direct to DGND: address 0x90/0x48 (R306 retired)</t>
  </si>
  <si>
    <t>XO</t>
  </si>
  <si>
    <t>Crystal output unused with external MCLK (ESS p.4: floating)</t>
  </si>
  <si>
    <t>XI (MCLK)</t>
  </si>
  <si>
    <t>From X201 (Kyocera KC2520K80, 80.000 MHz) via series R; XI buffer powered from VCCA: MCLK only while VCCA up</t>
  </si>
  <si>
    <t>AGND</t>
  </si>
  <si>
    <t>Only to U404A -IN, Rf R425, Cf C419</t>
  </si>
  <si>
    <t>Only to U404B -IN, R426, C420</t>
  </si>
  <si>
    <t>AGND_R</t>
  </si>
  <si>
    <t>AGND_L</t>
  </si>
  <si>
    <t>Only to U403A -IN, R423, C417</t>
  </si>
  <si>
    <t>Only to U403B -IN, R424, C418</t>
  </si>
  <si>
    <t>R301 2.2 Ω from 3V3A; C303 2.2 µF + C305 100 nF</t>
  </si>
  <si>
    <t>R302 2.2 Ω from 3V3A; C304 + C306</t>
  </si>
  <si>
    <t>FB302 from 3V3A; C307 100 nF</t>
  </si>
  <si>
    <t>FB301 from 3V3D; C308 100 nF</t>
  </si>
  <si>
    <t>Grounded (ESS p.4)</t>
  </si>
  <si>
    <t>Internally connected to EP</t>
  </si>
  <si>
    <t>DVDD</t>
  </si>
  <si>
    <t>External 1.3 V (required: MCLK 80 MHz &gt; 50 MHz, FSR &gt; 192 kHz, ESS p.7); C310 2.2 µF + C309 100 nF</t>
  </si>
  <si>
    <t>GPIO2</t>
  </si>
  <si>
    <t>DPLL lock only (OD-2 interrupt)</t>
  </si>
  <si>
    <t>GPIO1</t>
  </si>
  <si>
    <t>Unconnected; reg 8 = 0x12 makes it the minimum-volume flag, read over I²C via reg 65 bit 0</t>
  </si>
  <si>
    <t>DATA2</t>
  </si>
  <si>
    <t>DATA1</t>
  </si>
  <si>
    <t>DATA_CLK</t>
  </si>
  <si>
    <t>RESETB</t>
  </si>
  <si>
    <t>Open-drain Q207 to GND + R305 10 k pull-up to DVCC here; low = reset (Q207 on while the MCU is in reset)</t>
  </si>
  <si>
    <t>DGND (exposed pad)</t>
  </si>
  <si>
    <t>Must connect to digital ground (ESS p.4)</t>
  </si>
  <si>
    <t>LP5907 DBV</t>
  </si>
  <si>
    <t>N/C</t>
  </si>
  <si>
    <t>TLV75801P DBV (Figure 4-2); EN tied to IN</t>
  </si>
  <si>
    <t>FB</t>
  </si>
  <si>
    <t>U401</t>
  </si>
  <si>
    <t>+INA</t>
  </si>
  <si>
    <t>V+</t>
  </si>
  <si>
    <t>EN reference; to GND, never to V-</t>
  </si>
  <si>
    <t>V-</t>
  </si>
  <si>
    <t>+INB</t>
  </si>
  <si>
    <t>-INB</t>
  </si>
  <si>
    <t>OUTB</t>
  </si>
  <si>
    <t>Tied to V+ (AMP_EN deleted; TI 7.3.3 allows EN to V+)</t>
  </si>
  <si>
    <t>OUTA</t>
  </si>
  <si>
    <t>-INA</t>
  </si>
  <si>
    <t>thermal pad</t>
  </si>
  <si>
    <t>Connect to V- copper (SBOS727B)</t>
  </si>
  <si>
    <t>U402</t>
  </si>
  <si>
    <t>U403</t>
  </si>
  <si>
    <t>OUT A</t>
  </si>
  <si>
    <t>DACL I/V output (name); protection R653-R656 100 k to the CM node connect here</t>
  </si>
  <si>
    <t>-IN A</t>
  </si>
  <si>
    <t>DAC pin (virtual ground)</t>
  </si>
  <si>
    <t>+IN A</t>
  </si>
  <si>
    <t>Separate I/V supply (VNEG_IV) behind D412 + C443 hold-up</t>
  </si>
  <si>
    <t>+IN B</t>
  </si>
  <si>
    <t>-IN B</t>
  </si>
  <si>
    <t>OUT B</t>
  </si>
  <si>
    <t>DACLB I/V output (name)</t>
  </si>
  <si>
    <t>Separate I/V supply (VPOS_IV) behind D411 + C442 hold-up</t>
  </si>
  <si>
    <t>U404</t>
  </si>
  <si>
    <t>DACR I/V output (name); protection R653-R656 100 k to the CM node connect here</t>
  </si>
  <si>
    <t>DACRB I/V output (name)</t>
  </si>
  <si>
    <t>PGOOD</t>
  </si>
  <si>
    <t>LM27762 DSS table 4-1; EN+/EN- tied to VIN at the pins</t>
  </si>
  <si>
    <t>FB+</t>
  </si>
  <si>
    <t>VIN</t>
  </si>
  <si>
    <t>CP</t>
  </si>
  <si>
    <t>OUT-</t>
  </si>
  <si>
    <t>FB-</t>
  </si>
  <si>
    <t>EN-</t>
  </si>
  <si>
    <t>C1-</t>
  </si>
  <si>
    <t>C1+</t>
  </si>
  <si>
    <t>OUT+</t>
  </si>
  <si>
    <t>EN+</t>
  </si>
  <si>
    <t>Thermal pad</t>
  </si>
  <si>
    <t>TPS70933 DBV (Figure 5-1); EN floating = enabled (EN max 6.5 V)</t>
  </si>
  <si>
    <t>TPS259621 DDA; pin 8 open = 13.8 V clamp option (never active behind U102)</t>
  </si>
  <si>
    <t>dVdt</t>
  </si>
  <si>
    <t>EN/UVLO</t>
  </si>
  <si>
    <t>FLT</t>
  </si>
  <si>
    <t>ILM</t>
  </si>
  <si>
    <t>OVCSEL</t>
  </si>
  <si>
    <t>TLV767 DRV fixed; SNS to OUT at C512</t>
  </si>
  <si>
    <t>SNS</t>
  </si>
  <si>
    <t>TMUX1101 DBV; next to U503</t>
  </si>
  <si>
    <t>SEL</t>
  </si>
  <si>
    <t>VDD</t>
  </si>
  <si>
    <t>U603</t>
  </si>
  <si>
    <t>2OUT</t>
  </si>
  <si>
    <t>I/V common-mode windows L (ch1 high, ch2 low) and R (ch3, ch4); low also when 3V3A is absent or the DAC is in reset</t>
  </si>
  <si>
    <t>1OUT</t>
  </si>
  <si>
    <t>1IN-</t>
  </si>
  <si>
    <t>1IN+</t>
  </si>
  <si>
    <t>2IN-</t>
  </si>
  <si>
    <t>2IN+</t>
  </si>
  <si>
    <t>3IN-</t>
  </si>
  <si>
    <t>3IN+</t>
  </si>
  <si>
    <t>4IN-</t>
  </si>
  <si>
    <t>4IN+</t>
  </si>
  <si>
    <t>4OUT</t>
  </si>
  <si>
    <t>3OUT</t>
  </si>
  <si>
    <t>LED-string current-sink regulator (A: string L, B: string R); V+ = 3V3D; RELAY_EN low → V_IREF = 0 → IF ≤ 1.2 µA</t>
  </si>
  <si>
    <t>OUT1</t>
  </si>
  <si>
    <t>TLV3402 on 3V3M: ch1 3V3A good → Q619 (N2_AVCC_EN_G); output low = good; ch2 → Q620 (AUD_EN)</t>
  </si>
  <si>
    <t>IN1-</t>
  </si>
  <si>
    <t>IN1+</t>
  </si>
  <si>
    <t>IN2+</t>
  </si>
  <si>
    <t>IN2-</t>
  </si>
  <si>
    <t>OUT2</t>
  </si>
  <si>
    <t>U606</t>
  </si>
  <si>
    <t>TLV1704 on VPOS/VNEG, outputs on N6_H (tolerate H at ≈ VNEG): ch1 1V3 good, ch2 MCLK alive, ch3 3V3A repeater, ch4 re-arm latch H-OK (N6_TRIP)</t>
  </si>
  <si>
    <t>Ch1 1V3 good</t>
  </si>
  <si>
    <t>Ch4 (re-arm latch): H-OK detector, IN- = N6_H</t>
  </si>
  <si>
    <t>Ch4 IN+ = HREF 2.88-3.11 V</t>
  </si>
  <si>
    <t>Ch4 OUT: low while H &gt; HREF; high (R690) on a trip or with U606 unpowered</t>
  </si>
  <si>
    <t>Ch3 3V3A-good repeater</t>
  </si>
  <si>
    <t>N.c. pin, no copper</t>
  </si>
  <si>
    <t>MCLK activity buffer on 3V3D (Ioff)</t>
  </si>
  <si>
    <t>Re-arm latch: rising RELAY_EN edge arms if H OK</t>
  </si>
  <si>
    <t>Q_N</t>
  </si>
  <si>
    <t>Unused output, no copper</t>
  </si>
  <si>
    <t>Q</t>
  </si>
  <si>
    <t>RD_N</t>
  </si>
  <si>
    <t>Async clear dominates (any trip)</t>
  </si>
  <si>
    <t>SD_N</t>
  </si>
  <si>
    <t>Preset inactive</t>
  </si>
  <si>
    <t>U609</t>
  </si>
  <si>
    <t>Persistence detector L: level L- sinks (NPN off, timer runs) while LEG_LN - LEG_LP &gt; V_L</t>
  </si>
  <si>
    <t>Level L+ sinks while LEG_LP - LEG_LN &gt; V_L</t>
  </si>
  <si>
    <t>Input polarity as corrected by the independent check</t>
  </si>
  <si>
    <t>Timer c+ (T &gt; V_T → N6_H low)</t>
  </si>
  <si>
    <t>Timer c-</t>
  </si>
  <si>
    <t>U610</t>
  </si>
  <si>
    <t>Persistence detector R: level R- sinks (NPN off, timer runs) while LEG_RN - LEG_RP &gt; V_L</t>
  </si>
  <si>
    <t>Level R+ sinks while LEG_RP - LEG_RN &gt; V_L</t>
  </si>
  <si>
    <t>U611</t>
  </si>
  <si>
    <t>OR stage L: ch1 LP &gt; V_OR+ and ch4 LN &lt; V_OR- sink N6_OLP_L; ch2 LP &lt; V_OR- and ch3 LN &gt; V_OR+ sink N6_OLN_L</t>
  </si>
  <si>
    <t>U612</t>
  </si>
  <si>
    <t>OR stage R: ch1 RP &gt; V_OR+ and ch4 RN &lt; V_OR- sink N6_OLP_R; ch2 RP &lt; V_OR- and ch3 RN &gt; V_OR+ sink N6_OLN_R</t>
  </si>
  <si>
    <t>U613</t>
  </si>
  <si>
    <t>LPW stage LP+: ch1 releases timer N6_TWLPP while the tap is beyond V_LL (else sinks it to VNEG); ch2 sinks N6_OLP_L while the timer &gt; 0 V</t>
  </si>
  <si>
    <t>U614</t>
  </si>
  <si>
    <t>LPW stage LP-: ch1 releases timer N6_TWLPN while the tap is beyond V_LL (else sinks it to VNEG); ch2 sinks N6_OLN_L while the timer &gt; 0 V</t>
  </si>
  <si>
    <t>U615</t>
  </si>
  <si>
    <t>LPW stage LN+: ch1 releases timer N6_TWLNP while the tap is beyond V_LL (else sinks it to VNEG); ch2 sinks N6_OLN_L while the timer &gt; 0 V</t>
  </si>
  <si>
    <t>U616</t>
  </si>
  <si>
    <t>LPW stage LN-: ch1 releases timer N6_TWLNN while the tap is beyond V_LL (else sinks it to VNEG); ch2 sinks N6_OLP_L while the timer &gt; 0 V</t>
  </si>
  <si>
    <t>U617</t>
  </si>
  <si>
    <t>LPW stage RP+: ch1 releases timer N6_TWRPP while the tap is beyond V_LL (else sinks it to VNEG); ch2 sinks N6_OLP_R while the timer &gt; 0 V</t>
  </si>
  <si>
    <t>U618</t>
  </si>
  <si>
    <t>LPW stage RP-: ch1 releases timer N6_TWRPN while the tap is beyond V_LL (else sinks it to VNEG); ch2 sinks N6_OLN_R while the timer &gt; 0 V</t>
  </si>
  <si>
    <t>U619</t>
  </si>
  <si>
    <t>LPW stage RN+: ch1 releases timer N6_TWRNP while the tap is beyond V_LL (else sinks it to VNEG); ch2 sinks N6_OLN_R while the timer &gt; 0 V</t>
  </si>
  <si>
    <t>U620</t>
  </si>
  <si>
    <t>LPW stage RN-: ch1 releases timer N6_TWRNN while the tap is beyond V_LL (else sinks it to VNEG); ch2 sinks N6_OLP_R while the timer &gt; 0 V</t>
  </si>
  <si>
    <t>INH (stand-by)</t>
  </si>
  <si>
    <t>Kyocera KC2520K: H (≥ 0.7 VCC) or open = run; L (≤ 0.3 VCC) = oscillation stop, stand-by ≤ 5 µA, t_dis ≤ 200 ns; driven by U206 (same net feeds R645 → Q616)</t>
  </si>
  <si>
    <t>GND (case)</t>
  </si>
  <si>
    <t>80 MHz CMOS; R203 33R to XI, R227 10k pull-down (XI low in stand-by); load ≤ 14.4 pF incl. the protection R665 MCLK-alive tap 1.29 pF at XI (Kyocera ≤ 15 pF)</t>
  </si>
  <si>
    <t>C217 10 nF HF type at the pad (Kyocera: 0.01 µF at the nearest position)</t>
  </si>
  <si>
    <t>STAND-BY</t>
  </si>
  <si>
    <t>H/open = run, L ≤ 0.3 VCC = output Hi-Z, oscillation stopped (NDK datasheet)</t>
  </si>
  <si>
    <t>OUTPUT</t>
  </si>
  <si>
    <t>C218 100 nF</t>
  </si>
  <si>
    <t>C219 100 nF</t>
  </si>
  <si>
    <t>XTAL1</t>
  </si>
  <si>
    <t>XTAL2</t>
  </si>
  <si>
    <t>Nets — one line per net</t>
  </si>
  <si>
    <t>247 nets. "Pins in the Netlist sheet" is counted live from the Netlist sheet and must equal the pin count of the design check; NC collects the no-connect pins (each isolated, no copper between them).</t>
  </si>
  <si>
    <t>Pins in the Netlist sheet</t>
  </si>
  <si>
    <t>Pin count (design check)</t>
  </si>
  <si>
    <t>Class</t>
  </si>
  <si>
    <t>Members (designator.pin)</t>
  </si>
  <si>
    <t>Interface net (between blocks)</t>
  </si>
  <si>
    <t>C309.1 C310.1 C312.1 R530.1 R533.1 R670.1 TP706.1 U301.21 U303.5</t>
  </si>
  <si>
    <t>C302.1 C441.1 D104.1 FB302.1 R301.1 R302.1 R431.1 R446.1 R527.1 R628.2 R629.2 R630.2 R631.2 R639.2 R657.1 R675.1 R682.1 R934.1 R938.1 TP705.1 U302.5</t>
  </si>
  <si>
    <t>C217.1 C218.1 C219.1 C222.1 C223.1 C224.1 C311.1 C512.1 C622.1 C623.1 C630.1 FB202.1 FB301.1 J202.1 J703.6 R207.2 R208.2 R529.1 R690.1 R691.1 TP704.1 U205.5 U206.5 U208.8 U303.1 U303.3 U504.1 U504.2 U604.8 U607.5 U608.7 U608.8 X201.4 X202.4 X203.4</t>
  </si>
  <si>
    <t>C203.1 C204.1 C205.1 C206.1 C207.1 C208.1 C209.1 C210.1 C211.1 C221.1 C502.1 C515.1 C628.1 R201.2 R240.2 R241.1 R512.2 R526.1 R528.1 R648.2 R677.1 R680.1 R684.1 R687.1 TP703.1 U101.5 U201.1 U201.13 U201.19 U201.32 U201.48 U201.64 U502.5 U505.5 U605.8</t>
  </si>
  <si>
    <t>C506.1 D105.1 FB501.1 TP702.1 U503.5</t>
  </si>
  <si>
    <t>C507.1 FB501.2 R505.2 R531.1 R535.1 U501.3 U501.8 U501.12</t>
  </si>
  <si>
    <t>C301.1 C501.1 C505.1 D104.3 D105.3 K601.1 K603.1 R105.1 TP701.1 U102.1 U302.1 U503.4 U504.6</t>
  </si>
  <si>
    <t>R513.1 TP737.1 U201.53 U503.3</t>
  </si>
  <si>
    <t>R512.1 TP723.1 U201.57 U503.6</t>
  </si>
  <si>
    <t>C516.1 R535.2 R536.1 TP752.1 U201.14</t>
  </si>
  <si>
    <t>Q504.1 Q620.3 R237.2 R508.1 TP738.1 U504.4</t>
  </si>
  <si>
    <t>Q502.1 R236.1 R303.1 TP720.1 U201.52 U302.3</t>
  </si>
  <si>
    <t>C303.1 C305.1 D405.2 D406.2 R301.2 TP710.1 U301.15</t>
  </si>
  <si>
    <t>C304.1 C306.1 D407.2 D408.2 R302.2 U301.16</t>
  </si>
  <si>
    <t>J703.2 R204.2 TP715.1 U301.27</t>
  </si>
  <si>
    <t>J201.6 R202.1 U201.60</t>
  </si>
  <si>
    <t>J101.A5 R101.1 R103.1 TP726.1 U103.3</t>
  </si>
  <si>
    <t>R103.2 U201.16</t>
  </si>
  <si>
    <t>J101.B5 R102.1 R104.1 TP727.1 U103.5</t>
  </si>
  <si>
    <t>R104.2 U201.17</t>
  </si>
  <si>
    <t>U201.39 U202.14</t>
  </si>
  <si>
    <t>J202.2 R239.1 U202.25</t>
  </si>
  <si>
    <t>J202.3 R238.1 U202.24</t>
  </si>
  <si>
    <t>J202.4 R231.1 U201.25 U202.4</t>
  </si>
  <si>
    <t>C417.1 R423.1 U301.13 U403.2</t>
  </si>
  <si>
    <t>C418.1 R424.1 U301.14 U403.6</t>
  </si>
  <si>
    <t>C419.1 R425.1 U301.9 U404.2</t>
  </si>
  <si>
    <t>C420.1 R426.1 U301.10 U404.6</t>
  </si>
  <si>
    <t>U201.40 U301.23</t>
  </si>
  <si>
    <t>Q207.3 R305.1 TP746.1 U301.28</t>
  </si>
  <si>
    <t>Q618.3 R648.1 TP722.1 U201.55</t>
  </si>
  <si>
    <t>C609.1 R243.1 R625.2 R629.1 R633.1</t>
  </si>
  <si>
    <t>C608.1 R242.1 R624.2 R628.1 R632.1</t>
  </si>
  <si>
    <t>C611.1 R245.1 R627.2 R631.1 R635.1</t>
  </si>
  <si>
    <t>C610.1 R244.1 R626.2 R630.1 R634.1</t>
  </si>
  <si>
    <t>C308.1 C439.1 FB301.2 R305.2 U301.18</t>
  </si>
  <si>
    <t>R215.2 TP712.1 U202.1</t>
  </si>
  <si>
    <t>C101.2 C102.2 C103.2 C104.2 C201.2 C202.2 C203.2 C204.2 C205.2 C206.2 C207.2 C208.2 C209.2 C210.2 C211.2 C212.2 C213.2 C214.2 C215.2 C217.2 C218.2 C219.2 C220.2 C221.2 C222.2 C223.2 C224.2 C301.2 C302.2 C303.2 C304.2 C305.2 C306.2 C307.2 C308.2 C309.2 C310.2 C311.2 C312.2 C402.2 C404.2 C406.2 C408.2 C409.2 C410.2 C411.2 C412.2 C413.2 C414.2 C415.2 C416.2 C421.2 C423.2 C424.2 C425.2 C426.2 C431.2 C432.2 C433.2 C434.2 C435.2 C436.2 C437.2 C438.2 C439.2 C440.2 C441.2 C442.2 C443.1 C501.2 C502.2 C505.2 C506.2 C507.2 C509.2 C510.2 C511.2 C512.2 C513.2 C514.2 C515.2 C516.2 C608.2 C609.2 C610.2 C611.2 C616.2 C617.2 C618.2 C619.2 C620.2 C621.2 C622.2 C623.2 C625.2 C626.2 C627.2 C628.2 C629.2 C630.2 C631.2 C632.2 C633.2 C634.2 C635.2 C636.2 C637.2 C638.2 C639.2 C640.2 C641.2 C642.2 C643.2 C644.2 C645.2 C646.2 C647.2 C648.2 C649.2 C650.2 C651.2 C652.2 C653.2 C654.2 C655.2 C656.2 C657.2 C658.2 D102.2 D405.1 D406.1 D407.1 D408.1 D413.1 D414.3 D609.1 D701.2 D702.2 D703.2 D704.2 D705.1 D706.1 J101.A1/B12 J101.B1/A12 J201.5 J202.5 J701.1 J702.1 J702.2 J703.5 Q207.2 Q502.2 Q503.2 Q504.2 Q505.2 Q506.2 Q507.2 Q618.2 Q619.2 Q620.2 Q621.2 Q622.2 Q623.2 Q624.2 Q625.2 Q626.2 Q627.2 R101.2 R102.2 R106.2 R107.2 R108.2 R202.2 R212.2 R213.2 R216.2 R217.2 R218.2 R227.2 R232.2 R234.2 R235.2 R239.2 R303.2 R404.2 R408.2 R412.2 R416.2 R432.2 R447.2 R502.2 R504.2 R508.2 R509.2 R511.2 R513.2 R532.2 R534.2 R536.2 R538.2 R632.2 R633.2 R634.2 R635.2 R640.2 R646.2 R659.2 R661.2 R663.2 R666.2 R669.2 R673.2 R676.2 R678.2 R683.2 R685.2 R694.2 R696.2 R901.2 R907.2 R909.2 R915.2 R925.2 R935.2 R939.2 R941.2 TP728.1 TP729.1 TP730.1 TP731.1 TP741.1 TP742.1 U101.2 U102.5 U102.PAD U103.4 U201.12 U201.18 U201.31 U201.47 U201.63 U202.17 U202.30 U202.EP U205.2 U206.2 U208.4 U301.1 U301.2 U301.5 U301.8 U301.11 U301.12 U301.19 U301.20 U301.22 U301.EP U302.2 U303.2 U401.3 U402.3 U501.4 U501.PAD U502.2 U503.1 U503.PAD U504.3 U504.5 U504.PAD U505.2 U505.3 U604.4 U605.4 U607.3 U608.4 U613.5 U614.5 U615.5 U616.5 U617.5 U618.5 U619.5 U620.5 X201.2 X202.2 X203.2</t>
  </si>
  <si>
    <t>R207.1 U201.29 U301.3</t>
  </si>
  <si>
    <t>R208.1 U201.30 U301.4</t>
  </si>
  <si>
    <t>R511.1 TP739.1 U201.50 U505.4</t>
  </si>
  <si>
    <t>D703.1 J701.6 K602.6</t>
  </si>
  <si>
    <t>D701.1 J701.7 J701.8 J702.4 K601.6</t>
  </si>
  <si>
    <t>D704.1 J701.2 J701.3 K604.6</t>
  </si>
  <si>
    <t>D702.1 J701.4 J701.5 J702.3 K603.6</t>
  </si>
  <si>
    <t>R701.1 U201.37</t>
  </si>
  <si>
    <t>R702.1 U201.38</t>
  </si>
  <si>
    <t>K602.4 R418.2 R625.1 R902.1 R906.1 R927.1 R931.1</t>
  </si>
  <si>
    <t>K601.4 R417.2 R624.1 R900.1 R904.1 R926.1 R930.1</t>
  </si>
  <si>
    <t>K604.4 R420.2 R627.1 R910.1 R914.1 R929.1 R933.1</t>
  </si>
  <si>
    <t>K603.4 R419.2 R626.1 R908.1 R912.1 R928.1 R932.1</t>
  </si>
  <si>
    <t>U202.11 U208.2</t>
  </si>
  <si>
    <t>U201.22 U202.12</t>
  </si>
  <si>
    <t>U202.10 U208.5</t>
  </si>
  <si>
    <t>U202.9 U208.7</t>
  </si>
  <si>
    <t>J703.3 R205.2 TP716.1 U301.26</t>
  </si>
  <si>
    <t>U201.54 U202.13</t>
  </si>
  <si>
    <t>R203.2 R665.1 R703.1 TP711.1 U301.7</t>
  </si>
  <si>
    <t>R218.1 TP740.1 U202.21 U206.1</t>
  </si>
  <si>
    <t>Q619.3 R236.2 TP719.1 U206.3</t>
  </si>
  <si>
    <t>C212.1 J201.4 R201.1 U201.7</t>
  </si>
  <si>
    <t>R213.1 TP714.1 U202.3 U205.6 X203.1</t>
  </si>
  <si>
    <t>R212.1 TP713.1 U202.2 X202.1</t>
  </si>
  <si>
    <t>TP732.1 U201.2</t>
  </si>
  <si>
    <t>R522.2 R532.1 TP721.1 U201.56</t>
  </si>
  <si>
    <t>R646.1 R662.1 TP718.1 U201.44 U608.1</t>
  </si>
  <si>
    <t>J703.4 R206.2 TP717.1 U301.25</t>
  </si>
  <si>
    <t>J201.3 U201.49</t>
  </si>
  <si>
    <t>J201.2 U201.46</t>
  </si>
  <si>
    <t>J201.8 U201.43</t>
  </si>
  <si>
    <t>J201.7 U201.42</t>
  </si>
  <si>
    <t>J101.A7 J101.B7 U101.3 U101.4 U201.58</t>
  </si>
  <si>
    <t>J101.A6 J101.B6 U101.1 U101.6 U201.59</t>
  </si>
  <si>
    <t>C616.1 R246.1 R639.1 R640.1 R661.1</t>
  </si>
  <si>
    <t>C102.1 D102.1 J101.A4/B9 J101.B4/A9 R109.1 TP736.1 TP753.1 U102.6 U502.1</t>
  </si>
  <si>
    <t>C103.1 R105.2 R106.1 TP725.1 U201.15</t>
  </si>
  <si>
    <t>C307.1 C440.1 FB302.2 U301.17</t>
  </si>
  <si>
    <t>C410.1 C412.1 C414.1 C416.1 C511.1 C619.1 C627.1 C636.1 C638.1 C656.1 C658.1 C659.2 C660.2 C661.2 C662.2 C663.2 C664.2 C665.2 C666.2 D412.1 R503.1 R936.1 R940.1 TP708.1 U401.4 U401.PAD U402.4 U402.PAD U501.6 U603.12 U606.12 U609.12 U610.12 U611.12 U612.12 U613.4 U614.4 U615.4 U616.4 U617.4 U618.4 U619.4 U620.4</t>
  </si>
  <si>
    <t>C409.1 C411.1 C413.1 C415.1 C510.1 C618.1 C626.1 C635.1 C637.1 C655.1 C657.1 C659.1 C660.1 C661.1 C662.1 C663.1 C664.1 C665.1 C666.1 D411.2 R501.1 R647.1 R660.1 R668.1 R672.1 R693.1 R903.2 R905.2 R911.2 R913.2 R916.1 R917.1 R918.1 R919.1 R920.1 R921.1 R922.1 R923.1 R924.1 R942.1 R943.1 R944.1 R945.1 R946.1 R947.1 R948.1 R949.1 TP707.1 U401.2 U401.8 U402.2 U402.8 U501.11 U603.3 U606.3 U609.3 U610.3 U611.3 U612.3 U613.8 U614.8 U615.8 U616.8 U617.8 U618.8 U619.8 U620.8</t>
  </si>
  <si>
    <t>C421.1 R431.2 R432.1 R446.2 R447.1 TP709.1 U403.3 U403.5 U404.3 U404.5</t>
  </si>
  <si>
    <t>Block-internal</t>
  </si>
  <si>
    <t>C101.1 J101.S1 J101.S2 J101.S3 J101.S4 R107.1</t>
  </si>
  <si>
    <t>C104.1 Q507.3 R109.2 U102.4</t>
  </si>
  <si>
    <t>R108.1 U102.2</t>
  </si>
  <si>
    <t>R237.1 U201.51</t>
  </si>
  <si>
    <t>R204.1 R228.1 U202.18</t>
  </si>
  <si>
    <t>R232.1 U201.28</t>
  </si>
  <si>
    <t>R228.2 U201.34</t>
  </si>
  <si>
    <t>R230.2 U201.36</t>
  </si>
  <si>
    <t>R229.2 U201.33</t>
  </si>
  <si>
    <t>R243.2 U201.9</t>
  </si>
  <si>
    <t>R242.2 U201.8</t>
  </si>
  <si>
    <t>R245.2 U201.11</t>
  </si>
  <si>
    <t>R244.2 U201.10</t>
  </si>
  <si>
    <t>C201.1 U201.5 Y201.1</t>
  </si>
  <si>
    <t>C202.1 U201.6 Y201.2</t>
  </si>
  <si>
    <t>J201.1 R241.2</t>
  </si>
  <si>
    <t>U201.20 U208.6</t>
  </si>
  <si>
    <t>R225.2 U208.3</t>
  </si>
  <si>
    <t>R225.1 U201.23</t>
  </si>
  <si>
    <t>R224.2 U208.1</t>
  </si>
  <si>
    <t>R224.1 U201.21</t>
  </si>
  <si>
    <t>R205.1 R229.1 U202.19</t>
  </si>
  <si>
    <t>R235.1 R645.1 TP735.1 U201.27 U206.4 X201.1</t>
  </si>
  <si>
    <t>R234.1 U201.35 U206.6</t>
  </si>
  <si>
    <t>R210.2 R216.1 U205.3</t>
  </si>
  <si>
    <t>R211.2 R217.1 U205.1</t>
  </si>
  <si>
    <t>R215.1 U205.4</t>
  </si>
  <si>
    <t>Q207.1 R240.1 U201.41</t>
  </si>
  <si>
    <t>R206.1 R230.1 U202.20</t>
  </si>
  <si>
    <t>C213.1 C214.1 C215.1 C220.1 FB202.2 R231.2 R238.2 U202.6 U202.16 U202.32</t>
  </si>
  <si>
    <t>R246.2 U201.24</t>
  </si>
  <si>
    <t>R203.1 R227.1 X201.3</t>
  </si>
  <si>
    <t>R210.1 X202.3</t>
  </si>
  <si>
    <t>R211.1 X203.3</t>
  </si>
  <si>
    <t>R533.2 R534.1 U303.4</t>
  </si>
  <si>
    <t>C418.2 D406.3 R403.1 R405.1 R424.2 R654.1 U403.7</t>
  </si>
  <si>
    <t>C417.2 D405.3 R401.1 R407.1 R423.2 R653.1 U403.1</t>
  </si>
  <si>
    <t>C420.2 D408.3 R411.1 R413.1 R426.2 R656.1 U404.7</t>
  </si>
  <si>
    <t>C419.2 D407.3 R409.1 R415.1 R425.2 R655.1 U404.1</t>
  </si>
  <si>
    <t>C403.1 R406.1 R440.2 U401.6</t>
  </si>
  <si>
    <t>C404.1 R408.1 R441.2 U401.5</t>
  </si>
  <si>
    <t>C403.2 R406.2 R418.1 U401.7</t>
  </si>
  <si>
    <t>C433.1 R405.2 R440.1</t>
  </si>
  <si>
    <t>C434.1 R407.2 R441.1</t>
  </si>
  <si>
    <t>C401.1 R402.1 R438.2 U401.10</t>
  </si>
  <si>
    <t>C402.1 R404.1 R439.2 U401.1</t>
  </si>
  <si>
    <t>C401.2 R402.2 R417.1 U401.9</t>
  </si>
  <si>
    <t>C431.1 R401.2 R438.1</t>
  </si>
  <si>
    <t>C432.1 R403.2 R439.1</t>
  </si>
  <si>
    <t>C407.1 R414.1 R444.2 U402.6</t>
  </si>
  <si>
    <t>C408.1 R416.1 R445.2 U402.5</t>
  </si>
  <si>
    <t>C407.2 R414.2 R420.1 U402.7</t>
  </si>
  <si>
    <t>C437.1 R413.2 R444.1</t>
  </si>
  <si>
    <t>C438.1 R415.2 R445.1</t>
  </si>
  <si>
    <t>C405.1 R410.1 R442.2 U402.10</t>
  </si>
  <si>
    <t>C406.1 R412.1 R443.2 U402.1</t>
  </si>
  <si>
    <t>C405.2 R410.2 R419.1 U402.9</t>
  </si>
  <si>
    <t>C435.1 R409.2 R442.1</t>
  </si>
  <si>
    <t>C436.1 R411.2 R443.1</t>
  </si>
  <si>
    <t>C424.1 C426.1 C443.2 D412.2 D414.1 TP751.1 U403.4 U404.4</t>
  </si>
  <si>
    <t>C423.1 C425.1 C442.1 D411.1 D413.3 TP750.1 U403.8 U404.8</t>
  </si>
  <si>
    <t>C508.2 U501.9</t>
  </si>
  <si>
    <t>C508.1 U501.10</t>
  </si>
  <si>
    <t>C509.1 U501.5</t>
  </si>
  <si>
    <t>C513.1 R531.2</t>
  </si>
  <si>
    <t>Q506.3 R530.2</t>
  </si>
  <si>
    <t>Q502.3 Q503.1 R526.2</t>
  </si>
  <si>
    <t>Q503.3 R527.2</t>
  </si>
  <si>
    <t>Q504.3 Q505.1 Q506.1 R528.2</t>
  </si>
  <si>
    <t>Q505.3 R529.2</t>
  </si>
  <si>
    <t>C514.1 U503.2</t>
  </si>
  <si>
    <t>R503.2 R504.1 U501.7</t>
  </si>
  <si>
    <t>R501.2 R502.1 U501.2</t>
  </si>
  <si>
    <t>R509.1 R510.1 U503.7</t>
  </si>
  <si>
    <t>R510.2 U505.1</t>
  </si>
  <si>
    <t>R505.1 R522.1 U501.1</t>
  </si>
  <si>
    <t>Q507.1 R537.2 R538.1</t>
  </si>
  <si>
    <t>R537.1 U201.3</t>
  </si>
  <si>
    <t>R692.1 R695.1 U608.5</t>
  </si>
  <si>
    <t>Q622.1 R692.2 R696.1</t>
  </si>
  <si>
    <t>R695.2 U201.26</t>
  </si>
  <si>
    <t>Q612.1 R643.2</t>
  </si>
  <si>
    <t>Q614.1 R644.2</t>
  </si>
  <si>
    <t>Q621.3 R691.2 U608.2 U608.6</t>
  </si>
  <si>
    <t>C620.1 R653.2 R654.2 TP733.1 U603.4 U603.7</t>
  </si>
  <si>
    <t>C621.1 R655.2 R656.2 TP734.1 U603.8 U603.11</t>
  </si>
  <si>
    <t>R657.2 R658.1 U603.5 U603.9</t>
  </si>
  <si>
    <t>R658.2 R659.1 R660.2 U603.6 U603.10</t>
  </si>
  <si>
    <t>R900.2 R901.1 U609.4</t>
  </si>
  <si>
    <t>R908.2 R909.1 U610.4</t>
  </si>
  <si>
    <t>R902.2 R903.1 U609.5</t>
  </si>
  <si>
    <t>R910.2 R911.1 U610.5</t>
  </si>
  <si>
    <t>R904.2 R905.1 U609.7</t>
  </si>
  <si>
    <t>R912.2 R913.1 U610.7</t>
  </si>
  <si>
    <t>R906.2 R907.1 U609.6</t>
  </si>
  <si>
    <t>R914.2 R915.1 U610.6</t>
  </si>
  <si>
    <t>Q612.2 R641.1 TP743.1 U604.2</t>
  </si>
  <si>
    <t>Q616.3 R641.2 R642.2 TP745.1</t>
  </si>
  <si>
    <t>Q614.2 R642.1 TP744.1 U604.6</t>
  </si>
  <si>
    <t>Q616.1 R645.2</t>
  </si>
  <si>
    <t>C617.1 Q617.1 Q618.1 R647.2 R671.1 TP724.1 U603.1 U603.2 U603.13 U603.14 U606.1 U606.2 U606.10 U606.14 U609.13 U609.14 U610.13 U610.14</t>
  </si>
  <si>
    <t>R693.2 R694.1 U606.11</t>
  </si>
  <si>
    <t>R662.2 R663.1 U604.3 U604.5</t>
  </si>
  <si>
    <t>C644.1 R931.2 U615.3 U616.2</t>
  </si>
  <si>
    <t>C643.1 R930.2 U613.3 U614.2</t>
  </si>
  <si>
    <t>C646.1 R933.2 U619.3 U620.2</t>
  </si>
  <si>
    <t>C645.1 R932.2 U617.3 U618.2</t>
  </si>
  <si>
    <t>Q616.2 Q617.3</t>
  </si>
  <si>
    <t>Q617.2 Q622.3</t>
  </si>
  <si>
    <t>C624.1 U607.4</t>
  </si>
  <si>
    <t>R667.2 U606.7</t>
  </si>
  <si>
    <t>R665.2 U607.2</t>
  </si>
  <si>
    <t>C625.1 D609.2 R666.1 R667.1 TP747.1</t>
  </si>
  <si>
    <t>R643.1 U604.1</t>
  </si>
  <si>
    <t>R644.1 U604.7</t>
  </si>
  <si>
    <t>Q624.1 R917.2 U609.1 U611.1 U611.14 U614.7 U615.7</t>
  </si>
  <si>
    <t>Q626.1 R919.2 U610.1 U612.1 U612.14 U618.7 U619.7</t>
  </si>
  <si>
    <t>Q623.1 R916.2 U609.2 U611.2 U611.13 U613.7 U616.7</t>
  </si>
  <si>
    <t>Q625.1 R918.2 U610.2 U612.2 U612.13 U617.7 U620.7</t>
  </si>
  <si>
    <t>C640.1 R927.2 U611.8 U611.11</t>
  </si>
  <si>
    <t>C639.1 R926.2 U611.4 U611.7</t>
  </si>
  <si>
    <t>Q627.3 R951.2</t>
  </si>
  <si>
    <t>C642.1 R929.2 U612.8 U612.11</t>
  </si>
  <si>
    <t>C641.1 R928.2 U612.4 U612.7</t>
  </si>
  <si>
    <t>Q627.1 R950.2</t>
  </si>
  <si>
    <t>R937.2 R950.1 U201.4</t>
  </si>
  <si>
    <t>C624.2 D609.3</t>
  </si>
  <si>
    <t>R672.2 R673.1 U606.4 U606.9</t>
  </si>
  <si>
    <t>R668.2 R669.1 U606.6</t>
  </si>
  <si>
    <t>K601.2 K602.1</t>
  </si>
  <si>
    <t>K602.2 Q612.3</t>
  </si>
  <si>
    <t>K603.2 K604.1</t>
  </si>
  <si>
    <t>K604.2 Q614.3</t>
  </si>
  <si>
    <t>C632.1 Q624.3 R921.2 U609.10</t>
  </si>
  <si>
    <t>C634.1 Q626.3 R923.2 U610.10</t>
  </si>
  <si>
    <t>C631.1 Q623.3 R920.2 U609.8</t>
  </si>
  <si>
    <t>C633.1 Q625.3 R922.2 U610.8</t>
  </si>
  <si>
    <t>Q621.1 R690.2 U606.13</t>
  </si>
  <si>
    <t>C650.1 R945.2 U616.1 U616.6</t>
  </si>
  <si>
    <t>C649.1 R944.2 U615.1 U615.6</t>
  </si>
  <si>
    <t>C648.1 R943.2 U614.1 U614.6</t>
  </si>
  <si>
    <t>C647.1 R942.2 U613.1 U613.6</t>
  </si>
  <si>
    <t>C654.1 R949.2 U620.1 U620.6</t>
  </si>
  <si>
    <t>C653.1 R948.2 U619.1 U619.6</t>
  </si>
  <si>
    <t>C652.1 R947.2 U618.1 U618.6</t>
  </si>
  <si>
    <t>C651.1 R946.2 U617.1 U617.6</t>
  </si>
  <si>
    <t>C629.1 R670.2 R671.2 R674.1 U606.5</t>
  </si>
  <si>
    <t>D610.3 U201.61</t>
  </si>
  <si>
    <t>D610.1 R674.2</t>
  </si>
  <si>
    <t>Q619.1 R679.1 R680.2 R681.1 R688.1 TP748.1 U605.1</t>
  </si>
  <si>
    <t>R688.2 U201.45</t>
  </si>
  <si>
    <t>Q620.1 R686.1 R687.2 R689.1 TP749.1 U605.7</t>
  </si>
  <si>
    <t>R689.2 U201.62</t>
  </si>
  <si>
    <t>R681.2 U606.8</t>
  </si>
  <si>
    <t>R675.2 R676.1 U605.2</t>
  </si>
  <si>
    <t>R682.2 R683.1 U605.6</t>
  </si>
  <si>
    <t>R677.2 R678.1 R679.2 U605.3</t>
  </si>
  <si>
    <t>R684.2 R685.1 R686.2 U605.5</t>
  </si>
  <si>
    <t>R940.2 R941.1 U614.3 U616.3 U618.3 U620.3</t>
  </si>
  <si>
    <t>R938.2 R939.1 U613.2 U615.2 U617.2 U619.2</t>
  </si>
  <si>
    <t>R936.2 R937.1 U611.6 U611.10 U612.6 U612.10</t>
  </si>
  <si>
    <t>R934.2 R935.1 R951.1 U611.5 U611.9 U612.5 U612.9</t>
  </si>
  <si>
    <t>R924.2 R925.1 U609.9 U609.11 U610.9 U610.11</t>
  </si>
  <si>
    <t>D705.2 R701.2</t>
  </si>
  <si>
    <t>D706.2 R702.2</t>
  </si>
  <si>
    <t>J703.1 R703.2</t>
  </si>
  <si>
    <t>No-connect pins (each isolated)</t>
  </si>
  <si>
    <t>D104.2 D105.2 D413.2 D414.2 D610.2 J101.A8 J101.B8 J701.9 J701.10 J701.11 J701.12 J702.5 J702.6 K601.3 K601.5 K602.3 K602.5 K603.3 K603.5 K604.3 K604.5 U102.3 U103.1 U103.2 U202.5 U202.7 U202.8 U202.15 U202.22 U202.23 U202.26 U202.27 U202.28 U202.29 U202.31 U301.6 U301.24 U302.4 U502.3 U502.4 U503.8 U607.1 U608.3</t>
  </si>
  <si>
    <t>Total pins</t>
  </si>
  <si>
    <t>Stress check — current rows (every part against its datasheet limits)</t>
  </si>
  <si>
    <t>181 current rows of the component stress table (tenth review round; rows superseded or resolved by later design changes, 137 in total, are left out). Verdicts: OK = inside the rating with margin; THIN = inside the rating with a thin margin (accepted, see note); AVAIL = availability or lead-time item (see the Ordering plan); DATA-GAP = no datasheet limit at the operating condition (measured at bring-up). No current row is FAIL.</t>
  </si>
  <si>
    <t>Parameter</t>
  </si>
  <si>
    <t>Rating (limit)</t>
  </si>
  <si>
    <t>Worst operating value</t>
  </si>
  <si>
    <t>Margin</t>
  </si>
  <si>
    <t>Designators not in the Parts list</t>
  </si>
  <si>
    <t>UNI-ROYAL 0402WGF (1 %)</t>
  </si>
  <si>
    <t>Power</t>
  </si>
  <si>
    <t>62.5 mW (datasheet) (to 70 °C)</t>
  </si>
  <si>
    <t>5.93 mW (worst-case calculation)</t>
  </si>
  <si>
    <t>91 %</t>
  </si>
  <si>
    <t>OK</t>
  </si>
  <si>
    <t>CC pull-down Rd; fault case CC shorted to VBUS</t>
  </si>
  <si>
    <t>https://www.uni-royal.cn/en/images/userfile/file/1668661899c56505e6d9ab55c7.pdf</t>
  </si>
  <si>
    <t>0.36 mW (worst-case calculation)</t>
  </si>
  <si>
    <t>99 %</t>
  </si>
  <si>
    <t>CC → ADC series; fault CC at VBUS, ADC pin clamped at VDD+0.3</t>
  </si>
  <si>
    <t>R105+R106</t>
  </si>
  <si>
    <t>0.21 mW (worst-case calculation)</t>
  </si>
  <si>
    <t>100 %</t>
  </si>
  <si>
    <t>VBUS divider (may re-value); whole divider</t>
  </si>
  <si>
    <t>0402 jumper</t>
  </si>
  <si>
    <t>Jumper current / resistance</t>
  </si>
  <si>
    <t>1 A rated, 2 A overload, &lt; 50 mΩ (datasheet)</t>
  </si>
  <si>
    <t>shell-to-GND ESD return (ns pulses); no DC</t>
  </si>
  <si>
    <t>n/a</t>
  </si>
  <si>
    <t>Optionally replace by a direct copper tie (fewer parts); keep footprint only if a bleed/RC option is wanted</t>
  </si>
  <si>
    <t>SOT23-6L</t>
  </si>
  <si>
    <t>D+/D- swing</t>
  </si>
  <si>
    <t>VRM 5.25 V (datasheet)</t>
  </si>
  <si>
    <t>≤ 3.6 V (FS signalling), HS 0.4 V</t>
  </si>
  <si>
    <t>1.65 V</t>
  </si>
  <si>
    <t>C I/O-GND 3.5 pF max (datasheet); IEC 61000-4-2 8 kV contact (datasheet)</t>
  </si>
  <si>
    <t>LQFP-64M 10 × 10, 0.5 mm</t>
  </si>
  <si>
    <t>VDD/VIO/VDDA</t>
  </si>
  <si>
    <t>-0.3…4.0 V abs max (datasheet); 3.3 V rated</t>
  </si>
  <si>
    <t>3.366 V (3V3M regulator upper bound)</t>
  </si>
  <si>
    <t>0.63 V</t>
  </si>
  <si>
    <t>TA −40…85 °C (suffix 6, datasheet); MSL 3 (JLCPCB page); JLCPCB stock 364 (21 Sep 2026) — pre-order (see the Ordering plan sheet)</t>
  </si>
  <si>
    <t>LQFP-64M</t>
  </si>
  <si>
    <t>Injected current any pin</t>
  </si>
  <si>
    <t>±5 mA per pin, ±25 mA total (datasheet)</t>
  </si>
  <si>
    <t>≤ 0.19 mA (CC fault through R103/R104 10 kΩ); ≤ 0.33 mA (enables through 10 kΩ)</t>
  </si>
  <si>
    <t>&gt; 4.6 mA</t>
  </si>
  <si>
    <t>ESD</t>
  </si>
  <si>
    <t>4 kV HBM, USB pins 3 kV (datasheet)</t>
  </si>
  <si>
    <t>protected by U101 at J101</t>
  </si>
  <si>
    <t>SMD5032-2P</t>
  </si>
  <si>
    <t>Load capacitance / ESR</t>
  </si>
  <si>
    <t>CL 20 pF, ESR 80 Ω max, ±10 ppm, ±20 ppm stab. (datasheet listing)</t>
  </si>
  <si>
    <t>C201=C202=33 pF → 16.5 pF + ≈ 3.5 pF stray = 20 pF (worst-case calculation: /assumption stray)</t>
  </si>
  <si>
    <t>Drive level and the CH32V307 HSE gm margin not verified; -40…85 °C; LCSC stock 37,260</t>
  </si>
  <si>
    <t>Voltage rating</t>
  </si>
  <si>
    <t>50 V (datasheet, MPN code)</t>
  </si>
  <si>
    <t>3.37 V</t>
  </si>
  <si>
    <t>46.6 V</t>
  </si>
  <si>
    <t>C0G/X7R/X5R per MPN</t>
  </si>
  <si>
    <t>1.80 V</t>
  </si>
  <si>
    <t>48.2 V</t>
  </si>
  <si>
    <t>C203-C210, C212, C213-C216, C217-C219, C305-C309, C616</t>
  </si>
  <si>
    <t>16 V (datasheet, MPN code)</t>
  </si>
  <si>
    <t>12.6 V</t>
  </si>
  <si>
    <t>C216</t>
  </si>
  <si>
    <t>https://product.samsungsem.com/mlcc/ (MPN code: size/dielectric/value/tolerance/voltage)</t>
  </si>
  <si>
    <t>C221, C220, C502, C504, C302, C311, C312</t>
  </si>
  <si>
    <t>C504</t>
  </si>
  <si>
    <t>0402 (T 0.50 mm)</t>
  </si>
  <si>
    <t>Voltage rating / effective C</t>
  </si>
  <si>
    <t>6.3 V (datasheet)</t>
  </si>
  <si>
    <t>3.37 V; C_eff 0.71 µF (worst-case calculation)</t>
  </si>
  <si>
    <t>2.9 V</t>
  </si>
  <si>
    <t>Bias factor 0.45 (assumption); bulk only (attach charge counts nominal C)</t>
  </si>
  <si>
    <t>https://product.samsungsem.com/mlcc/CL05A225MQ5NSN.do</t>
  </si>
  <si>
    <t>QFN-32</t>
  </si>
  <si>
    <t>Availability</t>
  </si>
  <si>
    <t>LCSC stock 980 (listing)</t>
  </si>
  <si>
    <t>AVAIL</t>
  </si>
  <si>
    <t>Pre-order into the JLCPCB private library before ordering (see the Ordering plan sheet)</t>
  </si>
  <si>
    <t>https://www.lcsc.com/product-detail/C18208899.html</t>
  </si>
  <si>
    <t>FB202, FB301</t>
  </si>
  <si>
    <t>Current / DCR</t>
  </si>
  <si>
    <t>200 mA, 0.45 Ω (datasheet listing)</t>
  </si>
  <si>
    <t>≤ 25 mA (CPLD branch), 14.2 mA (DVCC)</t>
  </si>
  <si>
    <t>87 %</t>
  </si>
  <si>
    <t>Drop ≤ 11 mV</t>
  </si>
  <si>
    <t>R214, R201, R202</t>
  </si>
  <si>
    <t>62.5 mW (datasheet)</t>
  </si>
  <si>
    <t>1.13 mW (worst-case calculation)</t>
  </si>
  <si>
    <t>98 %</t>
  </si>
  <si>
    <t>R214</t>
  </si>
  <si>
    <t>R203-R206, R210, R211, R224, R225</t>
  </si>
  <si>
    <t>13.60 mW (worst-case calculation)</t>
  </si>
  <si>
    <t>78 %</t>
  </si>
  <si>
    <t>QFN-28 5 × 5 + EP (EP = DGND)</t>
  </si>
  <si>
    <t>AVCC_L/R, VCCA, DVCC</t>
  </si>
  <si>
    <t>+4.7 V abs max; 3.3 V ±5 % (3.135-3.465 V) (datasheet)</t>
  </si>
  <si>
    <t>3.234-3.366 V (datasheet LDO ±2 %)</t>
  </si>
  <si>
    <t>0.10 V to ROC max</t>
  </si>
  <si>
    <t>Parts list line (datasheet link there)</t>
  </si>
  <si>
    <t>QFN-28</t>
  </si>
  <si>
    <t>Operating ambient</t>
  </si>
  <si>
    <t>−20…+70 °C TA (datasheet operating range)</t>
  </si>
  <si>
    <t>50 °C room + local board rise</t>
  </si>
  <si>
    <t>20 °C minus local rise</t>
  </si>
  <si>
    <t>THIN</t>
  </si>
  <si>
    <t>Keep ≥ 15 mm from the heat sources U501, U504, U102 and U503; board temperature measured at bring-up (IR check)</t>
  </si>
  <si>
    <t>Digital inputs</t>
  </si>
  <si>
    <t>-0.3 V … DVCC+0.3 V (datasheet)</t>
  </si>
  <si>
    <t>RESETB/I²S/I²C high while 3V3D off = violation → firmware keeps them low (R308 1 kΩ limits to ≤ 3.3 mA)</t>
  </si>
  <si>
    <t>rule</t>
  </si>
  <si>
    <t>No injection rating given by ESS: keep the existing domain rules (step 18); ESD 2 kV HBM, MM 200 V (datasheet)</t>
  </si>
  <si>
    <t>LCSC 724 (listing)</t>
  </si>
  <si>
    <t>https://www.lcsc.com/product-detail/C2688377.html</t>
  </si>
  <si>
    <t>Pd / TJ</t>
  </si>
  <si>
    <t>TJ 125 °C ROC, RthJA 193.4 °C/W (datasheet)</t>
  </si>
  <si>
    <t>42 mW → TJ 58 °C (worst-case calculation)</t>
  </si>
  <si>
    <t>67 °C</t>
  </si>
  <si>
    <t>Load 17.5 mA + 0.87 mA (assumption)</t>
  </si>
  <si>
    <t>VIH ≥ 1.2 V, VIL ≤ 0.4 V, EN abs max 6 V (datasheet)</t>
  </si>
  <si>
    <t>2.94 V high (R307/R303 divider), 0 V low</t>
  </si>
  <si>
    <t>1.7 V</t>
  </si>
  <si>
    <t>R307 may be deleted with Q611</t>
  </si>
  <si>
    <t>Dropout at VBUS 4.40 V</t>
  </si>
  <si>
    <t>250 mV max at 250 mA (datasheet)</t>
  </si>
  <si>
    <t>≥ 0.9 V headroom (VIN ≥ 4.2 V after OVP/cable (assumption))</t>
  </si>
  <si>
    <t>&gt; 0.6 V</t>
  </si>
  <si>
    <t>125 mW (datasheet)</t>
  </si>
  <si>
    <t>0.18 mW at 9 mA (worst-case calculation)</t>
  </si>
  <si>
    <t>&gt; 99 %</t>
  </si>
  <si>
    <t>TCR ±200 ppm/°C for 1-10 Ω (datasheet); failed-output clamp current adds ≤ 4.4 mA transient</t>
  </si>
  <si>
    <t>SOIC-8 (D)</t>
  </si>
  <si>
    <t>Supply</t>
  </si>
  <si>
    <t>4.5-36 V ROC, 40 V abs max (datasheet)</t>
  </si>
  <si>
    <t>7.41-7.84 V</t>
  </si>
  <si>
    <t>&gt;2.9 V</t>
  </si>
  <si>
    <t>MSL 2-260C-1 year (datasheet orderable addendum)</t>
  </si>
  <si>
    <t>https://www.ti.com/lit/ds/symlink/opa2210.pdf</t>
  </si>
  <si>
    <t>Input common mode (+IN = VREF)</t>
  </si>
  <si>
    <t>(V-)+1.5 … (V+)-1.5 V (datasheet)</t>
  </si>
  <si>
    <t>VREF ≤ 1.754 V vs upper limit 2.289 V</t>
  </si>
  <si>
    <t>0.535 V</t>
  </si>
  <si>
    <t>TJ 150 °C abs, 125 °C specified; RthJA 126.1 °C/W (datasheet)</t>
  </si>
  <si>
    <t>58 mW → TJ 57 °C (worst-case calculation)</t>
  </si>
  <si>
    <t>68 °C</t>
  </si>
  <si>
    <t>Input current (DAC-pin fault)</t>
  </si>
  <si>
    <t>10 mA (datasheet absolute maximum)</t>
  </si>
  <si>
    <t>≤ 4.4 mA</t>
  </si>
  <si>
    <t>56 %</t>
  </si>
  <si>
    <t>VSON-10 3 × 3 + EP (EP = V-)</t>
  </si>
  <si>
    <t>4-36 V ROC, 40 V abs max (datasheet)</t>
  </si>
  <si>
    <t>7.84 V</t>
  </si>
  <si>
    <t>&gt;3.8 V</t>
  </si>
  <si>
    <t>MSL 1-260C-UNLIM (datasheet); LCSC stock 1,400</t>
  </si>
  <si>
    <t>https://www.ti.com/lit/ds/symlink/opa1622.pdf</t>
  </si>
  <si>
    <t>VSON-10</t>
  </si>
  <si>
    <t>Pd / TJ (one amplifier shorted, 4.4-to-3.5 adapter)</t>
  </si>
  <si>
    <t>TJ 125 °C specified; RthJA 47.6 °C/W (datasheet)</t>
  </si>
  <si>
    <t>0.45 W → TJ 71 °C (worst-case calculation: power)</t>
  </si>
  <si>
    <t>54 °C</t>
  </si>
  <si>
    <t>Both amplifiers of one package shorted (4.4 mm plug leg+ to leg-) is outside TI's one-amplifier short rating → survival test (measured at bring-up)</t>
  </si>
  <si>
    <t>EN pin voltage</t>
  </si>
  <si>
    <t>(V-)-0.5 … (V+)+0.5 V, input current ±10 mA (datasheet)</t>
  </si>
  <si>
    <t>AMP_EN 3.3 V while rails are off = violation; R618 10 kΩ limits to ≤ 0.33 mA</t>
  </si>
  <si>
    <t>Firmware: AMP_EN low whenever VPOS/VNEG are not good (Q609 deleted in v0.9)</t>
  </si>
  <si>
    <t>1 A rated, &lt; 50 mΩ (datasheet)</t>
  </si>
  <si>
    <t>≤ ≈ 0.2 A (OPA1622 short-circuit current +145/-130 mA typ (typical only))</t>
  </si>
  <si>
    <t>80 %</t>
  </si>
  <si>
    <t>Adds ≤ 50 mΩ to Zout (0.5 Ω target)</t>
  </si>
  <si>
    <t>C413-C416, C510, C511</t>
  </si>
  <si>
    <t>Voltage / effective C</t>
  </si>
  <si>
    <t>25 V (datasheet, MPN code); LM27762 COUT ≥ 2.2 µF (datasheet)</t>
  </si>
  <si>
    <t>4.01 V; C_eff 5.3 µF (worst-case calculation)</t>
  </si>
  <si>
    <t>+3.1 µF</t>
  </si>
  <si>
    <t>Bias factor 0.65 (assumption)</t>
  </si>
  <si>
    <t>C501, C503, C505, C506</t>
  </si>
  <si>
    <t>50 V (datasheet)</t>
  </si>
  <si>
    <t>5.5 V; C_eff 0.71 µF (worst-case calculation)</t>
  </si>
  <si>
    <t>44 V</t>
  </si>
  <si>
    <t>C503 deleted in v0.7 (C501 serves U502 and U504); C505 is the TPS2596 input capacitor (0.1 µF recommended by TI)</t>
  </si>
  <si>
    <t>C503</t>
  </si>
  <si>
    <t>2 A, 50 mΩ (datasheet listing)</t>
  </si>
  <si>
    <t>≤ 0.50 A (High limit max) → 25 mV</t>
  </si>
  <si>
    <t>75 %</t>
  </si>
  <si>
    <t>-55…125 °C</t>
  </si>
  <si>
    <t>WSON-12</t>
  </si>
  <si>
    <t>TJ 125 °C ROC; RthJA 62.2 °C/W (datasheet)</t>
  </si>
  <si>
    <t>0.46 W at 5.5 V → TJ 79 °C (worst-case calculation)</t>
  </si>
  <si>
    <t>46 °C</t>
  </si>
  <si>
    <t>Exposed pad + ≥ 5 vias + pour (layout package); MSL 1-260C-UNLIM (datasheet)</t>
  </si>
  <si>
    <t>Output current per rail</t>
  </si>
  <si>
    <t>250 mA operating, 300 mA abs (datasheet)</t>
  </si>
  <si>
    <t>≤ 190 mA peak (2 × 80 mA + quiescent) (worst-case calculation: from)</t>
  </si>
  <si>
    <t>24 %</t>
  </si>
  <si>
    <t>C507, C509</t>
  </si>
  <si>
    <t>CIN / CCP effective C</t>
  </si>
  <si>
    <t>≥ 2 µF after DC bias (datasheet); 25 V</t>
  </si>
  <si>
    <t>4.5 µF at 5.5 V (worst-case calculation)</t>
  </si>
  <si>
    <t>+2.5 µF</t>
  </si>
  <si>
    <t>Flying cap effective C</t>
  </si>
  <si>
    <t>0.47-1 µF, 10 V recommended (datasheet)</t>
  </si>
  <si>
    <t>0.71 µF at ≈ 5.5 V (worst-case calculation)</t>
  </si>
  <si>
    <t>in range</t>
  </si>
  <si>
    <t>Voltage</t>
  </si>
  <si>
    <t>25 V (datasheet)</t>
  </si>
  <si>
    <t>21 V</t>
  </si>
  <si>
    <t>Forward current</t>
  </si>
  <si>
    <t>2.6-3.1 V at 5 mA; 100/40 mW (datasheet listing)</t>
  </si>
  <si>
    <t>≤ 1 mA (3.3 V GPIO through R701 1 kΩ / R702 2.2 kΩ)</t>
  </si>
  <si>
    <t>&gt; 90 %</t>
  </si>
  <si>
    <t>MSL 3 (JLCPCB page); Basic</t>
  </si>
  <si>
    <t>https://jlcpcb.com/partdetail/C2297</t>
  </si>
  <si>
    <t>1.8-2.4 V at 20 mA; 100/40 mW (datasheet listing)</t>
  </si>
  <si>
    <t>https://jlcpcb.com/partdetail/C2286</t>
  </si>
  <si>
    <t>R701, R702, R421</t>
  </si>
  <si>
    <t>≤ 2.5 mW (R701 with a 1.8 V LED drop)</t>
  </si>
  <si>
    <t>&gt; 95 %</t>
  </si>
  <si>
    <t>LED current ≤ 1.6 mA</t>
  </si>
  <si>
    <t>R421</t>
  </si>
  <si>
    <t>C101 (DNF)</t>
  </si>
  <si>
    <t>shell to GND: ESD only</t>
  </si>
  <si>
    <t>J703 (DNF)</t>
  </si>
  <si>
    <t>Generic 1 × 6 2.54 mm header</t>
  </si>
  <si>
    <t>THT 2.54 mm</t>
  </si>
  <si>
    <t>Fit</t>
  </si>
  <si>
    <t>DNF (no JLCPCB assembly)</t>
  </si>
  <si>
    <t>Only footprint; if fitted by hand it is a second THT part (not assembled by JLCPCB)</t>
  </si>
  <si>
    <t>USB-C 16P SMT + 4 THT shell stakes (0.95 mm)</t>
  </si>
  <si>
    <t>VBUS / contact voltage</t>
  </si>
  <si>
    <t>48 V DC (GCT datasheet)</t>
  </si>
  <si>
    <t>5.50 V steady; hot-plug ring ≤ ≈ 11 V (assumption)</t>
  </si>
  <si>
    <t>&gt; 37 V</t>
  </si>
  <si>
    <t>https://gct.co/connector/usb4105; https://jlcpcb.com/partdetail/3542626-USB4105_GFA/C3020560</t>
  </si>
  <si>
    <t>USB-C 16P</t>
  </si>
  <si>
    <t>Contact current</t>
  </si>
  <si>
    <t>VBUS pins 5.00 A, GND pins 6.25 A (collectively), B5 1.25 A, others 0.25 A per pin; 40 mΩ max initial (GCT datasheet)</t>
  </si>
  <si>
    <t>≤ 1.077 A (TPS25200 IOS max with R108 100 k); CC ≤ 1.1 mA (CC shorted to VBUS through Rd)</t>
  </si>
  <si>
    <t>≥ 3.7 A</t>
  </si>
  <si>
    <t>Contact drop ≤ 2 × 40 mΩ x 0.8 A = 64 mV at the High-mode corner (worst-case calculation)</t>
  </si>
  <si>
    <t>Temperature / availability</t>
  </si>
  <si>
    <t>-40…85 °C (GCT datasheet)</t>
  </si>
  <si>
    <t>50 °C ambient + connector self-heating (≤ 64 mV × 0.8 A = 51 mW)</t>
  </si>
  <si>
    <t>&gt; 30 °C</t>
  </si>
  <si>
    <t>LCSC C3020560 out of stock (14 Sep 2026) → JLCPCB global sourcing (DigiKey 127,933 on 24 Sep 2026)</t>
  </si>
  <si>
    <t>SOT-5X3 (DRL) 1.6 × 1.2 mm</t>
  </si>
  <si>
    <t>CC line voltage</t>
  </si>
  <si>
    <t>VRWM 5.5 V (IIO &lt; 10 µA), VBR ≥ 6.5 V (datasheet)</t>
  </si>
  <si>
    <t>normal ≤ 2.2 V (vRd); fault: CC shorted to VBUS by a cable = 5.50 V</t>
  </si>
  <si>
    <t>fault case at VRWM, 1.0 V below VBR min</t>
  </si>
  <si>
    <t>Leakage ≤ 10 nA at 2.5 V (datasheet); no conduction below VBR; fault-only condition</t>
  </si>
  <si>
    <t>https://www.ti.com/lit/ds/symlink/tpd2e2u06.pdf (SLLSEG9C)</t>
  </si>
  <si>
    <t>DRL</t>
  </si>
  <si>
    <t>Line capacitance / surge</t>
  </si>
  <si>
    <t>CL 1.5 typ / 1.9 max pF; IPP 5.5 A (8/20 µs); PPP 85 W; IEC 61000-4-2 ±25 kV contact (datasheet)</t>
  </si>
  <si>
    <t>cReceiver budget 200-600 pF (USB-C sink)</t>
  </si>
  <si>
    <t>&gt; 190 pF</t>
  </si>
  <si>
    <t>MSL 1-260C-UNLIM (TI addendum); place at J101 CC pads</t>
  </si>
  <si>
    <t>HSOIC-8 PowerPAD (DDA) 4.91 × 3.9 mm, EP = GND</t>
  </si>
  <si>
    <t>IN / OUT voltage</t>
  </si>
  <si>
    <t>IN 21 V abs, 2.7-19 V ROC; OUT ≤ min(21, VIN + 0.3) V (datasheet)</t>
  </si>
  <si>
    <t>≤ 5.55 V (TPS25200 clamp)</t>
  </si>
  <si>
    <t>&gt; 13 V</t>
  </si>
  <si>
    <t>https://www.ti.com/lit/ds/symlink/tps2596.pdf (SLVSET8A); https://jlcpcb.com/partdetail/TexasInstruments-TPS259621DDAR/C2155774</t>
  </si>
  <si>
    <t>DDA</t>
  </si>
  <si>
    <t>EN/UVLO, FLT, OVCSEL</t>
  </si>
  <si>
    <t>EN, FLT abs 7 V (datasheet); OVCSEL open → 13.8 V clamp option (inactive at 5.55 V) (datasheet)</t>
  </si>
  <si>
    <t>ANA_EN ≤ 3.37 V; FLT pull-up to 3V3M; OVCSEL open (: TPS25200 is the only OV element)</t>
  </si>
  <si>
    <t>&gt; 3.6 V</t>
  </si>
  <si>
    <t>Pd / TJ normal (High limit)</t>
  </si>
  <si>
    <t>TJ 125 °C; RthJA 52.7 °C/W with EP soldered (119.8 without); RON 131 mΩ max (datasheet)</t>
  </si>
  <si>
    <t>31 mW at 0.483 A (High IOS max, headline) → TJ 52 °C (worst-case calculation)</t>
  </si>
  <si>
    <t>73 °C</t>
  </si>
  <si>
    <t>Into a short: up to 5.55 V × 0.483 A = 2.7 W until OTP (157 °C typ) with 95 ms auto-retry → keep ≥ 15 mm from U301/U202 and the protection comparators U603/U605/U606/U609-U620; X-ray the EP (voids raise RthJA)</t>
  </si>
  <si>
    <t>MSL / availability</t>
  </si>
  <si>
    <t>MSL 2-260C-1 YEAR, Sn (TI)</t>
  </si>
  <si>
    <t>JLCPCB 656 available (17 Sep 2026), DigiKey 1,377, LCSC 828 (Apr 2026)</t>
  </si>
  <si>
    <t>JLCPCB Extended, "Economic and Standard"</t>
  </si>
  <si>
    <t>VDD / SEL / S-D voltage</t>
  </si>
  <si>
    <t>VDD 1.08-5.5 V ROC, 6 V abs; SEL 6 V abs (fail-safe); VS/VD -0.5…VDD+0.5 V (datasheet)</t>
  </si>
  <si>
    <t>VDD = 3V3M ≤ 3.37 V; ILIM_HI ≤ 3.37 V; ILM node ≤ ≈ 0.6 V at the limit (worst-case calculation: 903 Ω*A × 0.653 mA/A); TPS2596 off whenever 3V3M is absent (ANA_EN low)</t>
  </si>
  <si>
    <t>&gt; 2 V</t>
  </si>
  <si>
    <t>https://www.ti.com/lit/ds/symlink/tmux1101.pdf (SCDS410D); https://jlcpcb.com/partdetail/TexasInstruments-TMUX1101DBVR/C1852057</t>
  </si>
  <si>
    <t>DBV</t>
  </si>
  <si>
    <t>Switch current / Ron / leakage</t>
  </si>
  <si>
    <t>IDC 120 mA (Tj 85 °C); RON ≤ 9.5 Ω (3.3 V, -40…85 °C); IS(OFF) ≤ 0.3 nA (85 °C) (datasheet)</t>
  </si>
  <si>
    <t>≤ 0.4 mA ILM current; Ron in series with R510 3.83 k (includes 0…9.5 Ω)</t>
  </si>
  <si>
    <t>MSL 1-260C-UNLIM; DigiKey 2,865, Mouser 9,098 (Sep 2026); JLCPCB Economic and Standard; DBV package confirmed (D → R510, S → GND, SEL = ILIM_HI, VDD = 3V3M + C515)</t>
  </si>
  <si>
    <t>VIN / VOUT window</t>
  </si>
  <si>
    <t>VIN 6.0 V ROC, 6.5 V abs; ESS DVDD 1.235-1.365 V (datasheet)</t>
  </si>
  <si>
    <t>VIN ≤ 3.366 V; VOUT 1.272-1.325 V incl. line/load with R533 15.0 k / R534 11.0 k 0.1 % (RT0603BRD)</t>
  </si>
  <si>
    <t>+37 mV / +40 mV to the ESS window</t>
  </si>
  <si>
    <t>Dropout 1.92 V ≫ 0.40 V max (worst-case calculation)</t>
  </si>
  <si>
    <t>https://www.ti.com/lit/ds/symlink/tlv758p.pdf (SBVS351D)</t>
  </si>
  <si>
    <t>TJ 125 °C ROC; RthJA 176.9 °C/W (datasheet)</t>
  </si>
  <si>
    <t>125 mW at 60 mA → TJ 72 °C (worst-case calculation)</t>
  </si>
  <si>
    <t>53 °C</t>
  </si>
  <si>
    <t>MSL 1-260C-UNLIM; LCSC 113,390 (24 Sep 2026)</t>
  </si>
  <si>
    <t>TLV758P COUT effective</t>
  </si>
  <si>
    <t>≥ 0.47 µF derated (datasheet)</t>
  </si>
  <si>
    <t>1.70 µF at 1.32 V (worst-case calculation: -10 % tol, bias 0.95 assumption, -5 % temp, -5 % ageing)</t>
  </si>
  <si>
    <t>+1.23 µF</t>
  </si>
  <si>
    <t>DIP6 LF1 SMD gull wing (11-7A801S), 7.12 × 10.0 × 3.65 mm, TP1 = tape 1,500</t>
  </si>
  <si>
    <t>OFF-state voltage</t>
  </si>
  <si>
    <t>VOFF 60 V (datasheet)</t>
  </si>
  <si>
    <t>≤ 7.70 V across an open switch (leg at +VPOS, jack pulled to -VNEG through a miswired plug)</t>
  </si>
  <si>
    <t>&gt; 52 V</t>
  </si>
  <si>
    <t>Pin 3: solder pad, no trace (isolation test groups 1-2-3 vs 4-5-6); pin 5: solder pad, no trace (A connection 4-6)</t>
  </si>
  <si>
    <t>https://toshiba.semicon-storage.com/info/TLP3545A_datasheet_en_20230526.pdf?did=60318&amp;prodName=TLP3545A; https://www.digikey.com/en/products/detail/toshiba-semiconductor-and-storage/TLP3545A-TP1-F/8539920</t>
  </si>
  <si>
    <t>DIP6 LF1</t>
  </si>
  <si>
    <t>ON-state current / power</t>
  </si>
  <si>
    <t>ION 4 A (A conn.), -40 mA/C above 25 °C → 3.0 A at 50 °C; PO 700 mW, -7 mW/C → 525 mW at 50 °C (datasheet)</t>
  </si>
  <si>
    <t>≤ 0.3 A (leg short-circuit bound (assumption)) → 0.3^2 × 0.09 Ω = 8 mW</t>
  </si>
  <si>
    <t>RON 60 mΩ max at 25 °C, IF 5 mA; hot RON ≈ 0.09 Ω (assumption ×1.5)</t>
  </si>
  <si>
    <t>LED forward current / power</t>
  </si>
  <si>
    <t>IF 30 mA abs, -0.3 mA/C → 22.5 mA at 50 °C; PD 50 mW, -0.5 mW/C → 37.5 mW at 50 °C; VR 6 V (datasheet)</t>
  </si>
  <si>
    <t>≤ 7.14 mA (limiter max); 1.80 V × 7.14 mA = 12.9 mW; LED reverse 0 V</t>
  </si>
  <si>
    <t>&gt; 15 mA</t>
  </si>
  <si>
    <t>LED current ≥ 5.0 mA at 5V_SYS 4.30 V (current sink)</t>
  </si>
  <si>
    <t>IF ≥ 5 mA (datasheet); IF abs 30 mA (19.5 mA at 60 °C); PD 50 mW (32.5 mW at 60 °C) (datasheet)</t>
  </si>
  <si>
    <t>U604 OPA2333 + Q612/Q614 sink with R_S 24.9 Ω 0.1 %: IF ≈ 5.26 mA minimum (RELAY_EN ≥ 2.81 V at the 3.207 V 3V3M minimum) to 6.60 mA maximum, independent of 5V_SYS and VF while Q612 is active (regulates down to 5V_SYS 4.17 V at 0 °C, VF max)</t>
  </si>
  <si>
    <t>+5 % over 5.0 mA; Q612 VCE ≥ 0.426 V at 4.30 V</t>
  </si>
  <si>
    <t>Supply ≤ 13.62 mA incl. 3V3M 0.42 mA (budget 15.32 mA)</t>
  </si>
  <si>
    <t>Supply / inputs / output</t>
  </si>
  <si>
    <t>VS 1.8–5.5 V, 7 V abs; RRIO; output current 5 mA (datasheet/JLCPCB listing)</t>
  </si>
  <si>
    <t>V+ = 3V3D ≤ 3.366 V (C622 at the pin; R664 retired); +IN ≤ 164 mV (from RELAY_EN via R662/R663); −IN 0…V+; output ≤ 0.54 mA</t>
  </si>
  <si>
    <t>JLCPCB Extended, "Economic and Standard", MSL 1; LCSC 5,082 (25 Sep 2026); figures from the listing; netlist pinout = standard dual (checked)</t>
  </si>
  <si>
    <t>https://jlcpcb.com/partdetail/TexasInstruments-OPA2333AIDR/C38732; https://www.ti.com/lit/ds/symlink/opa2333.pdf (SBOS351E)</t>
  </si>
  <si>
    <t>Samsung CL10A105KB8NNNC (1.0 µF 50 V X5R)</t>
  </si>
  <si>
    <t>Voltage / polarity</t>
  </si>
  <si>
    <t>50 V rating; class II, non-polar</t>
  </si>
  <si>
    <t>-3.83…+4.01 V (node H)</t>
  </si>
  <si>
    <t>&gt; 45 V</t>
  </si>
  <si>
    <t>DC-bias effect small at 4 V on a 50 V part; R647 = 100 k (power 0.16 mW)</t>
  </si>
  <si>
    <t>Reflow / MSL / availability</t>
  </si>
  <si>
    <t>Tsol 260 °C (10 s), reflow once or twice, all passes within 2 weeks (datasheet §8, §17); MSL 1 (DigiKey)</t>
  </si>
  <si>
    <t>JLCPCB Standard PCBA 240 ± 5 °C, top side = one pass; DigiKey 28,529 on the TP1 page (18 Sep 2026)</t>
  </si>
  <si>
    <t>≥ 15 °C</t>
  </si>
  <si>
    <t>Land: Toshiba 11-7A801S reference land (JEITA ET-7501 L3, CAD download) - numbers not machine-readable; see layout package footprint check</t>
  </si>
  <si>
    <t>SOT23 (TO-236AB)</t>
  </si>
  <si>
    <t>Reverse voltage / fault current / power</t>
  </si>
  <si>
    <t>VR 30 V; IF 200 mA; IFRM 300 mA; IFSM 600 mA (&lt;10 ms); Ptot 250 mW (25 °C), Rth(j-a) 500 K/W → 200 mW at 50 °C (datasheet/worst-case calculation)</t>
  </si>
  <si>
    <t>≤ 3.37 V reverse; fault ≤ 65 mA (OPA2210 short-circuit) x 0.5 V = 33 mW</t>
  </si>
  <si>
    <t>&gt; 80 %</t>
  </si>
  <si>
    <t>MSL 1; JLCPCB 230,448 available; VF 240/320/400/500/800 mV max at 0.1/1/10/30/100 mA (datasheet)</t>
  </si>
  <si>
    <t>https://assets.nexperia.com/documents/data-sheet/BAT54S.pdf; https://jlcpcb.com/partdetail/Nexperia-BAT54S215/C47546</t>
  </si>
  <si>
    <t>SOT23</t>
  </si>
  <si>
    <t>Reverse leakage at ≈ 1.7 V, 50 °C</t>
  </si>
  <si>
    <t>Only IR ≤ 2 µA at 25 V, 25 °C (datasheet); temperature curves typical only</t>
  </si>
  <si>
    <t>I/V-output node: leakage adds to the DAC-pin budget</t>
  </si>
  <si>
    <t>DATA-GAP</t>
  </si>
  <si>
    <t>Measured at bring-up: leakage at 50 °C on samples</t>
  </si>
  <si>
    <t>Polarity / stand-off vs jack swing</t>
  </si>
  <si>
    <t>Bidirectional, VRWM 5 V, IR 1 µA, VBR ≥ 6 V (datasheet listing GOODWORK/DigiKey); LRC original VBR 7.8 V (JLCPCB listing)</t>
  </si>
  <si>
    <t>±3.915 V (legs through the closed switch)</t>
  </si>
  <si>
    <t>+1.08 V</t>
  </si>
  <si>
    <t>GOODWORK PDF itself not read (LCSC link wrapper) - parameters from the LCSC/DigiKey/JLCPCB listings; LCSC 13,650 (25 Sep 2026); approved alternate LRC LESD5D5.0CT1G C383211 (order by C number)</t>
  </si>
  <si>
    <t>https://www.lcsc.com/product-detail/C41399463.html; https://jlcpcb.com/partdetail/Lrc-LESD5D50CT1G/C383211</t>
  </si>
  <si>
    <t>Clamp / capacitance</t>
  </si>
  <si>
    <t>VC 16 V at 7 A (10/1000 µs), 100 W (datasheet listing); LRC: 18.6 V at 9.4 A (8/20 µs); C 12 pF (GOODWORK) / 15 pF (LRC)</t>
  </si>
  <si>
    <t>ESD at the jack contacts; C on the jack node driven through ≤ 0.1 Ω</t>
  </si>
  <si>
    <t>LRC MSL 3 per JLCPCB (bake if exposed); nonlinear C effect on THD negligible at ≤ 0.1 Ω source (assumption)</t>
  </si>
  <si>
    <t>2.5 × 2.0 × 0.8 mm 4-pad (KC2520K)</t>
  </si>
  <si>
    <t>Supply / current</t>
  </si>
  <si>
    <t>VCC 2.8-3.63 V (code 3), 4.0 V abs; ICC 8.0 mA max at 62.5-80 MHz, maximum load (15 pF) and full temperature range; I_std 5 µA (datasheet)</t>
  </si>
  <si>
    <t>3V3D 3.234-3.366 V; 8.0 mA + R227 0.17 mA = 8.17 mA = the -revised 3V3D budget line 8.2 mA</t>
  </si>
  <si>
    <t>+0.03 mA vs budget; rating limit only at 3.63 V</t>
  </si>
  <si>
    <t>X201 adopted 25 Sep 2026; C217 = 10 nF at the VCC pad</t>
  </si>
  <si>
    <t>https://www.mouser.com/datasheet/2/909/clock_k_e-1368023.pdf; https://www.digikey.com/en/products/detail/kyocera-avx/KC2520K80-0000C1GE00/5322496</t>
  </si>
  <si>
    <t>KC2520K</t>
  </si>
  <si>
    <t>INH levels and timing</t>
  </si>
  <si>
    <t>VIH ≥ 70 % VCC, VIL ≤ 30 % VCC; t_dis ≤ 200 ns; t_ena ≤ 3 ms; t_str ≤ 3 ms (datasheet)</t>
  </si>
  <si>
    <t>U206 74LVC1G11 on 3V3D drives INH (VOH ≥ VCC-0.1 V at ≤ 100 µA; adds R235 100 k + R645 1 k to the Q616 gate + PB1 on this node, see U206 row); digital mclk_gate_race margin for t_dis 4.8 µs (firmware error case)</t>
  </si>
  <si>
    <t>4.6 µs</t>
  </si>
  <si>
    <t>Waveform vs ES9018K2M MCLK</t>
  </si>
  <si>
    <t>SYM 45-55 %; tr/tf ≤ 4.5 ns (10-90 %, 3.3 V); VOH ≥ 90 %, VOL ≤ 10 % VCC (8 mA); load ≤ 15 pF (datasheet)</t>
  </si>
  <si>
    <t>80 MHz: 80/0.384 = 208.3 &gt; 192 (+8.5 %); period 12.5 ns, high/low ≥ 5.63 ns ≥ 4.5 ns; load R203 + XI + ≈ 10 mm trace ≈ 5-8 pF (assumption)</t>
  </si>
  <si>
    <t>rise 4.5 ns &lt; 5.63 ns half period</t>
  </si>
  <si>
    <t>Measured at bring-up: XI waveform at U301 through R203 at bring-up</t>
  </si>
  <si>
    <t>Jitter / phase noise</t>
  </si>
  <si>
    <t>Phase jitter 1.0 ps max (12 kHz-20 MHz); phase noise -143 dBc/Hz at 1 kHz, -157 at 10 kHz, -160 at 100 kHz listed at 25 MHz (datasheet)</t>
  </si>
  <si>
    <t>jitter-limited SNR at 20 kHz = 138 dB (worst-case calculation) vs DNR ≥ 115 dB</t>
  </si>
  <si>
    <t>23 dB</t>
  </si>
  <si>
    <t>At 80 MHz close-in phase noise ≈ 10 dB higher than the 25 MHz listing (assumption 20log(80/25)); DNR/THD+N (measured at bring-up)</t>
  </si>
  <si>
    <t>MSL 1 (DigiKey); reflow 260 °C × 2 (Kyocera soldering sheet not re-read)</t>
  </si>
  <si>
    <t>Standard PCBA 240 ± 5 °C; DigiKey 2,964 (5 Aug 2026); Mouser 1,375 + 10,000 on order (18 Sep 2026); 32-week factory lead</t>
  </si>
  <si>
    <t>Buy now through JLCPCB global sourcing (5 boards + attrition; see the Ordering plan sheet)</t>
  </si>
  <si>
    <t>X201 (second source)</t>
  </si>
  <si>
    <t>NDK NSC5338D-80M (NZ2520SH-80.000M-NSC5004D)</t>
  </si>
  <si>
    <t>2.5 × 2.0 × 0.9 mm</t>
  </si>
  <si>
    <t>Current / data completeness</t>
  </si>
  <si>
    <t>ICC 9.0 mA max (3.3 V, 70-80 MHz, +25 °C only, load not stated); I_ST 20 µA (+25 °C) (datasheet)</t>
  </si>
  <si>
    <t>Budget 12.7 mA (9.0 mA + C × V × f with 15 pF + R227)</t>
  </si>
  <si>
    <t>Conditional second source: bring-up checks of disable time and edges; no R509 change; ±50 ppm −40…105 °C, SYM 45–55 %, tr/tf 5 ns, start-up 4 ms, AEC-Q100/Q200, MSL 1; DigiKey 974 (Jul 2026)</t>
  </si>
  <si>
    <t>https://www.ndk.com/en/products/lineup/crystal-oscillator/NZ2520SH.html; https://www.digikey.com/en/products/detail/ndk-nihon-dempa-kogyo-co-ltd/NSC5338D-80M/22209279</t>
  </si>
  <si>
    <t>Output loading on N2_MCLK_OE</t>
  </si>
  <si>
    <t>VOH ≥ VCC-0.1 V at IO -100 µA; ≥ 2.3 V at -24 mA (VCC 3.0 V); IO ±50 mA abs (datasheet Table 5/7)</t>
  </si>
  <si>
    <t>DC 35 µA (R235 100 k + PB1 leakage 1 µA + Q616 gate leakage 0.1 µA); edge current into the Q616 gate through R645 1 k ≤ 3.4 mA for ≈ 1 µs (1 k x ≈ 1 nF)</t>
  </si>
  <si>
    <t>VOH ≥ 3.13 V vs X201 VIH 2.36 V</t>
  </si>
  <si>
    <t>Q616 gate from N2_MCLK_OE via R645 → every MCLK stop opens the output switch; R645 placed at U206 so the X201 pin-1 node stays short</t>
  </si>
  <si>
    <t>10 nF X7R 50 V 0402 (MPN per the BOM line; e.g. Samsung CL05B103KB5NNNC C15195)</t>
  </si>
  <si>
    <t>3.37 V (3V3D)</t>
  </si>
  <si>
    <t>&gt; 46 V</t>
  </si>
  <si>
    <t>X201 VCC bypass 0.01 µF at the pad per (Kyocera/Epson/NDK recommend ≈ 0.01 µF)</t>
  </si>
  <si>
    <t>X202, X203</t>
  </si>
  <si>
    <t>NDK NZ2520SDA 49.152/45.1584 MHz NSC5083D</t>
  </si>
  <si>
    <t>2.5 × 2.0 mm</t>
  </si>
  <si>
    <t>Supply current</t>
  </si>
  <si>
    <t>15 mA max operating, 35 µA stand-by - both +25 °C only (datasheet)</t>
  </si>
  <si>
    <t>Budget: one running 15 mA + the other 0.035 mA (stand-by)</t>
  </si>
  <si>
    <t>Symmetry 40-60 % (CPLD divides), tr/tf 6 ns, start-up 4 ms, MSL 1; DigiKey 3,438 / 3,166 (Sep 2026)</t>
  </si>
  <si>
    <t>VIN (5V_ANA_F)</t>
  </si>
  <si>
    <t>5.8 V abs; 2.7-5.5 V operating (datasheet)</t>
  </si>
  <si>
    <t>≤ 5.55 V (TPS25200 clamp; TPS2596 OVCSEL open)</t>
  </si>
  <si>
    <t>+0.25 V to abs; -0.05 V to ROC</t>
  </si>
  <si>
    <t>Above ROC only while the OVP clamps an over-voltage source</t>
  </si>
  <si>
    <t>VIN (5V_SYS)</t>
  </si>
  <si>
    <t>6.0 V abs; 5.5 V ROC (datasheet)</t>
  </si>
  <si>
    <t>≤ 5.55 V</t>
  </si>
  <si>
    <t>+0.45 V to abs; -0.05 V to ROC</t>
  </si>
  <si>
    <t>PB4 (RAILS_OK_N) with R532</t>
  </si>
  <si>
    <t>FT pin VSS-0.3…5.5 V abs (datasheet)</t>
  </si>
  <si>
    <t>5V_ANA_F ≤ 5.55 V × 470/(100+10+470) = 4.50 V (worst-case calculation)</t>
  </si>
  <si>
    <t>1.00 V</t>
  </si>
  <si>
    <t>Closes</t>
  </si>
  <si>
    <t>0603 16 V X5R</t>
  </si>
  <si>
    <t>LP5907 CIN effective</t>
  </si>
  <si>
    <t>≥ 0.7 µF over all conditions (datasheet LP5907 5.6)</t>
  </si>
  <si>
    <t>1.25 µF at 5.55 V (worst-case calculation: -10 %, bias 0.7 assumption, -5 % temp, -5 % ageing)</t>
  </si>
  <si>
    <t>+0.55 µF</t>
  </si>
  <si>
    <t>LP5907 COUT effective</t>
  </si>
  <si>
    <t>1.43 µF at 3.37 V (worst-case calculation: -10 %, bias 0.8 assumption, -5 % temp, -5 % ageing)</t>
  </si>
  <si>
    <t>+0.73 µF</t>
  </si>
  <si>
    <t>0805 25 V X5R</t>
  </si>
  <si>
    <t>DC-sense filter C range</t>
  </si>
  <si>
    <t>±10 % (datasheet, K tolerance)</t>
  </si>
  <si>
    <t>3.24-5.17 µF at ≤ 2.5 V (worst-case calculation: tol, -5 % temp, -5 % ageing, bias 0.85 assumption) = -31/+10 %</t>
  </si>
  <si>
    <t>the protection analysis used −28/+10 %</t>
  </si>
  <si>
    <t>Aged range analysed at the aged corner with the filter retune: no full-scale 20 Hz square-wave trip</t>
  </si>
  <si>
    <t>QFN-32 4 × 4 + EP</t>
  </si>
  <si>
    <t>Junction temperature</t>
  </si>
  <si>
    <t>-40…85 °C operating TJ (datasheet)</t>
  </si>
  <si>
    <t>≈ 56 °C (worst-case calculation: 40 mA × 3.37 V assumption, RthJA 45 °C/W assumption) + local board heating</t>
  </si>
  <si>
    <t>≈ 29 °C minus local rise</t>
  </si>
  <si>
    <t>≥ 15 mm from U503/U504/U501/U102 (layout package §7); IR scan at 50 °C (measured at bring-up)</t>
  </si>
  <si>
    <t>https://www.agm-micro.com/upload/userfiles/files/AGRV2K_Rev_3_0.pdf</t>
  </si>
  <si>
    <t>External DVDD (TLV75801)</t>
  </si>
  <si>
    <t>+1.8 V abs; 1.3 V ±5 % (1.235-1.365 V) (datasheet)</t>
  </si>
  <si>
    <t>1.272-1.325 V incl. line/load</t>
  </si>
  <si>
    <t>+37 mV</t>
  </si>
  <si>
    <t>DVDD ≤ DVCC in every ramp (TLV758P active discharge)</t>
  </si>
  <si>
    <t>LCSC 16 in stock (25 Sep 2026); DigiKey 0 (1,626 due 14 Dec 2026); Mouser 0 (9,922 due 23 Nov 2026); TI store behind login</t>
  </si>
  <si>
    <t>Buy now from LCSC stock (10 for 5 boards + attrition, no spares) into the JLCPCB library (see the Ordering plan sheet); no compliant pin-compatible alternative; backup TI.com (OPA2210IDR or OPA2210ID tube)</t>
  </si>
  <si>
    <t>https://www.lcsc.com/product-detail/C1849415.html; https://www.digikey.com/en/products/detail/texas-instruments/OPA2210IDR/10715389</t>
  </si>
  <si>
    <t>Q616, Q617, Q618</t>
  </si>
  <si>
    <t>AOS AO3400A / JSCJ 2N7002</t>
  </si>
  <si>
    <t>Gate voltage on node H</t>
  </si>
  <si>
    <t>VGS ±12 V (AO3400A), ±20 V (2N7002) (datasheet)</t>
  </si>
  <si>
    <t>-3.8…+4.0 V (N6_H)</t>
  </si>
  <si>
    <t>&gt; 8 V</t>
  </si>
  <si>
    <t>JLCPCB 4-layer JLC04161H-7628, 1.6 mm, ENIG, Standard PCBA top side</t>
  </si>
  <si>
    <t>100 × 80 mm + 2 × 5 mm rails = 100 × 90 mm panel</t>
  </si>
  <si>
    <t>Assembly limits</t>
  </si>
  <si>
    <t>Standard PCBA: reflow 240 ± 5 °C, min pitch 0.35 mm, min package 0201, single PCB ≥ 70 × 70 mm, rails + fiducials necessary (JLCPCB)</t>
  </si>
  <si>
    <t>finest pitch 0.4 mm (U202); smallest 0402; lowest part limit 250 °C (AQV251GA, excluded) / 255 °C (USB4105); panel 100 × 90 mm with rails</t>
  </si>
  <si>
    <t>+0.05 mm pitch; ≥ 10 °C reflow</t>
  </si>
  <si>
    <t>Board 100 × 80 mm (named alternative 100 × 70 mm), top-side assembly only</t>
  </si>
  <si>
    <t>https://jlcpcb.com/capabilities/pcb-assembly-capabilities (read 24 Sep 2026)</t>
  </si>
  <si>
    <t>SOD123F</t>
  </si>
  <si>
    <t>Reverse voltage / leakage / surge</t>
  </si>
  <si>
    <t>VR 20 V; IR max 50 µA at 5 V, 25 °C (typ 15); IFRM 7 A (1 ms); IFSM 9 A (8 µs); Ptot 375 mW; Tj 150 °C (datasheet)</t>
  </si>
  <si>
    <t>reverse only during hold-up: ≤ 3.9 V; IR at 50 °C ≈ 50 µA × 2^2.5 = 0.28 mA (assumption doubling per 10 K) vs 1 mA in the analog model; start-up charge current ≤ 206 mA (264 µF, 10 ms ramp) → ≈ 0.33 V × 0.21 A = 68 mW for ≤ 10 ms</t>
  </si>
  <si>
    <t>Cd 70 pF max (5 V) irrelevant on a supply path</t>
  </si>
  <si>
    <t>https://assets.nexperia.com/documents/data-sheet/PMEG2010AEH.pdf (v.5, 8 Oct 2024); https://www.lcsc.com/product-detail/C110921.html</t>
  </si>
  <si>
    <t>Nexperia SOD123F: reflow soldering per IPC/JEDEC J-STD-020 (260 °C class) (datasheet section 13, figure only); MSL 1 (assumption: Nexperia discretes)</t>
  </si>
  <si>
    <t>JLCPCB Standard 240 ± 5 °C; LCSC C110921 in stock → JLCPCB/LCSC order from LCSC stock (no global sourcing)</t>
  </si>
  <si>
    <t>JLCPCB Extended, "fixture needed" note on the part page; pre-order from LCSC stock (see the Ordering plan sheet); not the JSMSEMI "PMEG2010AEH,115-JSM" (C53114153, SOD-123 not SOD123F, wave-solder listing)</t>
  </si>
  <si>
    <t>C439, C440</t>
  </si>
  <si>
    <t>Samsung CL10A225KO8NNNC (2.2 µF 16 V X5R 0603)</t>
  </si>
  <si>
    <t>Voltage / effective C after FB301/FB302</t>
  </si>
  <si>
    <t>16 V; X5R</t>
  </si>
  <si>
    <t>DVCC / VCCA ≤ 3.37 V → 1.43 µF effective (worst-case calculation: -10 %, bias 0.80 assumption, -5 % temp, -5 % ageing); analog resonance Q ≤ 7.3 with this C</t>
  </si>
  <si>
    <t>&gt; 12 V</t>
  </si>
  <si>
    <t>UNI-ROYAL 0402WGF1002TCE (10 k)</t>
  </si>
  <si>
    <t>1.1 mW while Q207 holds reset (DVCC 3.37 V)</t>
  </si>
  <si>
    <t>Pull-up to DVCC (was 100 k pull-down)</t>
  </si>
  <si>
    <t>R417-R420 alternate</t>
  </si>
  <si>
    <t>Murata BLM15PX330SN1D (33 Ω at 100 MHz, fitted only if chosen; default 0 Ω C17168)</t>
  </si>
  <si>
    <t>Current / DCR / availability</t>
  </si>
  <si>
    <t>3 A rated, DCR ≤ 22 mΩ (datasheet listing)</t>
  </si>
  <si>
    <t>≤ 0.3 A leg short bound → 10 % of rating; DCR adds 22 mΩ to Zout (0.223/0.327 Ω, PM 51.8°)</t>
  </si>
  <si>
    <t>LCSC C160974 22,900 (Mar 2026 page; 196,600 in Jan 2026), DigiKey 0 (10,000 due 2 Oct 2026); -55…125 °C, H 0.55 mm; approved alternate, default 0 Ω (JLCPCB Basic) - order only if fitted</t>
  </si>
  <si>
    <t>https://www.digikey.com/en/products/detail/murata-electronics/BLM15PX330SN1D; https://www.lcsc.com/product-detail/C160974.html</t>
  </si>
  <si>
    <t>TI OPA2210IDR on VPOS_IV/VNEG_IV</t>
  </si>
  <si>
    <t>Output swing / CM range with the D411/D412 drop</t>
  </si>
  <si>
    <t>VO (V+) − 0.6 V at 600 Ω (25 °C); input CM to (V+) − 1.5 V (datasheet)</t>
  </si>
  <si>
    <t>VF 0.30 V: VPOS_IV ≥ 3.489 V → swing limit 2.889 V &lt; reset-state target 2.907–3.369 V (saturates, harmless: DAC pin 1.46–1.62 V, switch open); CM limit 1.989 V vs VREF 1.706 V</t>
  </si>
  <si>
    <t>CM +0.283 V (was +0.583 V)</t>
  </si>
  <si>
    <t>Reset-state common-mode minimum 2.889 V (used by the protection window), still above CMTH_HI 2.151 V by 0.74 V; the 3.189 V figure elsewhere is the OPA2210 guaranteed output swing limit at minimum VPOS (600 Ω row) — a different quantity</t>
  </si>
  <si>
    <t>Nexperia 74LVC3G34DC,125</t>
  </si>
  <si>
    <t>VSSOP-8 (SOT765-1), 0.5 mm pitch</t>
  </si>
  <si>
    <t>Supply / inputs with VCC = 0</t>
  </si>
  <si>
    <t>VCC 1.65-5.5 V; VI 0-5.5 V; IOFF ±2 µA at VCC = 0 (VI/VO 0-5.5 V) (datasheet)</t>
  </si>
  <si>
    <t>VCC = 3V3D ≤ 3.37 V; inputs from the 3V3M MCU (≤ 3.37 V) also while 3V3D is off → IOFF ≤ 2 µA per pin, no back-power of 3V3D</t>
  </si>
  <si>
    <t>Tpd 0.5-4.1 ns (3.0-3.6 V, -40…85 °C) used in the digital link timing (setup +1.13 ns at 36 MHz writes)</t>
  </si>
  <si>
    <t>https://assets.nexperia.com/documents/data-sheet/74LVC3G34.pdf; https://jlcpcb.com/partdetail/C548774</t>
  </si>
  <si>
    <t>VDS / VGS / current</t>
  </si>
  <si>
    <t>VDS 30 V; VGS ±12 V; VGS(th) 0.65-1.45 V; RDS(on) ≤ 48 mΩ at 2.5 V (datasheet)</t>
  </si>
  <si>
    <t>VDS ≤ DVCC 3.37 V; VGS ≤ 3V3M 3.37 V (PA8, R240 100 k pull-up); ID 0.34 mA → VOL &lt; 1 mV</t>
  </si>
  <si>
    <t>R236-R241, C224</t>
  </si>
  <si>
    <t>UNI-ROYAL 0402WGF 10 k / 4.7 k / 100 k / 0 Ω (R241 DNF); Samsung CL05B104KO5NNNC</t>
  </si>
  <si>
    <t>Power / voltage</t>
  </si>
  <si>
    <t>62.5 mW; 16 V (C224)</t>
  </si>
  <si>
    <t>≤ 2.4 mW (R237 with PC10 high into a shorted AUD_EN, fault bound); ≤ 3.37 V on C224</t>
  </si>
  <si>
    <t>All JLCPCB Basic</t>
  </si>
  <si>
    <t>SMC / DO-214AB (≈ 7.9 × 6.0 × 2.6 mm), unidirectional</t>
  </si>
  <si>
    <t>Stand-off / clamp</t>
  </si>
  <si>
    <t>VRWM 12 V; VBR 13.3-14.7 V at 1 mA; VC 19.9 V at 150.8 A (10/1000 µs); 3000 W; dVBR 0.1 %/K (Littelfuse datasheet)</t>
  </si>
  <si>
    <t>VBUS 5.50 V steady (5 V ringing ≤ 11 V: no conduction); 9 V mis-set source ringing ≤ 18.9 V clamped; U102 IN ≤ 17.08 V at a 5V_SYS hard short, no tIOS credit vs TPS25200 IN 20 V abs</t>
  </si>
  <si>
    <t>+6.5 V to VRWM; +2.92 V to U102 abs</t>
  </si>
  <si>
    <t>Energy a few mJ in &lt; 10 µs &lt;&lt; 3000 W</t>
  </si>
  <si>
    <t>https://www.digikey.com/en/products/detail/littelfuse-inc/SMDJ12A/1835309; https://jlcpcb.com/partdetail/Littelfuse-SMDJ12A/C224063</t>
  </si>
  <si>
    <t>SMC</t>
  </si>
  <si>
    <t>Leakage at 5.5 V / 50 °C</t>
  </si>
  <si>
    <t>IR ≤ 2 µA at 12 V, 25 °C only (datasheet)</t>
  </si>
  <si>
    <t>at 5.5 V (46 % of VRWM) and 50 °C: ≤ 8 µA (assumption ×4 for temperature, no credit for the lower voltage) → USB suspend budget 2.5 mA unaffected</t>
  </si>
  <si>
    <t>Measured at bring-up: VBUS current in suspend at 50 °C covers it</t>
  </si>
  <si>
    <t>MSL 1 (DigiKey); Littelfuse SMD TVS lead-free reflow, peak 260 °C class (datasheet)</t>
  </si>
  <si>
    <t>JLCPCB Standard 240 ± 5 °C; JLCPCB C224063: 115 in stock on the Sep 2025 page ("fixture needed"); LCSC C224063 out of stock (Jan 2025 page); DigiKey 5,498 (8 Sep 2026), 34-week factory lead; LGE SMDJ12A C5806873 is not approved (different maker data)</t>
  </si>
  <si>
    <t>Owner-fitted: 5 bought by the owner from DigiKey (Purchasing list, owner order 1) and hand-soldered after delivery; cathode band = gate G-4</t>
  </si>
  <si>
    <t>Samsung CL05B104KO5NNNC (100 nF 16 V X7R 0402)</t>
  </si>
  <si>
    <t>Voltage / delay</t>
  </si>
  <si>
    <t>16 V</t>
  </si>
  <si>
    <t>EN steady = VBUS ≤ 5.5 V (EN Zener clamp ≈ 6.4 V on a 20 V fault); earliest U102 turn-on 2.24 ms with -10 %/-15 %/-5 % ageing</t>
  </si>
  <si>
    <t>&gt; 9 V</t>
  </si>
  <si>
    <t>Place at U102 pin 4</t>
  </si>
  <si>
    <t>C103, C516</t>
  </si>
  <si>
    <t>Samsung CL05C101JB5NNNC (100 pF 50 V C0G 0402)</t>
  </si>
  <si>
    <t>≤ 1.8 V (VBUS_SENSE, ANA_SENSE)</t>
  </si>
  <si>
    <t>&gt; 48 V</t>
  </si>
  <si>
    <t>EN+/EN- tied to VIN (5V_ANA_F)</t>
  </si>
  <si>
    <t>EN+/EN- -0.3 V … VIN + 0.3 V abs (datasheet)</t>
  </si>
  <si>
    <t>EN = VIN at every instant (same net) → 0 V difference; RAIL_EN, R506, R507 deleted</t>
  </si>
  <si>
    <t>The U503 (TPS2596) output enables the rails</t>
  </si>
  <si>
    <t>Supply / inputs / open-drain output</t>
  </si>
  <si>
    <t>VCC 2.5–16 V (2.7 V min over −40…125 °C); inputs −0.1 V … VCC + 5 V (max 20 V); VOL ≤ 0.3 V at 50 µA; IQ ≤ 0.95 µA/ch (datasheet)</t>
  </si>
  <si>
    <t>VCC = 3V3M 3.23-3.37 V (+0.53 V over 2.7 V); inputs = 3V3A × 0.80 (R675/R676) and 3V3M × 0.75 (R677/R678) ≤ 2.7 V, also valid with 3V3A &gt; 3V3M; outputs pulled up by R680/R687 100 k into the Q619/Q620 gates</t>
  </si>
  <si>
    <t>&gt; 0.5 V (VCC min)</t>
  </si>
  <si>
    <t>3V3M load ≤ 1.9 µA + dividers; R679/R686 22 M hysteresis → keep the IN+ nodes clean (see layout package high-impedance rule)</t>
  </si>
  <si>
    <t>https://www.lcsc.com/product-detail/C91242.html; https://www.ti.com/product/TLV3402</t>
  </si>
  <si>
    <t>MSL / availability / lifecycle</t>
  </si>
  <si>
    <t>MSL 1-260C-UNLIM (TI); TI part page: "available for existing designs; for new designs, we recommend considering an alternate"</t>
  </si>
  <si>
    <t>LCSC C91242 745 in stock (read 25 Sep 2026); DigiKey TLV3402 active (9-week lead)</t>
  </si>
  <si>
    <t>Pre-order from LCSC stock (C91242) — lifecycle note (see the Ordering plan sheet); drop-in alternate onsemi NCS3402DR2G named but not verified (row below); later redesign candidate TI TLV7042, not evaluated</t>
  </si>
  <si>
    <t>TSSOP-5 (SOT353-1) 0.65 mm</t>
  </si>
  <si>
    <t>Supply / input / output load</t>
  </si>
  <si>
    <t>VCC 0.8–3.6 V; VI −0.5…4.6 V abs, Ioff; IOH/IOL 4 mA at 3.0 V; CI 1.1 pF typ (no maximum); ICC 0.9 µA (datasheet)</t>
  </si>
  <si>
    <t>VCC = 3V3D ≤ 3.37 V (0.23 V under the 3.6 V recommended maximum); input via R665 1 k from MCLK (≤ 3V3D); pump C624 100 pF → effective load 4.77 pF; supply 3.36 mA at 80 MHz with CPD ≤ 6 pF</t>
  </si>
  <si>
    <t>+0.23 V to VCC max</t>
  </si>
  <si>
    <t>3V3D budget +3.36 mA (the budget still carries a 1 mA planning allowance on 3V3M, to be moved to 3V3D); input toggling with the Kyocera 4.5 ns maximum edges is now provable with the 330 Ω R665 tap (+141 mV swing, row R665); a missed toggle reads "dead" = switch open, safe; keep the R665 → U607 input trace ≤ 3 mm</t>
  </si>
  <si>
    <t>https://www.digikey.com/en/products/detail/nexperia-usa-inc/74AUP1G17GW-125/1022837; https://www.lcsc.com/product-detail/C545626.html</t>
  </si>
  <si>
    <t>SOT353-1</t>
  </si>
  <si>
    <t>MSL 1 (DigiKey, JLCPCB); JLCPCB Extended, Economic and Standard</t>
  </si>
  <si>
    <t>LCSC C545626 out of stock (25 Sep 2026); DigiKey 66,948 (25 Sep 2026), 20-week factory lead</t>
  </si>
  <si>
    <t>Buy now via JLCPCB global sourcing (see the Ordering plan sheet)</t>
  </si>
  <si>
    <t>Reverse voltage / current / capacitance</t>
  </si>
  <si>
    <t>VR 70 V; IF 70 mA; IFSM 100 mA; VF ≤ 410 mV at 1 mA, ≤ 1 V at 15 mA; Cd ≤ 2 pF (datasheet listing)</t>
  </si>
  <si>
    <t>VR ≤ 3.4 V; pump current limited by the U607 output (≤ 4 mA class, peaks of a few mA into C624 100 pF); steady state ≈ node/R666 = 3 µA</t>
  </si>
  <si>
    <t>&gt; 60 V</t>
  </si>
  <si>
    <t>MSL 1; LCSC 36,430 (9 Sep 2026) → stocked</t>
  </si>
  <si>
    <t>https://www.lcsc.com/product-detail/C389351.html; https://jlcpcb.com/partdetail/Nexperia-BAS70215/C109295; https://www.digikey.com/en/products/detail/nexperia-usa-inc/BAS70-04-215/763209</t>
  </si>
  <si>
    <t>Q619, Q620</t>
  </si>
  <si>
    <t>VDS / VGS</t>
  </si>
  <si>
    <t>VDS 30 V; VGS ±12 V (datasheet)</t>
  </si>
  <si>
    <t>VDS ≤ 3.37 V; VGS ≤ 3V3M 3.37 V (R680/R687 100 k pull-ups)</t>
  </si>
  <si>
    <t>R679, R686, R681, R666, R678, R685</t>
  </si>
  <si>
    <t>22 M / 4.7 M / 1 M resistors at comparator inputs</t>
  </si>
  <si>
    <t>Board leakage vs node impedance</t>
  </si>
  <si>
    <t>No datasheet limit (board property)</t>
  </si>
  <si>
    <t>22 M hysteresis and 4.7 M/1 M nodes: 1 nA of surface leakage = 22 mV at 22 M (worst-case calculation); flux residue / humidity can reach 1-100 GΩ paths (assumption)</t>
  </si>
  <si>
    <t>Layout: ≥ 0.5 mm clearance to other nets, mask between pads, no vias under the parts, guard ring optional; DFA: ask JLCPCB for board cleaning (no-clean residue); measured at bring-up: thresholds at 50 °C / high humidity on one board</t>
  </si>
  <si>
    <t>VF at 10-30 mA over 0-50 °C / IR at 50 °C</t>
  </si>
  <si>
    <t>VF max 220 mV (10 mA), 290 mV (100 mA), 25 °C only; IR max 50 µA at 5 V, 25 °C only (datasheet Table 7); temperature data typical graphs only</t>
  </si>
  <si>
    <t>25 °C: 10 mA 220 mV, 30 mA 253 mV (log interpolation, conservative); tempco -1.5…-1.8 mV/K (worst-case calculation: typical); 0 °C: 10 mA 258-265 mV, 30 mA 291-298 mV; 50 °C: 10 mA 175-182 mV, 30 mA 208-216 mV; IR at 5 V, 50 °C: 50 µA × 2^(25/10…25/8) = 0.28-0.44 mA (assumption doubling per 8-10 K)</t>
  </si>
  <si>
    <t>30 mA / 0 °C: 2…9 mV below 0.30 V; 10 mA: ≥ 35 mV; IR ≤ 0.44 mA vs 1 mA modelled</t>
  </si>
  <si>
    <t>The 0.30 V model value is a bound only through the tempco assumption → measured at bring-up: VPOS − VPOS_IV at 0 °C (cold spray) and full signal on one board; IR at 50 °C measured with 3.9 V reverse</t>
  </si>
  <si>
    <t>Kyocera AVX TAJD227K010RNJ (220 µF ±10 %, 10 V, MnO2, ESR 0.5 Ω)</t>
  </si>
  <si>
    <t>D 7343-31</t>
  </si>
  <si>
    <t>Voltage / DCL / stock</t>
  </si>
  <si>
    <t>10 V; MnO2 practice ≤ 50 % of rated (AVX/KEMET guides, not re-read); DCL 0.01 CV = 22 µA (25 °C, series convention)</t>
  </si>
  <si>
    <t>3.9 V = 39 %; reverse ≤ Schottky drop ≈ 0.26 V; charge current ≤ 206 mA over ≥ 10 ms (low dV/dt); ESR 0.5 Ω × 30 mA = 15 mV (hold-up re-verified)</t>
  </si>
  <si>
    <t>11 % below the 50 % line</t>
  </si>
  <si>
    <t>Cost patch (25 Sep 2026): JLCPCB Extended, stocked → no global sourcing; not a surge-robust grade — acceptable because the rails ramp (no hot-plug surge on this node)</t>
  </si>
  <si>
    <t>https://www.lcsc.com/product-detail/C8024.html (LCSC 44,987, 25 Sep 2026)</t>
  </si>
  <si>
    <t>YAGEO RT0402BRD0724R9L (24.9 Ω 0.1 %)</t>
  </si>
  <si>
    <t>0402 thin film</t>
  </si>
  <si>
    <t>Availability / power</t>
  </si>
  <si>
    <t>62.5 mW</t>
  </si>
  <si>
    <t>(6.6 mA)² × 24.9 Ω = 1.1 mW; LCSC 19,000 (23 Sep 2026)</t>
  </si>
  <si>
    <t>Cost patch (25 Sep 2026)</t>
  </si>
  <si>
    <t>TI SN74LVC3G34DCUR (VSSOP-8 DCU)</t>
  </si>
  <si>
    <t>VSSOP-8 0.5 mm</t>
  </si>
  <si>
    <t>Ioff / stock</t>
  </si>
  <si>
    <t>Ioff 10 µA (TI datasheet)</t>
  </si>
  <si>
    <t>LCSC 550 (25 Sep 2026), min/multiple 5</t>
  </si>
  <si>
    <t>Cost patch (25 Sep 2026); skew bound 2.7 ns (link timing re-run)</t>
  </si>
  <si>
    <t>R535, R536, R508</t>
  </si>
  <si>
    <t>UNI-ROYAL 0402WGF1003TCE 100 k / 0402WGF4702TCE 47 k / 0402WGF1002TCE 10 k (1 %)</t>
  </si>
  <si>
    <t>0.21 mW (divider at 5.55 V); R508 0.53 mW</t>
  </si>
  <si>
    <t>Cost patch (25 Sep 2026); ANA_SENSE ratio and source impedance re-verified; all JLCPCB Basic</t>
  </si>
  <si>
    <t>Ratings / stock</t>
  </si>
  <si>
    <t>VR 70 V, IF 70 mA, Cd ≤ 2 pF</t>
  </si>
  <si>
    <t>VR ≤ 3.4 V; test-injection current ≤ 1.5 mA; LCSC 36,430 (9 Sep 2026)</t>
  </si>
  <si>
    <t>C624, C625, C629</t>
  </si>
  <si>
    <t>Samsung CL05C101JB5NNNC / FH 0402CG820J500NT / Samsung CL05C102JB5NNNC (C0G 50 V 0402)</t>
  </si>
  <si>
    <t>Voltage / stock</t>
  </si>
  <si>
    <t>50 V C0G ±5 % (all three)</t>
  </si>
  <si>
    <t>≤ 3.4 V; C45501: LCSC 238,500 / JLCPCB 227,977; C307441: LCSC 29,500 (25 Sep 2026)</t>
  </si>
  <si>
    <t>Sourcing clean-up (25 Sep 2026): C625 is a drop-in for the Samsung C13532 (LCSC out of stock); C0G: no DC-bias or ageing term, MCLK-pump hold time unchanged</t>
  </si>
  <si>
    <t>https://www.lcsc.com/product-detail/C45501.html; https://www.lcsc.com/product-detail/C307441.html</t>
  </si>
  <si>
    <t>R671, R681</t>
  </si>
  <si>
    <t>SAE 1RC0402F2204 (2.2 M) / SAE 1RC0402F4704 (4.7 M), 1 %, 100 ppm, 50 V</t>
  </si>
  <si>
    <t>0402 thick film</t>
  </si>
  <si>
    <t>Power / voltage / stock</t>
  </si>
  <si>
    <t>62.5 mW; 50 V; 1 %; 100 ppm/K (4.7 M listing; 2.2 M same series, assumption)</t>
  </si>
  <si>
    <t>≤ 4.0 V across → &lt; 0.01 mW; JLCPCB 9,900 / LCSC 4,600 (25 Sep 2026)</t>
  </si>
  <si>
    <t>Sourcing clean-up (25 Sep 2026): replace the UNI-ROYAL C11490 / C474132 (LCSC out of stock); high-impedance-node layout rule unchanged</t>
  </si>
  <si>
    <t>https://jlcpcb.com/partdetail/SAE-1RC0402F2204/C54530777; https://www.lcsc.com/product-detail/C54530892.html</t>
  </si>
  <si>
    <t>U201 brown-out detection (VBUS 4.40 V corner)</t>
  </si>
  <si>
    <t>brown-out watchdog threshold vs the VBUS 4.40 V corner</t>
  </si>
  <si>
    <t>Brown-out detection margin</t>
  </si>
  <si>
    <t>USB 2.0 VBUS minimum 4.40 V at the receptacle; watchdog threshold per the firmware setting</t>
  </si>
  <si>
    <t>+67…+114 mV between the trip point and the VBUS 4.40 V corner (engineering estimate: PA1 leakage 1 µA assumed); the action comes 0.046–0.080 ms after source loss, before the MCU reset, in 96 of 96 corners</t>
  </si>
  <si>
    <t>+67…+114 mV</t>
  </si>
  <si>
    <t>Thin margin (Notes, thin margins); limitation L-12: guaranteed while the 3V3M load stays ≤ 50 mA; the MCU voltage monitor (PVD) backs up a slow sag; measured at bring-up: VBUS droop at plug-in and the trip point on the first board</t>
  </si>
  <si>
    <t>Voltage rating (fact check)</t>
  </si>
  <si>
    <t>50 V (Samsung code B = 50 V; LCSC page "CAP CER 1 µF 50V X5R 0603", read 25 Sep 2026)</t>
  </si>
  <si>
    <t>-3.83…+4.01 V on node H</t>
  </si>
  <si>
    <t>The review claim of a 25 V part is not correct; LCSC shows C15849 out of stock today (JLCPCB Basic stock not readable) — in-stock drop-in FH 0603X105K500NT (1 µF 50 V X5R 0603) if JLCPCB is short</t>
  </si>
  <si>
    <t>R401–R416, R438–R445</t>
  </si>
  <si>
    <t>YAGEO RT0603BRD071K3L (1.30 k) / RT0603BRD07680RL (680 Ω), 0.1 %/25 ppm + Susumu RG1608N-202-W-T1 (2.00 k R2/R4), 0.05 %/10 ppm</t>
  </si>
  <si>
    <t>0603 thin film</t>
  </si>
  <si>
    <t>Availability / rating</t>
  </si>
  <si>
    <t>0.1 W, 75 V (Susumu RG1608N, AEC-Q200); YAGEO RT0603 0.1 W</t>
  </si>
  <si>
    <t>LCSC 100 (1.30 k, min 20) / 8,000 (680 Ω); Susumu 2.00 k DigiKey 16,746 (25 Sep 2026), JLCPCB global sourcing; alt. Panasonic ERA-3ARW202V (DigiKey 1,259)</t>
  </si>
  <si>
    <t>1.30 k: 2.5 × the need</t>
  </si>
  <si>
    <t>Mixed leg network: DC offset over 0–50 °C guaranteed from published terms 5.61 / 11.21 mV; same 0603 land; pre-order the 1.30 k now (thin LCSC stock)</t>
  </si>
  <si>
    <t>R628–R631, R639, R663 (sourcing proposal)</t>
  </si>
  <si>
    <t>YAGEO AT0402BRD075K1L (5.1 k 0.1 %, 25 ppm, 50 V, AEC-Q200, anti-sulfur)</t>
  </si>
  <si>
    <t>Drop-in for RT0402BRD075K1L C852856 (LCSC out of stock)</t>
  </si>
  <si>
    <t>0.1 %, 25 ppm/K, 62.5 mW, 50 V (LCSC page 25 Sep 2026)</t>
  </si>
  <si>
    <t>LCSC 6,850 (min/multiple 10); need 30 + attrition</t>
  </si>
  <si>
    <t>&gt; 200 × need</t>
  </si>
  <si>
    <t>Sourcing-only proposal (same or better specification) that would remove the 5.1 k global-sourcing line; not adopted — the BOM keeps the RT0402BRD075K1L</t>
  </si>
  <si>
    <t>https://www.lcsc.com/product-detail/C851064.html</t>
  </si>
  <si>
    <t>TI TPS70933DBVR (30 V, 150 mA, ultra-low IQ, reverse-current protection)</t>
  </si>
  <si>
    <t>VIN / EN / surge</t>
  </si>
  <si>
    <t>VIN 2.7–30 V, 32 V abs; EN ≤ 6.5 V abs; ICL 200–500 mA (TI datasheet)</t>
  </si>
  <si>
    <t>VBUS ≤ 5.5 V steady; ≤ 17.08 V at the 5V_SYS hard-short kick (D102 clamp) → +12.92 V to the 30 V operating limit; EN left open (never tied to VBUS)</t>
  </si>
  <si>
    <t>+12.92 V</t>
  </si>
  <si>
    <t>LCSC 5,280 (25 Sep 2026, min/multiple 5), JLCPCB 32,252, Extended (Economic and Standard); EN left open (floating = enabled; the datasheet statement is still to be cited)</t>
  </si>
  <si>
    <t>https://www.ti.com/lit/ds/symlink/tps709.pdf; https://www.lcsc.com/product-detail/C89347.html</t>
  </si>
  <si>
    <t>Pd / TJ and dropout at 83 mA</t>
  </si>
  <si>
    <t>TJ 125 °C; RthJA 212 °C/W; VDO ≤ 650 mV at 50 mA, ≤ 1400 mV at 150 mA (datasheet)</t>
  </si>
  <si>
    <t>185 mW at VBUS 5.50 V → TJ ≈ 89 °C, or 99 °C with the +10 °C local-rise allowance (212 °C/W, datasheet); VDO at 83 mA ≈ 0.90 V (linear interpolation) → regulates for VBUS ≥ 4.24 V (VOUT max), 0.16 V below the 4.40 V receptacle minimum after cable/connector drop</t>
  </si>
  <si>
    <t>26 °C with the local-rise allowance; ≈ 0.1–0.16 V dropout margin</t>
  </si>
  <si>
    <t>Below VBUS ≈ 4.25 V 3V3M falls out of regulation → limitation L-12 (brown-out trip guaranteed while the 3V3M load ≤ 50 mA; MCU voltage monitor backup); keep U502 ≥ 10 mm from the U102 heat</t>
  </si>
  <si>
    <t>UNI-ROYAL 0402WGF3300TCE (330 Ω, 1 %)</t>
  </si>
  <si>
    <t>MCLK load at XI with the tap</t>
  </si>
  <si>
    <t>Kyocera KC2520K rated load 15 pF; U607 CI no maximum published</t>
  </si>
  <si>
    <t>14.2 pF with 2.4 pF counted behind R665 (0.8 pF margin), XI high/low ≥ 5.49 ns; a second model gives 14.57–14.97 pF (typical input capacitance) / 15.03–15.37 pF (1.5 × typical) for 1–5 mm — both assume the layout rules</t>
  </si>
  <si>
    <t>+0.8 pF</t>
  </si>
  <si>
    <t>Valid only with X201 pin 3 → R203 → XI ≤ 10 mm absolute, the R665 pad on the XI trace ≤ 1.5 mm from pin 7 (T-stub ≤ 0.5 mm, no via) and R665 → U607 pin 2 ≤ 3 mm (no via); U607 swing provable (+141 mV at 4.5 ns edges)</t>
  </si>
  <si>
    <t>R509 (owner-fitted)</t>
  </si>
  <si>
    <t>KOA RN73R1JTTD4751B25 (4.75 k 0.1 % 25 ppm 0603, AEC-Q200)</t>
  </si>
  <si>
    <t>Availability / dissipation</t>
  </si>
  <si>
    <t>RN73R 0603: 0.1 W, 75 V (KOA)</t>
  </si>
  <si>
    <t>ILM pin: ≈ 1 V class across R509 → &lt; 1 mW</t>
  </si>
  <si>
    <t>DigiKey/Mouser listings exist, stock not read; alternate Susumu RG1608P-4751-B-T5 (DigiKey 114,162), same 0.1 %/25 ppm 0603</t>
  </si>
  <si>
    <t>U605 alternate NCS3402DR2G</t>
  </si>
  <si>
    <t>onsemi NCS3402DR2G</t>
  </si>
  <si>
    <t>VOL at 35 µA</t>
  </si>
  <si>
    <t>Required: VOL ≤ 0.45 V at 35 µA</t>
  </si>
  <si>
    <t>not verified (onsemi datasheet not read) → stays an unverified alternate; not to be fitted without the datasheet value</t>
  </si>
  <si>
    <t>Named alternate, not approved</t>
  </si>
  <si>
    <t>CS340</t>
  </si>
  <si>
    <t>R678, R685, R901–R915 odd (1.00 M 0603)</t>
  </si>
  <si>
    <t>YAGEO RT0603BRD071ML (0.1 %, 25 ppm thin film; inside the YAGEO range)</t>
  </si>
  <si>
    <t>Voltage / power / availability</t>
  </si>
  <si>
    <t>75 V, 0.1 W (YAGEO RT)</t>
  </si>
  <si>
    <t>≤ 3.92 V across (3V3M / 3V3A / VPOS dividers); &lt; 0.1 mW</t>
  </si>
  <si>
    <t>&gt; 70 V</t>
  </si>
  <si>
    <t>10 per board; 50 + attrition from 1,200 in stock; persistence detector T_P 19.50–23.37 ms; 20 Hz sine margins 6.4 / 5.7 / 4.3 %; worst energies 26.08 / 13.67 mJ balanced, 26.48 / 13.24 mJ rail-stuck</t>
  </si>
  <si>
    <t>R677, R684 (300 k 0603)</t>
  </si>
  <si>
    <t>YAGEO RT0603BRD07300KL (0.1 %, 25 ppm thin film; inside the YAGEO range)</t>
  </si>
  <si>
    <t>2 per board; stocked; persistence detector T_P 19.50–23.37 ms; 20 Hz sine margins 6.4 / 5.7 / 4.3 %; worst energies 26.08 / 13.67 mJ balanced, 26.48 / 13.24 mJ rail-stuck</t>
  </si>
  <si>
    <t>R675, R682 (44.2 k 0402)</t>
  </si>
  <si>
    <t>YAGEO RT0402BRD0744K2L (0.1 %, 25 ppm thin film; inside the YAGEO range)</t>
  </si>
  <si>
    <t>50 V, 0.063 W (YAGEO RT)</t>
  </si>
  <si>
    <t>2 per board; stocked (product page not retrievable on the day); persistence detector T_P 19.50–23.37 ms; 20 Hz sine margins 6.4 / 5.7 / 4.3 %; worst energies 26.08 / 13.67 mJ balanced, 26.48 / 13.24 mJ rail-stuck</t>
  </si>
  <si>
    <t>R676, R683 (200 k 0402)</t>
  </si>
  <si>
    <t>YAGEO RT0402BRD07200KL (0.1 %, 25 ppm thin film; inside the YAGEO range)</t>
  </si>
  <si>
    <t>2 per board; JLCPCB global sourcing (DigiKey 171,161); persistence detector T_P 19.50–23.37 ms; 20 Hz sine margins 6.4 / 5.7 / 4.3 %; worst energies 26.08 / 13.67 mJ balanced, 26.48 / 13.24 mJ rail-stuck</t>
  </si>
  <si>
    <t>C631–C634 (reflow)</t>
  </si>
  <si>
    <t>2416</t>
  </si>
  <si>
    <t>Reflow profile</t>
  </si>
  <si>
    <t>ECHU(X) series feature text: 260 °C max and ≤ 95 s above 220 °C at the capacitor surface (size-specific limit for 2416 not read)</t>
  </si>
  <si>
    <t>JLCPCB Standard peak ≤ 245 °C (published); time above liquidus not published — JLCPCB reflow guide 45–90 s above melting; the large 2416 body heats more slowly (its surface stays below the board peak)</t>
  </si>
  <si>
    <t>peak 15 °C; time ≥ 5 s</t>
  </si>
  <si>
    <t>Order remark: confirm time above 220 °C ≤ 95 s for the ECH-U1H224GX9; otherwise owner-fitted (2416 land, 1.5 mm iron clearance at both pad ends) — limitation L-13</t>
  </si>
  <si>
    <t>R900–R914 even (487 k 0603)</t>
  </si>
  <si>
    <t>≤ 3.92 V across; &lt; 0.1 mW</t>
  </si>
  <si>
    <t>8 per board (R920–R923 are now 110 k 0402)</t>
  </si>
  <si>
    <t>R920–R923 (110 k 0402)</t>
  </si>
  <si>
    <t>≤ 3.92 V across; ≤ 0.14 mW</t>
  </si>
  <si>
    <t>Timer resistor R_T, leakage-robust value</t>
  </si>
  <si>
    <t>R924 (69.8 k 0402)</t>
  </si>
  <si>
    <t>≤ 3.92 V across</t>
  </si>
  <si>
    <t>JLCPCB global sourcing; same-spec alternate Vishay TNPW040269K8BEED (DigiKey 72,019)</t>
  </si>
  <si>
    <t>R925 (100 k 0402)</t>
  </si>
  <si>
    <t>On the R653–R656 100 k 0.1 % line (LCSC-stocked)</t>
  </si>
  <si>
    <t>R916–R919 (330 k 0402)</t>
  </si>
  <si>
    <t>Availability / class</t>
  </si>
  <si>
    <t>50 V, 0.063 W, 1 %</t>
  </si>
  <si>
    <t>Class Extended (on the R660 330 k line); drop-in YAGEO RC0402FR-07330KL C138006 (355,200) if short</t>
  </si>
  <si>
    <t>UNI-ROYAL 0402WGF1003TCE (100 k 1 %)</t>
  </si>
  <si>
    <t>Q622 gate drive with the pull-down</t>
  </si>
  <si>
    <t>AO3400A VGS(th) 0.65-1.45 V (datasheet)</t>
  </si>
  <si>
    <t>U608 Q high 3.3 V through R692 1 k into 100 k → VG = 3.27 V (divider -1 %); U608 unpowered / R692 open → VG = 0 V (Q622 off)</t>
  </si>
  <si>
    <t>&gt; 1.8 V over VGS(th)max</t>
  </si>
  <si>
    <t>Closes the single fault "R692 open or U608 high-impedance leaves Q622 on"</t>
  </si>
  <si>
    <t>Re-scaled dividers (R675/R676, R682/R683, R924/R925)</t>
  </si>
  <si>
    <t>divider supply current</t>
  </si>
  <si>
    <t>Divider current (active mode only)</t>
  </si>
  <si>
    <t>3V3A and VPOS are off in suspend → no suspend-budget impact</t>
  </si>
  <si>
    <t>3V3A: 3.3 V / 244.2 k × 2 = 27 µA; VPOS: 3.92 V / 169.8 k = 23.1 µA</t>
  </si>
  <si>
    <t>+≈ 50 µA active (negligible)</t>
  </si>
  <si>
    <t>Block 6 loads I+ ≤ 2.66 mA, I− ≤ 2.48 mA (in the power budget)</t>
  </si>
  <si>
    <t>C631–C634 (electrical)</t>
  </si>
  <si>
    <t>Panasonic ECH-U1H224GX9 (0.22 µF ±2 %, 50 V DC, PPS, 2416)</t>
  </si>
  <si>
    <t>DC voltage / tolerance</t>
  </si>
  <si>
    <t>50 V DC; ±2 %; required ≥ 16 V</t>
  </si>
  <si>
    <t>C_T sees ≤ 3.4 V; T_P 19.50–23.37 ms including 1 µA leakage; sine margin 4.3 % at the drift ceiling</t>
  </si>
  <si>
    <t>Mouser 19,207, DigiKey 62 (the example ECH-U1C224GX5 is not in the Panasonic line)</t>
  </si>
  <si>
    <t>JSCJ MMBT3904 (RANGE:100-300) NPN</t>
  </si>
  <si>
    <t>VCEO / VEBO / collector cut-off current into the U102 EN node</t>
  </si>
  <si>
    <t>VCBO 60 V, VCEO 40 V, VEBO 6 V, IC 200 mA; ICEX ≤ 50 nA (VCE 30 V, VEB(off) 3 V), ICBO ≤ 100 nA (VCB 60 V), 25 °C (JSCJ MMBT3904 datasheet V2.1)</t>
  </si>
  <si>
    <t>off (PC14 low/floating): VCE = V_EN ≤ VBUS (≤ 17.08 V kick) vs 40 V; VEB never reversed (base at 0 V via R538, VBE 57 mV from ICBO); ICBO at 50 °C 0.57 µA (assumption ×2/10 °C from the 100 nA 25 °C max) → V_EN = 4.40 − 474.7 k × (2.0 + 0.57) µA = 3.18 V at VBUS 4.40 V, 50 °C; on (PC14 high): IB ≥ 17.0 µA vs IC ≤ 13.9 µA (forced beta &lt; 1) → EN ≪ 0.6 V</t>
  </si>
  <si>
    <t>+1.28 V to the 1.9 V EN turn-on threshold; leakage allowance 3.27 µA = 5.8 × the 50 °C bound</t>
  </si>
  <si>
    <t>Replaces the earlier analysis of a MOSFET here; the hot leakage is extrapolated from the 25 °C datasheet maximum (engineering estimate)</t>
  </si>
  <si>
    <t>https://www.jscj-elec.com/uploads/pdf/20221020/MMBT3904%20SOT-23%20V2.1.pdf; TPS25200 datasheet 5.5</t>
  </si>
  <si>
    <t>C102, C502, R537, R538</t>
  </si>
  <si>
    <t>Samsung CL21A225KAFNNNE 2.2 µF 25 V X5R 0805 / Samsung CL10A225KO8NNNC 2.2 µF 16 V 0603 / UNI-ROYAL 0402WGF1003TCE 100 k ×2</t>
  </si>
  <si>
    <t>0805 / 0603 / 0402</t>
  </si>
  <si>
    <t>Voltage / dissipation / stock</t>
  </si>
  <si>
    <t>25 V / 16 V / 62.5 mW, 50 V</t>
  </si>
  <si>
    <t>C102 ≤ 17.08 V kick (68 % of 25 V); C502 on 3V3M ≤ 3.37 V; R537 ≤ 77 µW and R538 ≤ 6.4 µW with PC14 high, 0 with PC14 low</t>
  </si>
  <si>
    <t>&gt; 8 V; &gt; 99 %</t>
  </si>
  <si>
    <t>R537 100 k (series from PC14) and R538 100 k (base–emitter) at the transistor; C102 LCSC C87994, DigiKey 80,862 — confirm the stock in the JLCPCB BOM tool at order</t>
  </si>
  <si>
    <t>Nexperia 74LVC1G74DC,125 (D flip-flop, set/reset, Ioff)</t>
  </si>
  <si>
    <t>VSSOP-8 (SOT765-1) 0.5 mm</t>
  </si>
  <si>
    <t>Supply / inputs / stock</t>
  </si>
  <si>
    <t>VCC 1.65-5.5 V; inputs 5.5 V tolerant, Schmitt; Ioff (Nexperia)</t>
  </si>
  <si>
    <t>on 3V3D ≤ 3.37 V; LCSC 4,620, JLCPCB 2,579 (Apr page), DigiKey 4,343</t>
  </si>
  <si>
    <t>Q output drives Q622 through R692 1 k with the R696 100 k gate pull-down (VG 3.27 V on, 0 V with R692 open or U608 unpowered)</t>
  </si>
  <si>
    <t>U609, U610</t>
  </si>
  <si>
    <t>TSSOP-14 (PW)</t>
  </si>
  <si>
    <t>Supply current / output sink / stock</t>
  </si>
  <si>
    <t>IQ ≤ 100 µA/ch (-40…125 °C); open-collector output, VS ≤ 36 V (TI datasheet)</t>
  </si>
  <si>
    <t>IQ 2 × 4 × 100 µA = 0.80 mA per rail on VPOS/VNEG; level outputs sink (VPOS − VNEG)/330 k ≤ 24 µA each; supply span ≤ 7.7 V; block-6 totals I+ 2.66 mA / I− 2.48 mA</t>
  </si>
  <si>
    <t>&gt; 28 V</t>
  </si>
  <si>
    <t>LCSC 61 covers 6 per board × 5 = 30 + attrition — reserve now (condition: ≥ 31 in stock at order time); DigiKey 6,948 fallback</t>
  </si>
  <si>
    <t>C630, C635–C638</t>
  </si>
  <si>
    <t>Samsung CL05B104KO5NNNC (100 nF 16 V X7R 0402; C1525 line)</t>
  </si>
  <si>
    <t>DC voltage</t>
  </si>
  <si>
    <t>16 V DC (Samsung)</t>
  </si>
  <si>
    <t>C630 ≤ 3.37 V; C635/C637 ≤ 3.915 V; C636/C638 ≤ 3.781 V (magnitude)</t>
  </si>
  <si>
    <t>&gt; 12.1 V</t>
  </si>
  <si>
    <t>Decoupling only (X7R bias loss irrelevant at ≤ 4 V of 16 V)</t>
  </si>
  <si>
    <t>JSCJ 2N7002 (Q618 line)</t>
  </si>
  <si>
    <t>VDS / VGS / drive</t>
  </si>
  <si>
    <t>VDS 60 V, VGS ±20 V, VGS(th) 1.0-2.5 V (JSCJ 2N7002)</t>
  </si>
  <si>
    <t>VDS ≤ 3.37 V; ID ≤ 34 µA (R691); VGS +3.37 V (R690) down to -3.78 V if the U606 open-collector output pulls N6_TRIP to VNEG; on-drive 3.23 V (3V3D min) vs VGS(th) max 2.5 V (spec at 250 µA; load only 34 µA)</t>
  </si>
  <si>
    <t>VGS 16.2 V; drive +0.73 V over VGS(th)max</t>
  </si>
  <si>
    <t>An open Q621 is found by the boot self-test (PB0 stays high after the self-test trip → fault, no closure)</t>
  </si>
  <si>
    <t>AOS AO3400A (Q616 line)</t>
  </si>
  <si>
    <t>VDS / ID / VGS</t>
  </si>
  <si>
    <t>VDS 30 V, ID 5.7 A, VGS ±12 V, VGS(th) 0.65-1.45 V, RDS(on) ≤ 48 mΩ at 2.5 V (AOS)</t>
  </si>
  <si>
    <t>VDS ≤ 5V_SYS 5.55 V (LED-string return); ID ≤ 7.1 mA (both strings); VGS 3.27 V on (1 k / 100 k), 0 V off → drop ≤ 0.4 mV</t>
  </si>
  <si>
    <t>VDS 24 V; VGS 8.7 V</t>
  </si>
  <si>
    <t>A drain-source short is latent → production-test step; R696 keeps Q622 off with R692 open or U608 unpowered</t>
  </si>
  <si>
    <t>R690–R695</t>
  </si>
  <si>
    <t>UNI-ROYAL 0402WGF3303TCE 330 k (R690, R694) / 0402WGF1003TCE 100 k (R691, R693, R695) / 0402WGF1001TCE 1 k (R692)</t>
  </si>
  <si>
    <t>Dissipation / voltage</t>
  </si>
  <si>
    <t>62.5 mW, 50 V (UNI-ROYAL)</t>
  </si>
  <si>
    <t>R690 ≤ 0.15 mW (TRIP at VNEG); R691 0.11 mW; R693/R694 divider 9.1 µA; R692/R695 &lt; 0.01 mW</t>
  </si>
  <si>
    <t>Re-arm latch network</t>
  </si>
  <si>
    <t>Supply / inputs / outputs</t>
  </si>
  <si>
    <t>VS 2.2-36 V; inputs V- … V+ (±10 mA abs); open collector 36 V above V-; IQ ≤ 100 µA/ch (-40…125 °C) (datasheet)</t>
  </si>
  <si>
    <t>VS ≤ 7.70 V; ch1-ch3 inputs through R670 10 k (1V3), R667 100 k (pump node ≤ 3.2 V), R681 4.7 M; ch4 inputs: N6_H (0 … VPOS, R647 100 k pull-up) and N6_HREF 2.88-3.11 V (inside the rails); pin 13 open collector pulled to 3V3D by R690: sinks ≤ 22 µA (to VNEG) while H &gt; HREF, released (high) on a trip or with U606 unpowered; unpowered injection ≤ 32 µA</t>
  </si>
  <si>
    <t>Channel 4 is the re-arm latch H-OK detector, not spare: pin 10 = N6_H, pin 11 = N6_HREF, pin 13 = N6_TRIP; layout: N6_TRIP pin 13 → R690/Q621 ≤ 5 mm, N6_HREF from R693/R694 at pin 11 ≤ 5 mm (zone Z7), N6_H to pin 10 under the node-H rules; supply 4 × 100 µA per rail + dividers (power budget)</t>
  </si>
  <si>
    <t>U603, U611, U612 (U603 I/V common-mode window; U611/U612 over-range stages)</t>
  </si>
  <si>
    <t>VS 2.2-36 V ROC, 40 V abs; inputs (V-)-0.5…(V+)+0.5 V, ±10 mA; open collector up to 36 V above V- (datasheet)</t>
  </si>
  <si>
    <t>VS ≤ 7.83 V (R501 fallback; 7.70 V released); OR taps via 330 k + 1 nF C0G follow the legs (inside the rails in operation; beyond them ≤ 0.1 mA even at 30 V); refs V_OR+ 1.764-1.964 V, V_OR- -1.762…-1.959 V; outputs sink the timer-reset NPN bases N6_OLx (330 k pull-ups: ≤ 24 µA)</t>
  </si>
  <si>
    <t>U611 (L legs) / U612 (R legs); every pin connected (no NC)</t>
  </si>
  <si>
    <t>https://www.ti.com/lit/ds/symlink/tlv1704.pdf (SBOS589D)</t>
  </si>
  <si>
    <t>U613–U620 (low-level persistence stages)</t>
  </si>
  <si>
    <t>VSSOP-8 (DGK) 3.0 × 3.0 mm, 0.65 mm</t>
  </si>
  <si>
    <t>VS 2.5-16 V; input CM -0.1 V … VCC + 5 V (≤ 20 V); open-drain output; VOL ≤ 0.30 V at 50 µA, IIB ≤ 1.5 nA, VIO ≤ 4.4 mV, ICC ≤ 0.95 µA/ch (-40…125 °C) (datasheet)</t>
  </si>
  <si>
    <t>VS ≤ 7.83 V (fallback); taps (1.00 M + 3.3 nF C0G) VNEG … VPOS = GND pin … VCC in operation (a tap below VNEG - 0.1 V only during power-down, current ≤ 4 µA through 1 M); refs +0.279…0.322 V / -0.283…-0.324 V, IN2+ = 0 V, timer VNEG … VPOS (all inside CM); OUT1 sinks ≤ 8.7 µA from R_T2 + the C_T2 reset discharge, OUT2 ≤ 24 µA (330 k base pull-up)</t>
  </si>
  <si>
    <t>&gt; 8 V supply; VOL point 50 µA &gt; 24 µA</t>
  </si>
  <si>
    <t>DGK map = D map (same TI pin figure; the datasheet PDF could not be re-read on 26 Sep 2026) → gate G-3 overlay on the TI DGK drawing and the JLCPCB 3D preview; TI part page 26 Sep 2026: ACTIVE, NiPdAu, Level-1-260C-UNLIM</t>
  </si>
  <si>
    <t>https://www.ti.com/lit/ds/symlink/tlv3402.pdf; https://www.ti.com/product/TLV3402/part-details/TLV3402IDGKR</t>
  </si>
  <si>
    <t>U613–U620 (LPW timer reset)</t>
  </si>
  <si>
    <t>VSSOP-8 (DGK)</t>
  </si>
  <si>
    <t>Output sink during the C_T2 reset</t>
  </si>
  <si>
    <t>VOL ≤ 0.30 V at IOL 50 µA (-40…125 °C) (datasheet); open-drain NMOS: sink current is non-decreasing with VOL (MOSFET output), so IOL ≥ 50 µA whenever VOL ≥ 0.3 V</t>
  </si>
  <si>
    <t>reset from 0 V to VNEG + 0.3 V: C_T2 × 1.052 × 3.78 V / (50 µA - 8.7 µA) ≤ 9.6 ms; energy in C_T2 ≤ 3.2 µJ (no stress)</t>
  </si>
  <si>
    <t>Class E (monotonic output assumption); the no-false-trip result for sines ≥ 20 Hz depends on this reset (timers stay ≤ −1.46 V)</t>
  </si>
  <si>
    <t>U613–U620 (TLV3402IDGKR line)</t>
  </si>
  <si>
    <t>MSL / reflow / availability</t>
  </si>
  <si>
    <t>MSL 1, Level-1-260C-UNLIM (TI part page; JLCPCB MSL 1) vs JLCPCB Standard peak ≤ 245 °C</t>
  </si>
  <si>
    <t>JLCPCB in stock 153 / available 152, LCSC 152 (pages 26 Sep 2026) vs need 8 × 5 = 40 + attrition; U605 stays TLV3402IDR C91242 (LCSC 745) → 9 TLV3402 per board on two lines</t>
  </si>
  <si>
    <t>≈ 110 pcs left</t>
  </si>
  <si>
    <t>Buy now (pre-order into the JLCPCB library, see the Ordering plan sheet); US$ 1.3642 at 30+ (JLCPCB), TI list 1.709 at 100+; fallback TLV3402IDR SOIC-8 (C91242) with +214 mm² in Z4 (not needed); the TI note on the part page concerns another carrier option, the IDGKR is ACTIVE</t>
  </si>
  <si>
    <t>https://jlcpcb.com/partdetail/TexasInstruments-TLV3402IDGKR/C140314; https://www.lcsc.com/product-detail/C140314.html</t>
  </si>
  <si>
    <t>U603, U606, U609–U612 (TLV1704 line)</t>
  </si>
  <si>
    <t>PW</t>
  </si>
  <si>
    <t>MSL 2-260C-1 YEAR (TI addendum) vs JLCPCB Standard peak ≤ 245 °C (JLCPCB bakes per J-STD-033)</t>
  </si>
  <si>
    <t>LCSC 61 (LCSC page read 26 Sep 2026) vs need 6 × 5 = 30 + attrition (rule: ≥ 31 in LCSC stock at order time, else JLCPCB global sourcing, DigiKey 6,948)</t>
  </si>
  <si>
    <t>+30 pcs</t>
  </si>
  <si>
    <t>U601/U602 retired, U611/U612 added → 6 per board unchanged; JLCPCB page not retrievable on 26 Sep 2026 (2 tries); see the Ordering plan sheet</t>
  </si>
  <si>
    <t>https://www.lcsc.com/product-detail/C181596.html; https://www.ti.com/lit/ds/symlink/tlv1704.pdf (SBOS589D)</t>
  </si>
  <si>
    <t>Block 6 comparators (U603, U606, U609–U612 TLV1704 + U613–U620 TLV3402 + dividers)</t>
  </si>
  <si>
    <t>TI TLV1704AIPWR / TLV3402IDGKR</t>
  </si>
  <si>
    <t>PW / DGK</t>
  </si>
  <si>
    <t>Supply current per rail (VPOS / VNEG)</t>
  </si>
  <si>
    <t>TLV1704 IQ ≤ 100 µA/ch, TLV3402 ICC ≤ 0.95 µA/ch (−40…125 °C) (datasheet); power budget block 6 I+ 2.738 / I− 2.566 mA (a deliberate conservative bound)</t>
  </si>
  <si>
    <t>design: I+ ≤ 2.714 mA, I− ≤ 2.542 mA (VPOS +0.054 / VNEG +0.062 mA against the v1.0 set: −U601/U602 8 × 100 µA and the VTH dividers, +8 TLV1704 ch, +16 TLV3402 ch, 8 timers in reset 69.8 µA, V_OR−/V_LL− dividers); 3V3A +0.007 mA</t>
  </si>
  <si>
    <t>+0.024 mA per rail</t>
  </si>
  <si>
    <t>The Default need of 178.961 mA against the IOS minimum of 180.05 mA (margin +1.090 mA, engineering estimate, evidence row A-35) is computed on the budget bound</t>
  </si>
  <si>
    <t>R926–R929 (OR tap series)</t>
  </si>
  <si>
    <t>UNI-ROYAL 0402WGF3303TCE 330 k 1 %</t>
  </si>
  <si>
    <t>≤ 7.83 V only during a rail-to-rail leg step (tap tau 0.33 ms), steady ≈ 0; P ≤ 0.19 mW</t>
  </si>
  <si>
    <t>Joins the R660/R690/R694/R916–R919 line (11 per board)</t>
  </si>
  <si>
    <t>R930–R933, R938, R940 (LPW taps and V_LL tops)</t>
  </si>
  <si>
    <t>UNI-ROYAL 0402WGF1004TCE 1.00 M 1 %</t>
  </si>
  <si>
    <t>taps ≤ 7.83 V transient, P ≤ 0.062 mW; R938 ≤ 3.2 V, R940 ≤ 3.5 V</t>
  </si>
  <si>
    <t>Joins the R666/R668 line (8 per board)</t>
  </si>
  <si>
    <t>R934–R937, R939, R941, R950, R951 (references and OR test line)</t>
  </si>
  <si>
    <t>UNI-ROYAL 0402WGF 360 k (C45956) / 470 k (C25790) / 100 k (C25741) / 88.7 k (C25922) / 10 k (C25744)</t>
  </si>
  <si>
    <t>R934 ≤ 3.38 V (Q627 on), R935 ≤ 1.97 V, R936/R937 ≤ 3.6 V (test line high), R939/R941 ≤ 0.33 V, R950 ≤ 3.4 V, R951 ≤ 0.1 V; every part &lt; 0.13 mW</t>
  </si>
  <si>
    <t>New resistors of the OR and LPW stages</t>
  </si>
  <si>
    <t>R942–R949 (LPW timer R_T2)</t>
  </si>
  <si>
    <t>UNI-ROYAL 0402WGF9103TCE 910 k 1 %</t>
  </si>
  <si>
    <t>Dissipation / voltage / availability</t>
  </si>
  <si>
    <t>≤ 7.83 V (timer held at VNEG), P ≤ 0.068 mW; JLCPCB available 31,544 (25 Sep 2026) vs 40 + attrition</t>
  </si>
  <si>
    <t>New Extended line</t>
  </si>
  <si>
    <t>https://jlcpcb.com/partdetail/26543-0402WGF9103TCE/C25800</t>
  </si>
  <si>
    <t>C639–C642 (OR tap C)</t>
  </si>
  <si>
    <t>Samsung CL05C102JB5NNNC 1 nF C0G 5 % 50 V</t>
  </si>
  <si>
    <t>50 V C0G (MPN code)</t>
  </si>
  <si>
    <t>≤ 4.05 V (tap follows the leg)</t>
  </si>
  <si>
    <t>92 %</t>
  </si>
  <si>
    <t>Joins the C629 line (5 per board)</t>
  </si>
  <si>
    <t>C655–C658 (TLV1704 U611/U612 decoupling)</t>
  </si>
  <si>
    <t>Samsung CL05B104KO5NNNC 100 nF X7R 16 V</t>
  </si>
  <si>
    <t>16 V (MPN code)</t>
  </si>
  <si>
    <t>≤ 4.05 V (one rail to GND, fallback)</t>
  </si>
  <si>
    <t>11.9 V</t>
  </si>
  <si>
    <t>Also covers C409–C412, C423–C426</t>
  </si>
  <si>
    <t>C659–C666 (TLV3402 U613–U620 decoupling)</t>
  </si>
  <si>
    <t>Voltage rating / DC bias</t>
  </si>
  <si>
    <t>≤ 7.83 V (49 % of rated); X7R 0402 at 7.8 V keeps roughly 40-60 % (assumption, Samsung bias curve not read) = ≥ 40 nF for a ≤ 1.9 µA load</t>
  </si>
  <si>
    <t>8.2 V</t>
  </si>
  <si>
    <t>Decoupling only (no timing role)</t>
  </si>
  <si>
    <t>Pair-difference persistence detector, 20 Hz sine margin</t>
  </si>
  <si>
    <t>content boundary</t>
  </si>
  <si>
    <t>20 Hz full-scale sine time above V_L min vs T_P min 19.50 ms</t>
  </si>
  <si>
    <t>T_P min 19.50 ms (persistence-detector timers)</t>
  </si>
  <si>
    <t>calibrated 2.192 V/leg 6.4 %, +0.15 dB 5.7 %, + G drift 2.325 V 4.3 %; −4.5 dB default 13.9 % / 6.6 %; untrimmed highest gain 3.069 V → 20.26 ms &gt; 19.50 (trips) → uncalibrated boards run at −4.5 dB (calibration rule)</t>
  </si>
  <si>
    <t>4.3 %</t>
  </si>
  <si>
    <t>Replaces the window-stage row of v0.8; measured at bring-up: full-scale 20 Hz sine and burst at the calibrated level on the first board</t>
  </si>
  <si>
    <t>C643–C646 (LPW tap C)</t>
  </si>
  <si>
    <t>FH 0603CG332J500NT 3.3 nF C0G 5 % 50 V</t>
  </si>
  <si>
    <t>0603 (1.6 × 0.8 × 0.8 mm)</t>
  </si>
  <si>
    <t>Voltage rating / dielectric</t>
  </si>
  <si>
    <t>50 V, C0G 0 ± 30 ppm/K, ±5 % (FH part page)</t>
  </si>
  <si>
    <t>≤ 4.05 V (tap follows the leg); class 1: no DC-bias or ageing loss (tap τ basis ±5 % tolerance, ±30 ppm/K)</t>
  </si>
  <si>
    <t>LCSC-stocked 0603 (the 0402 C0G had no listing); Z4 +10 mm²</t>
  </si>
  <si>
    <t>https://www.fhcomp.com/en/product_info/?prod_code=0603CG332J500NT; https://jlcpcb.com/partdetail/211107-0603CG332J500NT/C190576</t>
  </si>
  <si>
    <t>C647–C654 (LPW timer C_T2)</t>
  </si>
  <si>
    <t>FH 1206CG104J500NT 100 nF C0G 5 % 50 V</t>
  </si>
  <si>
    <t>50 V, C0G, ±5 % (JLCPCB/LCSC listing)</t>
  </si>
  <si>
    <t>timer node VNEG … VPOS → ≤ 4.05 V to GND; class 1 (T_P2 51.3-68.5 ms uses ±5 % tol and ±30 ppm/K × 40 K)</t>
  </si>
  <si>
    <t>LCSC-stocked 1206 (the 0805 C0G had no listing); Z4 +23 mm²; body height not read (1206 C0G class ≤ 1.8 mm, assumption) — not a tall part</t>
  </si>
  <si>
    <t>https://jlcpcb.com/partdetail/47351-1206CG104J500NT/C46348; https://www.lcsc.com/product-detail/C46348.html</t>
  </si>
  <si>
    <t>C643–C654 (FH C0G lines)</t>
  </si>
  <si>
    <t>FH 0603CG332J500NT / 1206CG104J500NT</t>
  </si>
  <si>
    <t>0603 / 1206</t>
  </si>
  <si>
    <t>C190576: LCSC 6,740 (25 Sep 2026) vs 20 + attrition, JLCPCB Extended (Jul 2026 page); C46348: LCSC 11,730 (12 Sep 2026), JLCPCB 14,418 available (Aug 2026 page) vs 40 + attrition</t>
  </si>
  <si>
    <t>&gt; 100x need</t>
  </si>
  <si>
    <t>No global sourcing; bought at the PCBA order (not buy-now)</t>
  </si>
  <si>
    <t>https://www.lcsc.com/product-detail/C190576.html; https://www.lcsc.com/product-detail/C46348.html</t>
  </si>
  <si>
    <t>LPW / OR tap and reference nodes (N6_LWxx 1.00 M, N6_ORxx 330 k, N6_VLLP/N6_VLLN 91 k / 82 k)</t>
  </si>
  <si>
    <t>layout / cleanliness</t>
  </si>
  <si>
    <t>Surface leakage vs the LPW / OR level</t>
  </si>
  <si>
    <t>LPW level 0.279-0.322 V / -0.283…-0.324 V (IIB only); with 10 nA per tap node 0.269-0.334 V; OR taps 3.3 mV per 10 nA</t>
  </si>
  <si>
    <t>10 nA of flux or moisture leakage per tap node is covered by the Spec floor 0.34 V/leg, 0.68 V/pair (rounded up); 0.1 µA would not be; references 10 × less sensitive; timer nodes ≤ 0.1 µA inside the calculation (E)</t>
  </si>
  <si>
    <t>floor covers 10 nA</t>
  </si>
  <si>
    <t>Layout high-impedance rules + the cleaning order remark; bring-up bracket per leg 0.25 V no trip (&lt; 0.269) / 0.35 V trip (&gt; 0.334) (Q)</t>
  </si>
  <si>
    <t>R934, R941 (new passive lines)</t>
  </si>
  <si>
    <t>UNI-ROYAL 0402WGF3603TCE 360 k / 0402WGF8872TCE 88.7 k</t>
  </si>
  <si>
    <t>C45956: JLCPCB in stock 23,019 / available 21,995, Economic+Standard (JLCPCB page, Jun 2026 copy); C25922: LCSC 121,600 (page read 26 Sep 2026), Extended; need 5 + attrition each</t>
  </si>
  <si>
    <t>&gt; 1,000x need</t>
  </si>
  <si>
    <t>Web-tool pages can be cached copies — re-check in the JLCPCB BOM tool at order</t>
  </si>
  <si>
    <t>https://jlcpcb.com/partdetail/46959-0402WGF3603TCE/C45956; https://www.lcsc.com/product-detail/C25922.html</t>
  </si>
  <si>
    <t>Q623–Q626 (persistence-detector timer reset NPN)</t>
  </si>
  <si>
    <t>SOT-23 (CASE 318 STYLE 6)</t>
  </si>
  <si>
    <t>VCB / VEB reverse / IC</t>
  </si>
  <si>
    <t>VCBO 60 V, VCEO 40 V, VEBO 6.0 V, IC 200 mA (onsemi datasheet)</t>
  </si>
  <si>
    <t>VCB ≤ 6.2 V; VEB reverse ≤ 3.8 V (base node down to VNEG); IC ≤ 0.4 mA peak (C_T discharge); off-state ICEX ≤ 50 nA (VCE 30 V, VEB 3 V) inside the 1 µA/node bound</t>
  </si>
  <si>
    <t>VEB 2.2 V; VCB &gt; 50 V</t>
  </si>
  <si>
    <t>Replaces JSCJ C20526 on this row</t>
  </si>
  <si>
    <t>https://www.onsemi.com/pdf/datasheet/mmbt3904lt1-d.pdf (MMBT3904LT1/D Rev. 15, Sep 2026); https://jlcpcb.com/partdetail/Onsemi-MMBT3904LT1G/C81464</t>
  </si>
  <si>
    <t>Q623–Q626 (timer reset level)</t>
  </si>
  <si>
    <t>VCE(sat) at the reset operating point</t>
  </si>
  <si>
    <t>VCE(sat) ≤ 0.2 V at IC 10 mA / IB 1.0 mA, ≤ 0.3 V at 50 mA / 5 mA (25 °C, pulse) (datasheet); hFE ≥ 40 at 0.1 mA</t>
  </si>
  <si>
    <t>IC ≈ 35 µA (R_T 110 k), IB ≈ 10 µA (330 k), forced beta ≈ 3.5, ≤ 50 °C: reset level ≤ 0.20 V by extension of the 10 mA / 1 mA row to lower current and deeper saturation (assumption, evidence row A-46, class E; Ebers-Moll ≤ ≈ 0.11 V) → T_P min 19.50 ms, 20 Hz sine margin 4.3 % at 2.325 V/leg</t>
  </si>
  <si>
    <t>4.3 % (persistence-detector content margin)</t>
  </si>
  <si>
    <t>Class E (datasheet row of the fitted part + monotonic extrapolation); measured at bring-up: reset level on the first board (Q)</t>
  </si>
  <si>
    <t>Q627 (OR self-test switch)</t>
  </si>
  <si>
    <t>VCE / VEB / IB / IC</t>
  </si>
  <si>
    <t>VCEO 40 V, VEBO 6.0 V, IC 200 mA; ICEX ≤ 50 nA (onsemi datasheet)</t>
  </si>
  <si>
    <t>VCE ≤ V_OR+ max 1.964 V (off); VEB reverse ≤ 0.5 V (PC15 Hi-Z at reset); on: IB ≤ 28 µA, IC ≤ 9.5 µA (saturated; V_OR+ 0.086–0.141 V set by R951); ICEX 50 nA × 204 k ≤ 10 mV on V_OR+</t>
  </si>
  <si>
    <t>&gt; 38 V; VEB 5.5 V</t>
  </si>
  <si>
    <t>Moved with Q623–Q626 to keep one part number on the line; no electrical effect</t>
  </si>
  <si>
    <t>J701 (owner-approved 12-pad map, confirmed by the G-Switch drawing)</t>
  </si>
  <si>
    <t>THT R/A 20.5 × 8.3 × 6.5 mm; 12 pads = 10 contact pins + 2 "ep" mounting tabs (Contact H); 12 plated slots 0.50 × 1.40 mm (+0.10/0) in 1.00 × 1.90 mm pads, two Ø1.20 mm locating holes for the Ø1.00 mm pegs; footprint JLC_Imported:AUDIO-TH_GT-3321667P-01</t>
  </si>
  <si>
    <t>Current / voltage / temperature</t>
  </si>
  <si>
    <t>500 mA, 30 V, -20…+70 °C (datasheet listing)</t>
  </si>
  <si>
    <t>≤ 0.2 A (short), ≤ 8 V, 50 °C</t>
  </si>
  <si>
    <t>60 %; 20 °C</t>
  </si>
  <si>
    <t>Owner-fitted (owner LCSC order, 5 pcs), not in the JLCPCB order; replaces the earlier row that bought it into the JLCPCB library for hand or wave soldering</t>
  </si>
  <si>
    <t>J701 (owner fitting)</t>
  </si>
  <si>
    <t>THT; JLC_Imported:AUDIO-TH_GT-3321667P-01</t>
  </si>
  <si>
    <t>THT joints (owner hand-soldering)</t>
  </si>
  <si>
    <t>THT allowed for owner fitting; lands with toes ≥ 0.3 mm, ≥ 1.5 mm iron clearance; holes per the G-Switch drawing: 12 plated slots 0.50 × 1.40 mm (+0.10/0) in 1.00 × 1.90 mm pads + two Ø1.20 mm peg holes (G-3 1:1 overlay)</t>
  </si>
  <si>
    <t>12 THT joints per board = 10 contact pins + 2 "ep" mounting tabs (Contact H), soldered from L4 after delivery (fitting order 3, Ordering plan)</t>
  </si>
  <si>
    <t>Was 7 joints (the seven-pin map, with JACK_LP on pad 1, was wrong); pads 9–12 are soldered but carry no trace</t>
  </si>
  <si>
    <t>J702 (SMD with two plated slot terminals; map from the HRO drawing)</t>
  </si>
  <si>
    <t>SMD with two plated slot terminals (pins 1/2 = sleeve and ring 2, GND: 0.60 × 1.5 mm slots in 1.00 × 1.9 mm pads) and four 1.6 × 1.5 mm surface lands (pins 3–6); two Ø1.20 mm locating pegs; 14 × 6.3 × 4.5 mm</t>
  </si>
  <si>
    <t>1 A, 30 V, -25…+80 °C (datasheet listing)</t>
  </si>
  <si>
    <t>≤ 0.2 A, ≤ 8 V, 50 °C</t>
  </si>
  <si>
    <t>JLCPCB "assembly difficulty high"; reflow peak rating not stated (the HRO drawing gives none, housing PPA; data gap) — confirm with JLCPCB (Economic reflow 255 ± 5 °C); pins 5/6 no connection: break contacts closed to pins 3/4 with no plug; tied to GND they would short JACK_RP/JACK_LP, shared with J701, whenever J702 is empty</t>
  </si>
  <si>
    <t>J702 pins 1/2 (plated slot terminals)</t>
  </si>
  <si>
    <t>two plated slots 0.60 × 1.5 mm in 1.00 × 1.9 mm pads (pins 1/2 = sleeve and ring 2, GND) + four surface lands (pins 3–6)</t>
  </si>
  <si>
    <t>Solder process (plated slots 1/2)</t>
  </si>
  <si>
    <t>JLCPCB listing "SMT Assembly, Economic and Standard, difficulty High" does not establish how the slots are soldered; JLCPCB stencil standard: no paste on through-hole pads unless designed on the paste layer or remarked</t>
  </si>
  <si>
    <t>lands 3-6 reflowed by JLCPCB; pads 1/2 (the two GND terminals: the question concerns ground and mechanical retention only): no F.Paste / remark until JLCPCB confirms the method in writing (G-6); fallback: the owner hand-solders pads 1/2 from L4 (2 joints); if JLCPCB cannot assemble the part at all, J702 becomes owner-fitted (owner LCSC order)</t>
  </si>
  <si>
    <t>open until JLCPCB answers (G-6); fallback defined, no part change</t>
  </si>
  <si>
    <t>Order-release item G-6 (question to JLCPCB on the Notes sheet); Parts list joints SMT 4 / THT 2</t>
  </si>
  <si>
    <t>J101 (12 surface lands in reflow)</t>
  </si>
  <si>
    <t>USB-C 16P: 12 composite GCT lands (16 JLCPCB pad IDs) + S1-S4 plated shell stakes + 2 x Ø0.65 mm NPTH locating holes</t>
  </si>
  <si>
    <t>Solder process / reflow (12 surface lands)</t>
  </si>
  <si>
    <t>Peak 255 °C (-0/+5) max 5 s (GCT datasheet); JLCPCB part page: Assembly Type "SMT Assembly", Economic and Standard, difficulty High, MSL 1</t>
  </si>
  <si>
    <t>JLCPCB Standard PCBA reflow 240 ± 5 °C (peak ≤ 245 °C) (JLCPCB capabilities) for the 12 surface lands; S1-S4 in the next row (no pin-in-paste claim until JLCPCB confirms)</t>
  </si>
  <si>
    <t>peak 10 °C below the minimum allowed peak; dwell near peak not published</t>
  </si>
  <si>
    <t>Order remark: ask JLCPCB for the Standard profile (time above 240 °C); replaces the row that assumed the stakes reflowed by pin-in-paste in the same pass</t>
  </si>
  <si>
    <t>J101 S1–S4 (plated shell stakes)</t>
  </si>
  <si>
    <t>4 plated shell-stake slots S1-S4 (0.95 mm stakes) on N1_SHIELD</t>
  </si>
  <si>
    <t>Solder process (shell stakes S1-S4)</t>
  </si>
  <si>
    <t>JLCPCB stencil standard (section 5): through-hole pads get no paste opening unless designed on the paste layer or remarked; pin-in-paste for the USB4105-GF-A on a top-side Standard PCBA order not yet confirmed by JLCPCB</t>
  </si>
  <si>
    <t>no F.Paste on S1-S4 until JLCPCB confirms in writing pin-in-paste and the aperture geometry, or an order remark (G-6); fallback (no part change, no cost): JLCPCB reflows the 12 surface lands and the owner hand-solders S1-S4 from L4 (no parts there) before the first plug-in; 0.95 mm stakes do not protrude through 1.6 mm → no wave soldering (worst-case calculation)</t>
  </si>
  <si>
    <t>open until JLCPCB answers (G-6); fallback defined</t>
  </si>
  <si>
    <t>The stakes carry the shell (N1_SHIELD) and the mechanical retention — never use the board with them unsoldered; a JLCPCB manual-solder step, if JLCPCB proposes one, is priced from their quote; evidence row R-70 stays open until JLCPCB answers</t>
  </si>
  <si>
    <t>Verdict summary (current rows)</t>
  </si>
  <si>
    <t>Rows</t>
  </si>
  <si>
    <t>FAIL</t>
  </si>
  <si>
    <t>All current rows</t>
  </si>
  <si>
    <t>Rows not plain OK (THIN + AVAIL + DATA-GAP)</t>
  </si>
  <si>
    <t>Evidence register — every requirement and limit with its evidence class</t>
  </si>
  <si>
    <t>120 rows. Class G = guaranteed (datasheet limits plus a worst-case calculation; a row is G only if every input is G); E = engineering estimate (the assumption, i.e. the capping input, is named); Q = qualification obligation, open until the bring-up record exists — no board exists yet, so no Q row has passed; — = retired or process row. The release calculations are reproducible with the calculation package DAC_HPA_Calculation_Package_v1.1.zip (one verification command); the IDs match the Design Specification v1.1, Appendix D.</t>
  </si>
  <si>
    <t>ID</t>
  </si>
  <si>
    <t>Requirement or limit</t>
  </si>
  <si>
    <t>Evidence</t>
  </si>
  <si>
    <t>Qualification test</t>
  </si>
  <si>
    <t>Assumptions (capping input)</t>
  </si>
  <si>
    <t>Status</t>
  </si>
  <si>
    <t>R-01</t>
  </si>
  <si>
    <t>PCM 44.1-384 kHz, 16-32 bit, 8 rates exact integer clock ratios, 50:50 BCLK</t>
  </si>
  <si>
    <t>All 8 rates exact; BCLK duty 50.0 %</t>
  </si>
  <si>
    <t>worst-case calculation; design: X202/X203 family clocks 49.152/45.1584 MHz, U205 mux, CPLD binary dividers /2/4/8/16, no PLL; margin exact by construction; status: met (calculation); bring-up measurement bit-perfect i-11</t>
  </si>
  <si>
    <t>Bit-perfect capture at all 8 rates (bring-up i-11)</t>
  </si>
  <si>
    <t>None: every input is G (datasheet limits, construction, G rows)</t>
  </si>
  <si>
    <t>Guaranteed by worst-case calculation from limits; the listed test verifies, it is not an input</t>
  </si>
  <si>
    <t>R-02</t>
  </si>
  <si>
    <t>UAC2 High-Speed; Windows/macOS/Linux/Android</t>
  </si>
  <si>
    <t>Feedback table assertions passed; FIFO 512 frames</t>
  </si>
  <si>
    <t>worst-case calculation; design: CH32V307 HS PHY, async feedback from LRCLK counter, feedback values from the rate table; status: met (calculation); bring-up measurement enumeration on 4 OS</t>
  </si>
  <si>
    <t>Enumeration + playback on Windows/macOS/Linux/Android</t>
  </si>
  <si>
    <t>Measurement: enumeration + playback on Windows/macOS/Linux/Android is the acceptance evidence</t>
  </si>
  <si>
    <t>Open qualification obligation: open until the measurement record exists (no board built yet; nothing has passed) · class in v1.0: E</t>
  </si>
  <si>
    <t>R-03</t>
  </si>
  <si>
    <t>I²S timing to the DAC at 384 kHz</t>
  </si>
  <si>
    <t>Setup 14.0 ns / hold 16.1 ns</t>
  </si>
  <si>
    <t>worst-case calculation (skew assumption); design: CPLD I²S master, 33 Ω series, ≤ 25 mm matched; margin 14.0 / 16.1 ns; status: met (calculation)</t>
  </si>
  <si>
    <t>Scope setup/hold at 384 kHz</t>
  </si>
  <si>
    <t>Assumption: board skew 2.22 ns (layout not routed yet)</t>
  </si>
  <si>
    <t>Estimate: holds as far as the capping inputs; the listed test is a planned confirmation (no result yet) · class in v1.0: G</t>
  </si>
  <si>
    <t>R-04</t>
  </si>
  <si>
    <t>ESS MCLK ≥ 192 × FSR, period/high/low limits</t>
  </si>
  <si>
    <t>MCLK/FSR 208.3 at 384 kHz; 12.5 ns period; high/low ≥ 5.5 ns; duty 45-55 %</t>
  </si>
  <si>
    <t>datasheet limits + worst-case calculation; design: X201 Kyocera KC2520K80 80.000 MHz; margin +8.5 %; +2.5 ns; +1.0 ns; duty 0 %; status: met (calculation); duty bring-up measurement i-6 (fallback R203 0 Ω / NDK)</t>
  </si>
  <si>
    <t>Duty/edges at U301 XI (TP711); fallback R203 0 Ω / NDK part</t>
  </si>
  <si>
    <t>A-14: X201 duty 45-55 % = the ESS limit (zero margin)</t>
  </si>
  <si>
    <t>Open qualification obligation: open until the measurement record exists (no board built yet; nothing has passed)</t>
  </si>
  <si>
    <t>R-05</t>
  </si>
  <si>
    <t>THD+N ≤ -105 dB (min -100) at 1 kHz, 0 dBFS, 300 Ω, both jacks</t>
  </si>
  <si>
    <t>-112.9 dB typ; switch ≤ -164 dB bound</t>
  </si>
  <si>
    <t>typical datasheet data + worst-case calculation; design: OPA2210 I/V + OPA1622 legs, TLP3545A switch; margin 7.9 dB (typ); status: met (typical, calculation); bring-up measurement i-11</t>
  </si>
  <si>
    <t>THD+N 1 kHz 0 dBFS 300 Ω, LEG vs JACK</t>
  </si>
  <si>
    <t>Typical: ES9018K2M / OPA2210 / OPA1622 THD+N typical only</t>
  </si>
  <si>
    <t>Estimate: holds as far as the capping inputs; the listed test is a planned confirmation (no result yet)</t>
  </si>
  <si>
    <t>R-06</t>
  </si>
  <si>
    <t>Dynamic range ≥ 115 dB(A) (min 112)</t>
  </si>
  <si>
    <t>117.8-119.5 dB(A)</t>
  </si>
  <si>
    <t>typical datasheet data + worst-case calculation; design: DAC 127 dB-A typ reduced by the trim; noise 1.75/2.83 µVrms; margin +2.8 dB (typ); status: met (typical, calculation); bring-up measurement i-11</t>
  </si>
  <si>
    <t>DR measurement (A-weighted)</t>
  </si>
  <si>
    <t>Typical: ESS DR / DNR and op-amp noise densities typical only</t>
  </si>
  <si>
    <t>R-07</t>
  </si>
  <si>
    <t>Level after calibration 1.55 Vrms per leg (4.4 mm 3.1 Vrms) ±0.1 dB</t>
  </si>
  <si>
    <t>All units reach 1.55 Vrms (lowest-gain unit +0.54 dB spare on the ESS typical full scale)</t>
  </si>
  <si>
    <t>worst-case calculation + per-board calibration - Q; design: untrimmed 1.653-2.165 Vrms, master trim -2.90…-0.56 dB, per-channel trim ±0.05 dB; margin +0.56 dB trim range; ±0.05 dB vs ±0.1 dB; status: Q: the level is set per board by the calibration measurement (open until the calibration record exists); post-calibration drift within ±0.35 dB (3V3A window)</t>
  </si>
  <si>
    <t>Production calibration to 1.55 Vrms ±0.05 dB</t>
  </si>
  <si>
    <t>Measurement: the level is SET per board by the production calibration (caps the row)</t>
  </si>
  <si>
    <t>Open qualification obligation: open until the measurement record exists (no board built yet; nothing has passed) · class in v1.0: G</t>
  </si>
  <si>
    <t>R-08</t>
  </si>
  <si>
    <t>Pre-calibration default -4.5 dB</t>
  </si>
  <si>
    <t>0.983-1.293 Vrms per leg uncalibrated (ESS typical full scale)</t>
  </si>
  <si>
    <t>worst-case calculation (ESS typical full scale) - E; design: master trim 0x4C3EA838; margin ≤ 1.55 Vrms (+0.26 V); status: E: the -4.5 dB default word is exact; the level rests on the typical ESS full scale</t>
  </si>
  <si>
    <t>Check the default trim register on first boot</t>
  </si>
  <si>
    <t>Typical: ESS full-scale source 0.924 × AVCC; assumption: AVCC current 8 mA</t>
  </si>
  <si>
    <t>R-09</t>
  </si>
  <si>
    <t>High 3.5 mm ≥ 50 mW at 32 Ω</t>
  </si>
  <si>
    <t>54.9 mW at VBUS 4.60 V; the guaranteed floor needs RNEG ≤ 5.42 Ω at 4.60 V (4.09 Ω at 4.40 V) against 2.5 Ω typical</t>
  </si>
  <si>
    <t>worst-case calculation (RNEG typical, dropout slope, High need IQ / CP) - E; design: High IOS min 395.4 mA (R510 3.74 k with R509 4.75 k) vs High peak need 320.1 mA; rails 3.789 / -3.661 V min while the LM27762 regulates; margin +4.9 mW (+2.3 mW at 4.40 V on the typical RNEG); status: E: met at VBUS ≥ 4.60 V on the typical RNEG; 4.40 V is a measured corner (L-3); calibrated unit is a precondition (≥ 0.78 dB level margin)</t>
  </si>
  <si>
    <t>Power at 32 Ω, VBUS 4.60 and 4.40 V (i-12)</t>
  </si>
  <si>
    <t>A-11: rails in regulation: RNEG ≤ 5.42 Ω at VBUS 4.60 V (4.09 Ω at 4.40 V) needed; RNEG typical only; assumption: LDO dropout slope typical ×1.5; assumption: the High need contains the LM27762 IQ (no maximum) and CP 1.03 (estimated)</t>
  </si>
  <si>
    <t>R-10</t>
  </si>
  <si>
    <t>High 4.4 mm ≥ 105 mW at 60 Ω</t>
  </si>
  <si>
    <t>114.3 mW at 4.60 V; needs RNEG ≤ 5.13 / 3.86 Ω at 4.60 / 4.40 V</t>
  </si>
  <si>
    <t>worst-case calculation (RNEG typical, dropout slope) - E; design: as R-09; margin +9.3 mW (+2.0 mW at 4.40 V on the typical RNEG); status: E: met at VBUS ≥ 4.60 V on the typical RNEG; 4.40 V is a measured corner (L-3)</t>
  </si>
  <si>
    <t>Power at 60 Ω balanced, VBUS 4.60 and 4.40 V (i-12)</t>
  </si>
  <si>
    <t>A-11: RNEG ≤ 5.13 Ω at VBUS 4.60 V (3.86 Ω at 4.40 V) needed; RNEG typical only; assumption: LDO dropout slope typical ×1.5; assumption: High need IQ / CP terms</t>
  </si>
  <si>
    <t>R-11</t>
  </si>
  <si>
    <t>High 4.4 mm ≥ 65 mW at 120 Ω</t>
  </si>
  <si>
    <t>71.9 mW; needs RNEG ≤ 7.93 / 6.03 Ω at 4.60 / 4.40 V</t>
  </si>
  <si>
    <t>worst-case calculation (RNEG typical) - E; design: as R-09; margin +6.9 mW; status: E: met on the typical RNEG</t>
  </si>
  <si>
    <t>Power at 120 Ω balanced</t>
  </si>
  <si>
    <t>A-11: rails in regulation: the floor needs |V-| ≥ 3.523 V at I- pk 104.9 mA → RNEG ≤ 7.93 Ω at 4.60 V (6.03 Ω at 4.40 V); RNEG typical only; typical: LDO dropout slope 0.45 Ω (30 mV typical ×1.5); assumption: placeholder VIN from power</t>
  </si>
  <si>
    <t>R-12</t>
  </si>
  <si>
    <t>High 4.4 mm ≥ 30 mW at 300 Ω</t>
  </si>
  <si>
    <t>32.0 mW at FS; floor 31.1 mW</t>
  </si>
  <si>
    <t>worst-case calculation + per-board calibration - Q; design: |V-| min 3.661 V ≥ 3.625 V needed while the LM27762 regulates (RNEG ≤ 11.02 Ω); calibrated FS -0.1 dB = 2.167 V per leg vs 2.124 V needed; margin +1.1 mW; 0.17 dB (1.98 %) level margin at the calibrated FS; status: Q: rests on the measured calibration accuracy (R-07); the 3V3A window drift (3.9 %) could exceed the 1.98 % left</t>
  </si>
  <si>
    <t>Power at 300 Ω balanced</t>
  </si>
  <si>
    <t>R-07: the calibrated -0.1 dB level 2.167 V leaves 0.17 dB (1.98 %): the row rests on the MEASURED calibration accuracy</t>
  </si>
  <si>
    <t>R-13</t>
  </si>
  <si>
    <t>Default 3.5 mm ≥ 38 mW at 32 Ω</t>
  </si>
  <si>
    <t>3.5 mm 32 Ω Default ≈ 38.9 mW</t>
  </si>
  <si>
    <t>datasheet limits + worst-case calculation (IQ typical, CP estimate) - E; final; design: U503 Default IOS min 180.05 mA (R509 4.75 k 0.1 % owner-fitted) vs the Default need 178.96 mA (A-35: LM27762 IQ without a published maximum, CP factor 1.03 estimated); margin +1.09 mA IOS (E); used up at LM27762 IQ 2.09 mA or CP 1.038; status: E: met at the eFuse minimum on the estimated need; first-board LM27762 overhead measurement and the production test</t>
  </si>
  <si>
    <t>Default 32 Ω power at the measured U503 limit (i-4)</t>
  </si>
  <si>
    <t>A-35: Default need 178.96 mA → +1.09 mA; used up at LM27762 IQ 2.09 mA (5.4 × typical) or CP 1.038; A-35: the need 178.96 mA contains the LM27762 IQ (390 µA typ, no max) and CP 1.03 (estimated) → +1.09 mA is E</t>
  </si>
  <si>
    <t>R-14</t>
  </si>
  <si>
    <t>Default 4.4 mm ≥ 17 / 35 / 30 mW at 60 / 120 / 300 Ω</t>
  </si>
  <si>
    <t>60 / 120 Ω: +11.0 / +4.4 mA (tolerating IQ ≤ 12.0 / 5.4 mA or CP ≤ 1.164 / 1.081); the 300 Ω target sits at the calibrated FS as R-12</t>
  </si>
  <si>
    <t>datasheet limits + worst-case calculation + per-board calibration - Q; final; design: Default IOS min 180.05 mA vs the Default need (A-35); margin +1.09 mA IOS at the 32 Ω target; 0.17 dB level margin at 300 Ω; status: Q: the 300 Ω target rests on the measured calibration accuracy (R-07, R-12); 60 / 120 Ω are E</t>
  </si>
  <si>
    <t>Default power at 60/120/300 Ω</t>
  </si>
  <si>
    <t>R-12: the 300 Ω target sits at the calibrated FS (rests on the measured calibration accuracy)</t>
  </si>
  <si>
    <t>R-15</t>
  </si>
  <si>
    <t>Output impedance ≤ 0.5 Ω incl. contacts and switch</t>
  </si>
  <si>
    <t>3.5 mm 0.251 Ω; 4.4 mm 0.383 Ω (0.223 / 0.327 Ω with the bead alternate)</t>
  </si>
  <si>
    <t>datasheet limits + assumption + worst-case calculation; design: RON 0.060 Ω ×1.35 at 60 °C per switch; 0 Ω links, contacts; margin 0.249 / 0.117 Ω; status: met (calculation); bring-up measurement O12</t>
  </si>
  <si>
    <t>Output impedance at 25/60 °C (O12)</t>
  </si>
  <si>
    <t>A-02: RON ×1.35 at 60 °C. Assumption: J701/J702 contact resistance 50 mΩ per contact and 0 Ω links 50 mΩ each; the maker drawings give no contact-resistance maximum, so the owner kept this assumption (27 Sep 2026); these terms stay E until the bring-up output-impedance measurement.</t>
  </si>
  <si>
    <t>R-16</t>
  </si>
  <si>
    <t>Frequency response +0.1/-0.3 dB 20 Hz-20 kHz</t>
  </si>
  <si>
    <t>-0.09 dB worst at 20 kHz (passive poles C0G ±5 %, 0.1 % R, ESS filter maximum column) with ideal op-amps; the op-amp term is ≈ 1e-5 dB at typical GBW</t>
  </si>
  <si>
    <t>design: I/V pole 278 kHz, T pole 198 kHz, lead pole 8 MHz; margin 0.21 dB; status: E: met; insensitive to the op-amp GBW</t>
  </si>
  <si>
    <t>Frequency response 20 Hz-20 kHz</t>
  </si>
  <si>
    <t>MODEL: ideal op-amps (analog budget s7); the typical-model closed-loop run (stability_switch) shows no op-amp term at 20 kHz: second order, ≈ 1e-5 dB at typical GBW, fails only below ≈ typical/100; no GBW minimum published</t>
  </si>
  <si>
    <t>R-17</t>
  </si>
  <si>
    <t>Crosstalk balanced ≤ -100 dB (300 Ω); unbalanced ≤ -75 dB (32 Ω, at the jack)</t>
  </si>
  <si>
    <t>SE -84 dB at 2 mohm (-75 dB at 5.7 mohm); switch-to-switch -166 dB; balanced ≤ 0.3 pF rule for -100 dB</t>
  </si>
  <si>
    <t>worst-case calculation; design: L/R separation, dedicated return strip ≤ 5.7 mohm (target 2 mohm), separate switch packages; margin 9 dB at the layout target; status: met (calculation) if layout rules kept; bring-up measurement i-11</t>
  </si>
  <si>
    <t>Crosstalk 3.5 mm 32 Ω / 4.4 mm 300 Ω</t>
  </si>
  <si>
    <t>Assumption: layout return-path target 2 mΩ (routing pending)</t>
  </si>
  <si>
    <t>R-18</t>
  </si>
  <si>
    <t>Channel balance ≤ 0.3 dB (trim ±0.05 dB)</t>
  </si>
  <si>
    <t>≤ 0.094 dB after trim</t>
  </si>
  <si>
    <t>worst-case calculation + per-channel calibration - Q; design: per-channel trim; switch RON mismatch ≤ 0.081 Ω; margin 0.206 dB; status: Q: the balance after trim rests on the per-channel calibration measurement</t>
  </si>
  <si>
    <t>Channel balance after trim</t>
  </si>
  <si>
    <t>Measurement: the balance after trim rests on the per-channel calibration measurement</t>
  </si>
  <si>
    <t>R-19</t>
  </si>
  <si>
    <t>DC offset ≤ ±10 mV unbalanced, ≤ ±20 mV balanced (0-50 °C)</t>
  </si>
  <si>
    <t>Guaranteed 5.61 / 11.21 mV (G); with DAC terms 7.73 / 15.47 mV (E)</t>
  </si>
  <si>
    <t>datasheet limits + assumption (DAC terms) + worst-case calculation; analog budget 5; design: mixed leg network (2.00 k legs 0.05 %/10 ppm, mixed leg network); guaranteed terms split from DAC terms; margin 4.39 / 8.79 mV (G); 2.27 / 4.53 mV (E); status: Q: the DAC terms are closed only by the per-board offset test at 0-5 / 25 / 50 °C (open until the measurement records exist)</t>
  </si>
  <si>
    <t>Per-board offset test at 0-5 / 25 / 50 °C (mixed leg network procedure, all 5 boards)</t>
  </si>
  <si>
    <t>A-10: DAC terms (3 % pair, 1 mV null) unpublished → 7.73 / 15.47 mV (E); compliance rests on the per-board mixed leg network test</t>
  </si>
  <si>
    <t>R-20</t>
  </si>
  <si>
    <t>Protection: DC ≥ 2 V removed within 100 ms (hardware)</t>
  </si>
  <si>
    <t>≤ 27.2 ms from every reachable pre-fault state (rail-bounded, no calibration input), single leg, any partner content; with pre-fault content at or below the calibrated ceiling ≤ 27.1 ms</t>
  </si>
  <si>
    <t>worst-case calculation (switch tOFF ×2, persistence detector node leakage, comparator tpd, OR test-line low level, reset VCE(sat)) - E; the former RC window stage is removed; margin 73 %; status: E: met; Q test: 2.00 V per leg and polarity → 19.5-27 ms; 3.8 V with FS 100 Hz content on the partner leg → ≤ 27 ms</t>
  </si>
  <si>
    <t>2.00 V per leg and polarity → removal 19.5-27 ms; 3.8 V with FS 100 Hz content on the partner leg → ≤ 27 ms</t>
  </si>
  <si>
    <t>A-01: switch tOFF ×2; A-33: persistence detector node leakage ≤ 1 µA (T_P max side); A-43: TLV1704 tpd, LPW node leakage; assumption: OR test line (PC15 / N6_ORTEST) low at ≤ 10 mV (≤ 5 µA): V_OR- rests on it; A-46: persistence detector timer reset level VCE(sat) ≤ 0.20 V at low current is not a datasheet bound</t>
  </si>
  <si>
    <t>R-21</t>
  </si>
  <si>
    <t>Protection: DC ≥ 1 V removed within 250 ms (hardware)</t>
  </si>
  <si>
    <t>≤ 102.7 ms from every reachable pre-fault state (rail-bounded, no calibration input); with pre-fault content at or below the calibrated ceiling ≤ 101.3 ms</t>
  </si>
  <si>
    <t>worst-case calculation (switch tOFF ×2, leakage, comparator tpd, reset VCE(sat)) - E; V_LL +0.279…0.322 / -0.283…-0.324 V; margin 59 %; status: E: met; Q test: 0.35 V → 76-105 ms; FS 20 Hz for 1 s, then +0.97 V → ≤ 102 ms</t>
  </si>
  <si>
    <t>0.35 V → 76-105 ms; FS 20 Hz for 1 s, then +0.97 V → ≤ 102 ms</t>
  </si>
  <si>
    <t>A-01: switch tOFF ×2; A-04: TLV3402 delay 3 × typical; A-33: persistence detector node leakage ≤ 1 µA; A-43: TLV1704 tpd, LPW node leakage; A-46: persistence detector timer reset level VCE(sat) ≤ 0.20 V at low current is not a datasheet bound</t>
  </si>
  <si>
    <t>R-22</t>
  </si>
  <si>
    <t>Rail-stuck output, either polarity, High mode: ≤ 30 mJ at 16 Ω, ≤ 15 mJ at 32 Ω</t>
  </si>
  <si>
    <t>Rail-stuck leg, SE load, any partner content, from every reachable pre-fault state (rail-bounded): 26.48 / 13.24 mJ at 16 / 32 Ω on the 4.049 V R501-fallback rail, 24.78 / 12.39 mJ on the released 3.915 V rail, removal ≤ 25.9 ms; with pre-fault content at or below the calibrated ceiling 26.40 / 13.20 mJ (24.69 / 12.35 mJ at 3.915 V), removal ≤ 25.8 ms; balanced one-leg-stuck ≤ 13.24 mJ at 32 Ω (equal to the SE value), 14.9 mJ at 16 Ω (ISC 190 mA assumed)</t>
  </si>
  <si>
    <t>worst-case calculation (switch tOFF ×2, leakage, comparator tpd, OR test-line low level, ISC, reset VCE(sat)) - E; design: OR / LPW stages + persistence detector (any partner content); fault energy per the Spec definition E = V_DC^2 / R x removal time; margin 12 %; status: E: met under the Spec DC-energy definition; the total terminal energy with FS partner content on a balanced load is published as information (32 Ω High 24.1-24.7 mJ, 16 Ω ≤ 23.85 mJ, Default ≤ 11.3 mJ)</t>
  </si>
  <si>
    <t>Rail-stuck injection test (i-9)</t>
  </si>
  <si>
    <t>A-01: switch tOFF ×2; A-04: TLV3402 delay 3 × typical; A-33: persistence detector node leakage ≤ 1 µA; A-43: TLV1704 tpd, LPW node leakage; assumption: ISC 190 mA (16 Ω balanced one-leg-stuck only: 14.9 mJ); assumption: OR test line (PC15 / N6_ORTEST) low at ≤ 10 mV (≤ 5 µA): V_OR- rests on it; A-46: persistence detector timer reset level VCE(sat) ≤ 0.20 V at low current is not a datasheet bound</t>
  </si>
  <si>
    <t>R-23</t>
  </si>
  <si>
    <t>Balanced +-x failure: ≤ 30 / 15 mJ</t>
  </si>
  <si>
    <t>16 Ω 26.08 mJ at 1.008 V per leg, removal 102.7 ms, from every reachable pre-fault state (rail-bounded; 25.70 mJ at 101.2 ms with pre-fault content at or below the calibrated ceiling); 32 Ω 13.67 mJ at the released swing limit (2.077 V per leg), 14.87 mJ with the R501 fallback (2.166 V per leg), both on the typical OPA1622 swing credit (A-45)</t>
  </si>
  <si>
    <t>design: OR / LPW stages + persistence detector; balanced sweep over every level up to the swing limit; margin 13.1 % / 8.8 % (0.8 % fallback); status: E: met</t>
  </si>
  <si>
    <t>Balanced +-x injection from the history states (after a 20 Hz half-cycle, pre-charged sub-threshold DC, just above the floor); persistence detector T_P at 50 °C (19.50-23.37 ms)</t>
  </si>
  <si>
    <t>A-01: switch tOFF ×2; A-04: TLV3402 delay 3 × typical; A-33: persistence detector node leakage ≤ 1 µA; A-43: TLV1704 tpd, LPW node leakage; typical: OPA1622 typical swing limit (0.8 V + 8 Ω/A); A-46: persistence detector timer reset level VCE(sat) ≤ 0.20 V at low current is not a datasheet bound</t>
  </si>
  <si>
    <t>R-24</t>
  </si>
  <si>
    <t>Firmware tiers remove DC ≥ 0.2 V within 3 s; sub-hardware cases ≤ 30 / 15 mJ</t>
  </si>
  <si>
    <t>T1 ≥ 1.001 / 1.015 V within 218 ms; T2 ≥ 0.313 / 0.312 V within 603 ms; T3 ≥ 0.178 / 0.195 V within 2.36 s (leg / pair, over the swept history set); below the 0.34 / 0.68 V floor pair ≤ 17.4 / 8.7 mJ, leg ≤ 14.5 / 7.3 mJ at 16 / 32 Ω</t>
  </si>
  <si>
    <t>design: firmware tiers T1 / T2 / T3 per leg and pair (ADC2 20 kHz, FIR estimator); history robustness shown over the swept history set (bursts, polarity reversals, short opposite pulses); margin DC ≥ 0.2 V removed well within 3 s; status: E: met; the exact deadlines hold for the swept set (an independent model reaches 604 ms / 2.367 s in constructed cases, still below 3 s)</t>
  </si>
  <si>
    <t>Tier boundary tests (i-10)</t>
  </si>
  <si>
    <t>A-16: MCU pin leakage 1 µA; assumption: the history set is FINITE (pre-states i-iv), not a universal bound: a history outside it can delay a trip slightly (independent check: +9 ms at 0.176 V, +1 ms at T2); over the swept histories: T1 ≥ 1.001 / 1.015 V within 218 ms, T2 ≥ 0.313 / 0.312 V within 603 ms, T3 ≥ 0.178 / 0.195 V within 2.36 s - the 3 s owner rule keeps a margin of &gt; 0.6 s</t>
  </si>
  <si>
    <t>R-25</t>
  </si>
  <si>
    <t>Residual &lt; 0.2 V accepted (owner)</t>
  </si>
  <si>
    <t>Residual ≤ 2.43 mW into 16 Ω (0.197 V squared / 16 Ω; 2.38 mW content-bounded)</t>
  </si>
  <si>
    <t>worst-case calculation - E; design: the tiers never remove DC below the T3 levels 0.178 / 0.195 V (rail variant 0.179 / 0.197 V); status: accepted by the owner (brief); E via R-24</t>
  </si>
  <si>
    <t>R-24: tier T3 levels 0.178 / 0.195 V (rail variant 0.179 / 0.197 V)</t>
  </si>
  <si>
    <t>R-26</t>
  </si>
  <si>
    <t>No false trip for full-scale content ≥ 20 Hz (state the corner)</t>
  </si>
  <si>
    <t>FS sines ≥ 20 Hz never trip: margins 6.4 / 5.7 / 4.3 % at 2.192 / 2.230 / 2.325 V per leg, 13.9 / 6.6 % at the -4.5 dB default; FS squares mute certainly ≤ 21.4 Hz, may mute up to 25.6 Hz</t>
  </si>
  <si>
    <t>worst-case calculation (ESS tempco, default-level model, reset VCE(sat)) - E; design: persistence detector (V_L 1.802-2.016 V, T_P 19.50-23.37 ms); the OR / LPW stages add no run time; content at or below the calibrated FS ceiling 2.325 V per leg is a precondition; margin +1.16 dB to the first 20 Hz trip (7 × the calibration window); status: E: met at or below the calibrated FS; uncalibrated boards run at -4.5 dB; the square-wave boundary is adopted by default and presented to the owner</t>
  </si>
  <si>
    <t>FS 20 Hz sine at the calibrated level: no trip; FS squares 21.4 Hz mute, 26 Hz no mute; uncalibrated board at -4.5 dB</t>
  </si>
  <si>
    <t>A-04: TLV3402 delay 3 × typical; MODEL: -4.5 dB default level 1.828 V (ESS typical model); A-40: uncalibrated boards run at the -4.5 dB default: margins 13.9 / 6.6 %; A-46: persistence detector timer reset level VCE(sat) ≤ 0.20 V at low current is not a datasheet bound; typical: ESS full-scale tempco unpublished: post-calibration drift beyond the datasheet limits 3V3A term is covered only by the +1.16 dB margin (independent check suggests Q; E kept: no measured value is relied on)</t>
  </si>
  <si>
    <t>R-27</t>
  </si>
  <si>
    <t>Stream DC guard content boundary (OD-1 stricter check)</t>
  </si>
  <si>
    <t>Full-scale sines ≥ 20 Hz never mute (margins 8 % P1, 36 % P2, 65 % P4); full-scale squares ≤ 22.7 Hz and offsets ≥ 0.15 FS mute (owner-accepted)</t>
  </si>
  <si>
    <t>worst-case calculation; design: OD-1 rules P1-P4 on the USB-side and post-CPLD guards; margin 8 % (P1, sine); status: met (calculation) with the owner-accepted boundary; bring-up measurement i-17…i-20</t>
  </si>
  <si>
    <t>OD-1 content tests (i-17…i-20)</t>
  </si>
  <si>
    <t>R-28</t>
  </si>
  <si>
    <t>Digital DC content / CPLD frozen word energy (not a written requirement)</t>
  </si>
  <si>
    <t>OD-1: full-scale digital DC removed ≤ 23.6 ms: 13.8 mJ at 32 Ω bal, 25.3 mJ at 16 Ω bal, 3.6 / 6.9 mJ SE</t>
  </si>
  <si>
    <t>worst-case calculation; design: USB-side design guard + post-CPLD design guard on PB12/13/15; margin 1.2 mJ (32 Ω bal) / 4.7 mJ (16 Ω bal); status: met (decided OD-1, 25 Sep 2026)</t>
  </si>
  <si>
    <t>Flat digital DC tests (i-19)</t>
  </si>
  <si>
    <t>Assumption: DAC filter delay ≤ 1 ms; A-01: switch tOFF ×2</t>
  </si>
  <si>
    <t>R-29</t>
  </si>
  <si>
    <t>Frozen DAC code with X201 failing while enabled (not a written requirement)</t>
  </si>
  <si>
    <t>X201 dead ≤ 2.43 ms, ≤ 1.39 / 1.24 mJ; frozen DC removed ≤ 25.4 ms by persistence detector; R665 330 Ω</t>
  </si>
  <si>
    <t>worst-case calculation (TLV3402 delay 3 × typical) - E; design: supervisor: MCLK-alive (U607/D609 → U606 ch2), 1V3 good (U606 ch1) into N6_H; margin vs ≤ 3 ms / ≤ 2 mJ (requirement); status: E: met</t>
  </si>
  <si>
    <t>Boot self-test (b)/(c); MCLK-alive with R665 330 Ω</t>
  </si>
  <si>
    <t>A-04: TLV3402 delay 3 × typical (3V3A path); A-15: MCLK-alive tap margin; R-61: frozen DC removed ≤ 25.4 ms by persistence detector</t>
  </si>
  <si>
    <t>R-30</t>
  </si>
  <si>
    <t>Pop ≤ 5 mV peak, controlled transitions (32 and 300 Ω)</t>
  </si>
  <si>
    <t>Power-up ≤ 4.70 mV at 300 Ω (COFF 1 nF, 22 % mismatch); ≤ 4.11 mV with C441; power-down 0.126 mV</t>
  </si>
  <si>
    <t>worst-case calculation; design: switch open in all sequences; reg 14 = 0x03 ramp before RESETB; 10 ms wait after RELAY_EN high; margin 0.30 mV (6 %); status: met (calculation, thin); bring-up measurement O10; fallback C441</t>
  </si>
  <si>
    <t>Pop at 300/600 Ω, 5 boards, 0/50 °C (O10)</t>
  </si>
  <si>
    <t>A-03: COFF ≤ 1 nF; assumption: 22 % DAC pin mismatch (ESS publishes none); A-12: LP5907 current limit (unpublished); typical: ESS ramp end state</t>
  </si>
  <si>
    <t>R-31</t>
  </si>
  <si>
    <t>Pop ≤ 20 mV at unplug/brownout (target)</t>
  </si>
  <si>
    <t>DAC pins inside GND…AVCC at every hard unplug (exposure 0 ms, 1944 corners); jack transient = measured target</t>
  </si>
  <si>
    <t>worst-case calculation (hold-up model) + measured target - Q; design: I/V hold-up (D411/D412, C442/C443) + brown-out ISR; status: Q: the jack transient ≤ 20 mV is the measured target (L-5, i-13 / M11); the DAC-pin part is E</t>
  </si>
  <si>
    <t>Hot-unplug scope at music level (i-13, M11)</t>
  </si>
  <si>
    <t>Measurement: the requirement (jack transient ≤ 20 mV) is the measured target L-5 (i-13 / M11), not calculated</t>
  </si>
  <si>
    <t>R-32</t>
  </si>
  <si>
    <t>USB before configuration ≤ 100 mA</t>
  </si>
  <si>
    <t>S1 82.40 mA</t>
  </si>
  <si>
    <t>worst-case calculation (planning values) + production test - Q; final saved run; design: 3V3M only, MCU ≥ 5.2 ms on HSI after reset; margin 17.60 mA; status: Q: the S1 ≤ 90 mA production test on every board is the acceptance evidence (open until the records exist)</t>
  </si>
  <si>
    <t>S1 current on every board (production test)</t>
  </si>
  <si>
    <t>Measurement: S1 ≤ 90 mA production test on every board (Default acceptance criterion) is the acceptance evidence</t>
  </si>
  <si>
    <t>R-33</t>
  </si>
  <si>
    <t>USB Default ≤ 500 mA</t>
  </si>
  <si>
    <t>S3 493.46 mA on the planning values (497.96 mA with the NDK X201 second source, no R509 change)</t>
  </si>
  <si>
    <t>datasheet limits + worst-case calculation + production test - Q; final; design: U503 Default IOS max 222.6 mA (R509 4.75 k); production test S3 ≤ 480 mA, S1 ≤ 90 mA (Default acceptance criterion); margin +6.54 mA to 500 (+2.04 mA with the NDK); production test 20 mA guard; status: Q: the per-board production test (S3 ≤ 480 mA, S1 ≤ 90 mA) is the acceptance evidence; open until the records exist; fallback firmware ceiling</t>
  </si>
  <si>
    <t>Production test per board: S3 ≤ 480 mA, S1 ≤ 90 mA (Default acceptance criterion); fallback firmware ceiling</t>
  </si>
  <si>
    <t>Measurement: S3 ≤ 480 mA production test on every board (Default acceptance criterion) is the acceptance evidence</t>
  </si>
  <si>
    <t>R-34</t>
  </si>
  <si>
    <t>High only with a ≥ 1.5 A Type-C advertisement</t>
  </si>
  <si>
    <t>Thresholds 0.20 / 0.66 / 1.23 V; High only after a ≥ 1.5 A advertisement (the High-mode current budget is row A-41)</t>
  </si>
  <si>
    <t>worst-case calculation (construction) - G; design: CC ADC classification, ILIM_HI via U505 (Default through reset); status: met by construction</t>
  </si>
  <si>
    <t>Type-C source classes 0.5/1.5/3 A (i-2)</t>
  </si>
  <si>
    <t>R-35</t>
  </si>
  <si>
    <t>Attach inrush ≤ 50 µC (USB-IF CU #45 region method)</t>
  </si>
  <si>
    <t>Region A 29.6 µC (incl. the 3V3M charge), region B 20.1 µC</t>
  </si>
  <si>
    <t>worst-case calculation (U502 start, 3V3M load credit, D102 10 nF assumed) - E; design: C104 + R109 470 k; C102 2.2 µF; 3V3M (TPS70933 on VBUS) starts at contact; margin 41 % / 60 %; status: E: met; bring-up measurement i-3</t>
  </si>
  <si>
    <t>USB-IF attach inrush (M1)</t>
  </si>
  <si>
    <t>Assumption: region separation uses U502 start ≤ 1 ms; assumption: the 3V3M term uses a load credit (1 - 0.1 A / ICL max); assumption: D102 10 nF is not a datasheet maximum</t>
  </si>
  <si>
    <t>R-36</t>
  </si>
  <si>
    <t>Suspend ≤ 2.5 mA within 10 ms of the last bus activity</t>
  </si>
  <si>
    <t>USB current at the suspend level ≤ 8.75 ms after the last SOF (S9: U102 off at S7 + 0.1 ms, tOFF ≤ 0.3 ms); S6 2.2755 / 2.1815 mA (legacy / C-to-C)</t>
  </si>
  <si>
    <t>worst-case calculation (MCU Stop planning value, Q507 hot leakage) + first-board measurement - Q; design: suspend power cut: TPS70933 on VBUS, U102 off in Stop (Q507 from PC14), D103 deleted, U101 pin 5 on 3V3M; margin 1.25 ms; +224 / +318 µA; status: Q: the suspend current on the first board, then on every board, is the acceptance evidence (open until the records exist)</t>
  </si>
  <si>
    <t>Suspend current on the first board, then every board</t>
  </si>
  <si>
    <t>Measurement: suspend current on the first board, then on every board, is the acceptance evidence for the L-1 2.5 mA limit</t>
  </si>
  <si>
    <t>R-37</t>
  </si>
  <si>
    <t>Thermal: every part within ratings at 50 °C ambient, VBUS up to 5.5 V</t>
  </si>
  <si>
    <t>Hottest TPS70933 (U502): 185 mW at VBUS 5.50 V, TJ ≈ 89 °C at 50 °C ambient, 99 °C with the +10 °C local-rise allowance (212 °C/W, datasheet limits); TLV767 88.8 C (S5 165.0 mA), LM27762 overload bound ≤ 116.1 C; U102 at the out-of-spec clamp 137.9 C; TPS2596 Default dead short 125.1 C (fault only)</t>
  </si>
  <si>
    <t>worst-case calculation (RthJA and local rise assumed) - E; design: U102 clamp 5.55 V; regulator choice; LM27762 overload bound +8.9 C; TLV767 +36.2 C; U102 clamp case +17.1 C; status: E: met; overload tests 30 min at bring-up</t>
  </si>
  <si>
    <t>30 min overload / 50 °C ambient IR scan</t>
  </si>
  <si>
    <t>A-20: thermal model (RthJA values, +10 °C local rise); assumption: U202 40 mA</t>
  </si>
  <si>
    <t>R-38</t>
  </si>
  <si>
    <t>Component stress (all parts)</t>
  </si>
  <si>
    <t>Current rows 181: OK 146, AVAIL 14, THIN 17, DATA-GAP 4, FAIL 0 (every part covered; incl. the connector rows of the schematic-capture review: J101 / J701 / J702)</t>
  </si>
  <si>
    <t>datasheet limits + worst-case calculation (THIN / DATA-GAP rows) - E; design: parts stress table; margin thin and data-gap items listed; status: E: 0 FAIL; thin and data-gap items tracked</t>
  </si>
  <si>
    <t>Stress items per the bring-up plan</t>
  </si>
  <si>
    <t>Assumption: DATA-GAP (4) and THIN (17) rows rest on missing or assumed data; the persistence detector reset level is E via A-46; typical: analog stress rows with typical inputs (OPA2210 ISC 65 mA typ, FB301/FB302 VCCA current; analog)</t>
  </si>
  <si>
    <t>R-39</t>
  </si>
  <si>
    <t>PCB 4 layers, 100 × 80 mm top-side placement (100 × 80 mm board; 100 × 70 mm the named alternative), SMT top only except the 4.4 mm jack, 90 Ω USB pair, JLCPCB rules</t>
  </si>
  <si>
    <t>Zdiff 90.0 Ω (field solver, nominal stack-up); placement fill 59.6 % at 100 × 80 mm (Z4 52 %, Z7 59.0 %)</t>
  </si>
  <si>
    <t>worst-case calculation (field-solver model, placement figure) - E; layout package; design: JLC04161H-7628, ENIG, EP thermal vias unfilled and tented, 100 × 80 mm top side (100 × 80 mm board), panel 100 × 90 mm with 2 × 5 mm rails; margin within 76.5-103.5 Ω; status: E: met; JLCPCB impedance check at order</t>
  </si>
  <si>
    <t>Impedance coupon / TDR; placement at 100 × 80 mm</t>
  </si>
  <si>
    <t>MODEL: field-solver Zdiff 90.0 Ω on the nominal stack-up (parts usb_diffpair_impedance); assumption: placement fill ≈ 60 % (59.6 %) at 100 × 80 mm is an estimate (parts placement_density Z4 52 %, Z7 59.0 %)</t>
  </si>
  <si>
    <t>R-40</t>
  </si>
  <si>
    <t>Photorelay IF ≥ 5.0 mA per string at 5V_SYS 4.30 V</t>
  </si>
  <si>
    <t>IF min ≈ 5.26 mA at 5V_SYS 4.30 V (RELAY_EN ≥ 2.81 V from the TPS70933 3V3M minimum 3.207 V), max 6.599 mA; 5V_SYS min 4.318 V (4.303 V with the J101 contact drop)</t>
  </si>
  <si>
    <t>datasheet limits + worst-case calculation (LED VF tempco, hFE at 0 °C) - E; design: OPA2333 current sink, R641/R642 24.9 Ω 0.1 % YAGEO RT0402BRD0724R9L; K601-K604 owner-fitted; margin +5 %; status: E: met; bring-up measurement i-8</t>
  </si>
  <si>
    <t>LED current per string at 0/25/50 °C, 4.30 V (i-8)</t>
  </si>
  <si>
    <t>Assumption: LED VF tempco -2.2 mV/K and hFE at 0 °C</t>
  </si>
  <si>
    <t>R-41</t>
  </si>
  <si>
    <t>Switch opens on RELAY_EN / MCU reset / MCLK stop / hardware trip</t>
  </si>
  <si>
    <t>Open 1.008 / 1.010 / 1.002 ms; H trip ≤ 1.96 ms released (2.00 ms fallback); after any trip re-close only after a fresh RELAY_EN edge with H recovered</t>
  </si>
  <si>
    <t>worst-case calculation (tOFF ×2) - E; design: R646, Q616 (N2_MCLK_OE), Q617 (H) in series with Q622 (re-arm latch re-arm latch U608); margin vs 100 / 250 ms removal limits; status: E: met; the latch tests are the Q row A-39</t>
  </si>
  <si>
    <t>Switch timing at 0/50 °C; short trip pulses with RELAY_EN held high</t>
  </si>
  <si>
    <t>A-01: switch tOFF ×2</t>
  </si>
  <si>
    <t>R-42</t>
  </si>
  <si>
    <t>ESS power order (VCCA/AVCC first, DVDD ≤ DVCC) and 1V3 1.235-1.365 V</t>
  </si>
  <si>
    <t>1V3 1.2716-1.3248 V; DVDD - DVCC ≤ +5 mV in every unplug corner; ESS order hardware-backed</t>
  </si>
  <si>
    <t>datasheet limits + worst-case calculation (unplug model, MCU reset thresholds, TLV3402 delay) - E; design: U303 EN tied to 3V3D; Q506/R530; U605B gates AUD_EN on 3V3A good; margin ≥ 37 / 40 mV; status: E: met; bring-up measurement i-5</t>
  </si>
  <si>
    <t>Discharge scope (M4)</t>
  </si>
  <si>
    <t>MODEL: DVDD - DVCC ≤ +5 mV from the power model (resistive-dropout LDOs); A-16: assumed MCU reset thresholds; A-04: TLV3402 delay typ ×3</t>
  </si>
  <si>
    <t>R-43</t>
  </si>
  <si>
    <t>Digital: 3V3D ≤ 3V3A + 0.3 V while MCLK can run (incl. hard unplug)</t>
  </si>
  <si>
    <t>Met in 288 / 288 unplug corners</t>
  </si>
  <si>
    <t>worst-case calculation; design: EN-derived order, U206 gate; status: met (calculation)</t>
  </si>
  <si>
    <t>Hard-unplug scope (M11)</t>
  </si>
  <si>
    <t>A-16: MCU reset thresholds 1.8/2.3 V; A-12: LP5907 reverse behaviour (both variants modelled)</t>
  </si>
  <si>
    <t>R-44</t>
  </si>
  <si>
    <t>Brown-out detection before the MCU reset</t>
  </si>
  <si>
    <t>Action 0.046-0.080 ms after source loss, 96 / 96 corners; margin at the 4.40 V corner +67…+114 mV; slow sag backed by the PVD (L-12)</t>
  </si>
  <si>
    <t>worst-case calculation (PA1 leakage, PVD level) - E; design: C103 100 pF C0G (design files), AWD 4.00 V, 2-sample debounce; margin ahead of the MCU reset in every corner; status: E: met, thin margin; L-12</t>
  </si>
  <si>
    <t>Brown-out ISR timing at a hard unplug and at a slow sag (M11)</t>
  </si>
  <si>
    <t>A-16: PA1 leakage 1 µA dominates the band; A-32: PVD threshold ≥ 2.9 V (L-12); A-22: brown-out margin +67…+114 mV at the 4.40 V corner (U502 fed from VBUS ahead of U102 since suspend power cut)</t>
  </si>
  <si>
    <t>R-45</t>
  </si>
  <si>
    <t>Programming mode: normal power-up to AUD_EN, RESETB low, MCLK off, switch open</t>
  </si>
  <si>
    <t>S5 352.53 mA (final)</t>
  </si>
  <si>
    <t>worst-case calculation (planning values) - E; final; design: firmware list K: only after SET_CONFIGURATION; ANA_SENSE supply-fault rule active; margin 147.47 mA to 500; status: E: met</t>
  </si>
  <si>
    <t>S5 current</t>
  </si>
  <si>
    <t>A-08: planning values (L-1)</t>
  </si>
  <si>
    <t>R-46</t>
  </si>
  <si>
    <t>High-mode headroom at VBUS 4.40 V, 32 Ω SE / 60 Ω bal (strict regulation, not a written requirement)</t>
  </si>
  <si>
    <t>Needs R_NEG ≤ 2.53 / 2.41 Ω (32 Ω SE / 60 Ω bal) at LM27762 VIN 4.224 V (power; analog uses 4.202 V); no clipping up to ≥ 6.85 Ω</t>
  </si>
  <si>
    <t>typical datasheet data + worst-case calculation - E; design: LM27762 negative LDO; margin R_NEG 2.5 Ω typical only</t>
  </si>
  <si>
    <t>R_NEG at VIN 4.2 V / 150 mA (O9, M2)</t>
  </si>
  <si>
    <t>A-11: LM27762 RNEG typical only (L-3)</t>
  </si>
  <si>
    <t>R-47</t>
  </si>
  <si>
    <t>Connector pin maps continuity-tested before footprint freeze</t>
  </si>
  <si>
    <t>Open gate: the J701 / J702 contact maps are documented from the maker drawings and confirmed on two samples at G-2 (including J701 pads 11/12 and the J702 break contacts); J101 at G-1; any difference is fixed in the nets before routing; no manufacturing data before the gates</t>
  </si>
  <si>
    <t>Bring-up measurement: two-sample gates on J101 / J701 / J702 (G-1 continuity, G-2 record, G-3 1:1 overlay); layout package section 15. J101 GCT USB4105-GF-A: 12 lands (A1/B12, A4/B9, B4/A9, B1/A12 shared; A5–A8, B5–B8 single), plated shell-stake slots S1–S4, two NPTH Ø0.65 mm locating holes; the netlist keeps the 12 composite labels + S1–S4, the provisional footprint has the 16 JLCPCB pad IDs (each shared land = two touching pads on one net). J701 G-Switch GT-3321667P-01 (owner-fitted): the owner-approved (26 Sep 2026) 12-pad map, confirmed by the G-Switch drawing C-GT03321667P-01: 1 GND (dedicated sleeve return, ≥ 4 vias), 2/3 JACK_RN, 4/5 JACK_RP, 6 JACK_LN, 7/8 JACK_LP, 9 SWITCH / 10 DETECT no connection, 11/12 "ep" = the two Contact H mounting tabs (Ni-plated, not in the maker schematic), no connection but soldered; it replaces the seven-pin map (pad 1 = JACK_LP was wrong); 12 plated slots 0.50 × 1.40 mm (+0.10/0) in 1.00 × 1.90 mm pads, two Ø1.20 mm locating holes for the Ø1.00 mm pegs; 12 THT joints. J702 HRO PJ-332A-6A: map from the HRO PJ-332A drawing (the PJ-332A-A schematic and the PCB layout agree, the JLCPCB footprint matches): 1 sleeve GND, 2 ring 2 GND (the two plated slot terminals, 0.60 × 1.5 mm slots in 1.00 × 1.9 mm pads), 3 ring 1 JACK_RP, 4 tip JACK_LP (1.6 × 1.5 mm lands), 5/6 break contacts of ring 1 / tip no connection (tied to GND they would short JACK_RP / JACK_LP, shared with the 4.4 mm jack, whenever the 3.5 mm jack is empty); two Ø1.20 mm locating pegs; per-net pin counts unchanged; status: open until measured: G-1 / G-2 / G-3 before schematic freeze. G-2 record, two samples of each jack: label the terminals from the JLCPCB footprint top view; record continuity from every terminal to the tip, each ring, the sleeve and any metal shell with no plug, with the plug fully inserted and while slowly inserting / removing it (switch / detect / break contacts); J702 with a TRS plug and any TRRS plug the design allows; record every internally common pair; J701 pads 11/12 common with the sleeve / bushing or not; the table confirms the final symbol pin names, nets and pad assignments; the J701 hole and peg sizes are a G-3 1:1 overlay confirmation. A capture scan or ERC confirms consistency only, not a physical contact map</t>
  </si>
  <si>
    <t>G-1 continuity (two samples, J101 incl. S1-S4) and G-3 1:1 overlay (J101; the J701 slots and peg holes per the G-Switch drawing; the J702 slots and peg holes); G-2 record on two samples of each jack confirming the maker-drawing maps (no plug / plug inserted / slow insertion; J702 with TRS and any allowed TRRS plug: tip, ring 1, ring 2, sleeve and the break contacts 5/6 opening on insertion; internally common terminals; J701 pads 11/12 common with the sleeve / bushing or not)</t>
  </si>
  <si>
    <t>Measurement: connector pin maps: gates G-1 / G-2 / G-3, two samples each (J701 / J702 maps documented from the maker drawings supplied on 26 Sep 2026: the G-Switch drawing C-GT03321667P-01 confirms the owner-approved J701 12-pad map, pads 11/12 = Contact H mounting tabs, NC but soldered; the HRO PJ-332A drawing gives the J702 map 1 sleeve GND, 2 ring 2 GND, 3 ring 1 JACK_RP, 4 tip JACK_LP, 5/6 break contacts NC; G-2 confirms both on two samples)</t>
  </si>
  <si>
    <t>R-48</t>
  </si>
  <si>
    <t>Netlist/BOM consistency</t>
  </si>
  <si>
    <t>474 parts, 247 nets, 1393 pins, 0 issues incl. value-from-MPN (118 lines); +52 TP pads (1445 pin rows); 179 BOM lines, 462 fitted (7 owner-fitted), 9 DNF, 115 MPNs; SMT 1339 / THT 18 joints per board</t>
  </si>
  <si>
    <t>worst-case calculation (construction) - G; design: margin 0 issues; status: met</t>
  </si>
  <si>
    <t>Incl. the value-from-MPN check (116 lines, 0 mismatches)</t>
  </si>
  <si>
    <t>R-49</t>
  </si>
  <si>
    <t>ESS order VCCA/AVCC before DVCC and MCLK only with VCCA good (hardware-backed, /#27)</t>
  </si>
  <si>
    <t>3V3A-good fall 2.970-3.122 V, rise 3.011-3.161 V (TPS70933 3V3M 3.207-3.343 V) vs 3V3A ≥ 3.234 V; gate ≤ 1.04 ms</t>
  </si>
  <si>
    <t>worst-case calculation (TLV3402 delay 3 × typical) - E; design: U605 TLV3402 3V3A-good ×2 → Q619 (N2_AVCC_EN_G) / Q620 (AUD_EN); margin 73 mV; status: E: met; boot self-test (d)</t>
  </si>
  <si>
    <t>Boot self-test (d); slow 3V3A ramp threshold test</t>
  </si>
  <si>
    <t>A-04: TLV3402 delay 3 × typical (gate timing)</t>
  </si>
  <si>
    <t>R-50</t>
  </si>
  <si>
    <t>3V3M → 3V3D domain crossing</t>
  </si>
  <si>
    <t>Ioff ≤ ±2 µA; 36 MHz link setup margin +2.03 ns (skew bound 2.7 ns); reads +36.6 ns</t>
  </si>
  <si>
    <t>datasheet limits + worst-case calculation; design: U208 TI SN74LVC3G34DCUR Ioff on 3V3D; Q207 open-drain RESETB; R305 pull-up to DVCC; status: met (calculation); bring-up measurement link BER</t>
  </si>
  <si>
    <t>Link BER test 1e10 bits</t>
  </si>
  <si>
    <t>Assumption: skew bound 2.7 ns (layout not routed yet); assumption: R305 part: Q207 / RESETB leakage assumed (released ≥ 3.151 V vs VIH 2.03 V, 1.1 V margin; analog)</t>
  </si>
  <si>
    <t>R-51</t>
  </si>
  <si>
    <t>LM27762 EN ≤ VIN in every state</t>
  </si>
  <si>
    <t>EN = VIN by construction</t>
  </si>
  <si>
    <t>worst-case calculation (construction) - G; design: EN+/EN- tied to VIN (5V_ANA_F); RAIL_EN, R506, R507 deleted; margin T_START 40 ms; status: met by construction (the rails-good time after ANA_EN comes from the start-up calculation, class E)</t>
  </si>
  <si>
    <t>R-52</t>
  </si>
  <si>
    <t>TPS25200 IN ≤ 20 V at a hard short</t>
  </si>
  <si>
    <t>U102 IN ≤ 17.08 V (C102 2.2 µF, 1.1-2.42 µF effective), no tIOS credit</t>
  </si>
  <si>
    <t>worst-case calculation; design: D102 Littelfuse SMDJ12A at J101; margin 2.92 V; status: met (calculation); bring-up measurement i-9</t>
  </si>
  <si>
    <t>5V_SYS hard short with D102 fitted (i-9)</t>
  </si>
  <si>
    <t>A-19: cable model 0.25-1.5 µH / 0.05-0.4 Ω</t>
  </si>
  <si>
    <t>R-53</t>
  </si>
  <si>
    <t>Regulator/eFuse reverse bias at input collapse</t>
  </si>
  <si>
    <t>VOUT - VIN ≤ +0.457 V (U302) / +0.447 V (U503) for tens of us; U502 +0.387 V allowed (TPS70933)</t>
  </si>
  <si>
    <t>worst-case calculation; design: D104/D105 BAT54 OUT→IN on U302/U503; D103 deleted (U502 TPS70933 has reverse-current protection, VOUT abs 7 V); margin target 0.3 V not met; status: limitation L-8</t>
  </si>
  <si>
    <t>Unplug scope OUT-IN of U302/U503 (D104/D105)</t>
  </si>
  <si>
    <t>A-12: input-collapse corners of the power model</t>
  </si>
  <si>
    <t>R-54</t>
  </si>
  <si>
    <t>5V_ANA short detectable in every state</t>
  </si>
  <si>
    <t>A 5V_ANA short reads ≈ 0 V: fault &lt; 4.00 V = 1.279 V (1587 counts) in Default, &lt; 3.90 V (1548 counts) in High; the no-false-fault band is row A-42</t>
  </si>
  <si>
    <t>worst-case calculation (construction) - G; design: ANA_SENSE divider R535/R536 100 k / 47 k + C516 100 pF to PA0; margin 1.3 mV below 1.8 V; status: met by construction; the no-false-fault band is E (A-42)</t>
  </si>
  <si>
    <t>ANA_SENSE trip at 1.279 V / 1587 counts</t>
  </si>
  <si>
    <t>R-55</t>
  </si>
  <si>
    <t>Hung MCU cannot let the permit re-close</t>
  </si>
  <si>
    <t>A hung MCU with RELAY_EN static high can never re-close (re-arm needs a fresh RELAY_EN edge); a disturbance that never reaches HREF (2.883-3.029 V released, up to 3.133 V fallback) cannot open the switch; the clear-path timing is R-72</t>
  </si>
  <si>
    <t>worst-case calculation (latch logic) - G; latch; clear dominates; margin independent of the node-H discharge depth; status: met by construction; the latch tests are the Q row A-39</t>
  </si>
  <si>
    <t>Short comparator pulses with RELAY_EN held high → switch stays open, PB0 low</t>
  </si>
  <si>
    <t>R-56</t>
  </si>
  <si>
    <t>Pre-close DC limits just above the sensing error</t>
  </si>
  <si>
    <t>|leg| ≤ 0.070 V, |pair| ≤ 0.090 V (50 ms average); a healthy board with the mixed leg network offset 7.73 / 15.47 mV (E) reads ≤ 64.0 / 77.2 mV (worst-case calculation: 1.025 × offset + 56.10 / 61.30 mV); refused &gt; 129 / 155 mV</t>
  </si>
  <si>
    <t>worst-case calculation (MCU pin leakage, offset estimate) - E; error budget; offset; design: firmware pre-close checks; margin 6.0 / 12.8 mV healthy; 4.2 / 9.2 mV at the per-board acceptance 9.5 / 19 mV; 3.7 / 8.2 mV at the 10 / 20 mV spec (worst-case calculation); status: E: met</t>
  </si>
  <si>
    <t>Pre-close check with a known DC</t>
  </si>
  <si>
    <t>A-16: MCU pin leakage 1 µA; assumption: offset estimate 7.73 / 15.47 mV with the assumed DAC terms</t>
  </si>
  <si>
    <t>R-57</t>
  </si>
  <si>
    <t>Boot self-test of the hardware DC path and supervisor</t>
  </si>
  <si>
    <t>Pass windows (e) 18-26 ms, (f) 65-110 ms, (g) 18-32 ms, b ≤ 2.0 ms / ≤ 250 ms, c ≤ 2.0 ms, d 3V3A-good readbacks; PB0 low after every trip; all implemented (pairwise) tests every boot, 3.68 s (owner alternative: 2.96 s, rotating the over-range direction, so all implemented tests run within four boots)</t>
  </si>
  <si>
    <t>worst-case calculation + production per-leg injection - Q; design: boot self-test: (e) persistence detector word ±0.55 FS calibrated / ±0.85 FS default; (f) LPW ±0.30 FS; (g) OR with PC15 = N6_ORTEST high; MCLK alive, 1V3 good, 3V3A good, U206 / PB1, PB0 clear path; margin precondition margins 29 / 29 / 16 %; status: Q: coverage is pairwise (a dead channel is masked by its mate) - stated limitation; per-channel coverage from the production per-leg injection; implement and measure on every board</t>
  </si>
  <si>
    <t>Boot self-test on every board: (e) 18-26 ms, (f) LPW 65-110 ms, (g) OR 18-32 ms; total 3.68 s, or 2.96 s rotating (owner choice); PB0 low after each self-test trip</t>
  </si>
  <si>
    <t>Measurement: per-channel coverage comes only from the production per-leg injection (owner options B / C); a dead channel is masked by its mate on the same N6_OL base; the independent firmware tiers still cover single-leg faults (T1 ≥ 1 V within 218 ms) - stated limitation (option A), options B / C for the owner</t>
  </si>
  <si>
    <t>R-58</t>
  </si>
  <si>
    <t>Rate/family change with the switch open</t>
  </si>
  <si>
    <t>Worst 972 ms to the unmute ramp (re-arm latch re-arm adds ≤ 150 ms); ENGINE_RST across every U205 switch</t>
  </si>
  <si>
    <t>worst-case calculation; design: firmware lists D/E; status: met (calculation)</t>
  </si>
  <si>
    <t>Rate/family change with the switch open (≤ 972 ms)</t>
  </si>
  <si>
    <t>R-59</t>
  </si>
  <si>
    <t>I/V headroom with the diodes</t>
  </si>
  <si>
    <t>Calibrated full scale +0.087 V (typ +0.441 V); CM margin 0.283 V</t>
  </si>
  <si>
    <t>worst-case calculation (OPA2210 25 °C swing row, PMEG tempco) - E; design: D411/D412 VF ≤ 0.30 V; fallback R501 232 k; margin 0.087 V; status: E: met, thin; fallback R501 232 k</t>
  </si>
  <si>
    <t>I/V swing at calibrated full scale; fallback R501 232 k</t>
  </si>
  <si>
    <t>A-13: OPA2210 600 Ω swing row at 25 °C only (the -40…125 °C 10 k row covers 1.5 mA; the I/V sources ≈ 3 mA); A-05: PMEG VF from the 25 °C max + typical tempco</t>
  </si>
  <si>
    <t>R-60</t>
  </si>
  <si>
    <t>Documented limitations L-1…L-13 (L-11 closed in the ninth review round)</t>
  </si>
  <si>
    <t>L-1…L-10 as before; L-11 closed in the ninth review round; L-12 brown-out trip ratiometric to 3V3M (PVD backup); L-13 ECH-U reflow time confirmation (owner-fit fallback); pairwise boot self-test coverage (per-channel at production) and the 32 Ω High-mode frozen FS resting on the typical swing (A-45) are stated</t>
  </si>
  <si>
    <t>Documented in the design summary</t>
  </si>
  <si>
    <t>Process or documentation row (no numeric limit)</t>
  </si>
  <si>
    <t>R-61</t>
  </si>
  <si>
    <t>DAC-core hang / frozen DC with every supervisor channel good</t>
  </si>
  <si>
    <t>Frozen codes with |pair| &gt; 2.016 V (|leg| &gt; 1.008 V) removed ≤ 25.4 ms by persistence detector; 0.34 V ≤ |leg| ≤ 1.008 V removed ≤ 118.8 ms by the LPW stages (the bound at the floor; every level above it is faster); energy at the floor 3.43 / 1.72 mJ (balanced 16 / 32 Ω); worst 26.08 / 13.67 mJ at 16 / 32 Ω balanced from every reachable state (14.87 mJ with the R501 fallback; 32 Ω on the typical swing credit)</t>
  </si>
  <si>
    <t>design: pair-difference persistence detector (U609 / U610, NPN timer reset Q623-Q626 onsemi MMBT3904LT1G) with the OR / LPW stages; margin 13.1 % / 8.8 % (0.8 % fallback); status: E: met; A-45 without the swing credit (High mode, owner item)</t>
  </si>
  <si>
    <t>Persistence detector DC injection tests; frozen-code tests; timer T_P at 50 °C</t>
  </si>
  <si>
    <t>R-62</t>
  </si>
  <si>
    <t>Unpowered non-FT ADC pins</t>
  </si>
  <si>
    <t>≤ 3.0 mA per pin, ≤ 15 mA total (PA1 ≤ 55 µA, PA2/PA3 ≤ 0.35 mA, PA0 ≤ 66 µA); ADC settling +0.42 mV per channel at 41.5 cycles</t>
  </si>
  <si>
    <t>datasheet limits + worst-case calculation; design: R242-R246 330 Ω 1 % between the five 4.7 µF protection nodes and PC0-PC4; PA0-PA3 limited by their existing resistances; margin vs IINJ(PIN) ±5 mA, sum ±25 mA (datasheet Table 4-1); status: closed (R242-R246 in the BOM/netlist, final pass)</t>
  </si>
  <si>
    <t>Unpowered-MCU injection check at attach</t>
  </si>
  <si>
    <t>R-63</t>
  </si>
  <si>
    <t>ES9018K2M I²C VOL specified at 100 µA</t>
  </si>
  <si>
    <t>Sink ≤ 0.34 mA; tr 257 / 428 / 856 ns at 30 / 50 / 100 pF (standard mode ≤ 1000 ns); ESS VOL extrapolated ≤ 0.57 V vs MCU VIL ≈ 0.98 V</t>
  </si>
  <si>
    <t>datasheet limits + worst-case calculation (VOL extrapolation) - E; design: R207/R208 10 k pull-ups; margin 0.41 V (VOL vs VIL, extrapolated); status: closed (R207/R208 10 k in the BOM); bring-up measurement SDA VOL</t>
  </si>
  <si>
    <t>SDA VOL at the DAC with 10 k pull-ups</t>
  </si>
  <si>
    <t>Assumption: ESS VOL ohmic extrapolation from 100 µA</t>
  </si>
  <si>
    <t>R-64</t>
  </si>
  <si>
    <t>Leg-to-leg short of one channel (signal F11)</t>
  </si>
  <si>
    <t>≈ 0.55 W per package, TJ ≈ +26 °C (outside the one-amplifier continuous-short rating)</t>
  </si>
  <si>
    <t>worst-case calculation; design: OPA1622 current limit; firmware overload policy; status: limitation L-9; bring-up survival test</t>
  </si>
  <si>
    <t>Leg-to-leg short survival test, 30 min</t>
  </si>
  <si>
    <t>Measurement: leg-to-leg short survival test, 30 min (L-9; outside the one-amplifier continuous-short rating)</t>
  </si>
  <si>
    <t>R-65</t>
  </si>
  <si>
    <t>LP5907/LM27762 ROC and USBLC6 VRM with 5V_SYS up to 5.55 V</t>
  </si>
  <si>
    <t>5.50-5.55 V only for a source above vSafe5V: 0-50 mV above the ROC, inside the abs max</t>
  </si>
  <si>
    <t>datasheet limits; design: U102 clamp 5.25-5.55 V; margin abs max +0.25 V (LM27762); status: limitation L-10</t>
  </si>
  <si>
    <t>R-66</t>
  </si>
  <si>
    <t>Post-CPLD design guard (mitigation of the CPLD frozen word)</t>
  </si>
  <si>
    <t>Removal ≤ 23.6 ms (≤ 13.8 / 25.3 mJ at 32 / 16 Ω bal); CPU ≤ 13.3 % (both guards) at 384 kHz, RAM 12.5 KB</t>
  </si>
  <si>
    <t>worst-case calculation (15 cycles per frame) + I²S2 measurement - Q; design: post-CPLD guard with the OD-1 rules P1-P4 (RELAY_EN low at once on a post-CPLD trigger); status: specified (OD-1); bring-up measurement I²S2 slave at 22.6 / 24.6 MHz (fail → the CPLD frozen word at 352.8 / 384 kHz is removed in hardware by the persistence detector and the OR / LPW stages)</t>
  </si>
  <si>
    <t>Bit-exact capture at 352.8/384 kHz (i-15)</t>
  </si>
  <si>
    <t>A-26: I²S2 slave capture at 22.6 / 24.6 MHz BCLK</t>
  </si>
  <si>
    <t>R-67</t>
  </si>
  <si>
    <t>USB attach: D+ pull-up within TSIGATT 100 ms after VBUS valid (USB 2.0 7.1.7.3)</t>
  </si>
  <si>
    <t>D+ pull-up ≤ 23.9 ms after VBUS valid (3V3M starts at contact, suspend power cut)</t>
  </si>
  <si>
    <t>worst-case calculation (MCU boot ≤ 10 ms) - E; design: U102 EN delay R109 470 k + C104; MCU low-clock phase; margin 76.1 ms; status: E: met; bring-up measurement</t>
  </si>
  <si>
    <t>D+ pull-up time after VBUS valid</t>
  </si>
  <si>
    <t>Assumption: MCU boot ≤ 10 ms</t>
  </si>
  <si>
    <t>R-68</t>
  </si>
  <si>
    <t>Cost-patch basis (report only, owner decisions of 25 Sep 2026)</t>
  </si>
  <si>
    <t>Per assembled board US$ 189.89 = NTD 6,025 (JLCPCB 157.57 + owner 32.32); order US$ 949.43 = NTD 30,125 (JLCPCB 787.83 + owner 161.60)</t>
  </si>
  <si>
    <t>worst-case calculation (attrition, PCB, shipping, web-page sourcing copies) - E; design: exact quantities, owner-fitted parts, Standard PCBA, tented vias; margin +US$ 93.29 vs the v1.0 set (856.14); status: report only (no cost gate); an estimate until the supplier orders and the JLCPCB quote exist; the J101 / J702 owner hand-solder fallbacks cost nothing unless JLCPCB quotes a hand-solder step</t>
  </si>
  <si>
    <t>JLCPCB quote</t>
  </si>
  <si>
    <t>Assumption: attrition, PCB and shipping prices; stock and prices of the day (web-page copies of 26 Sep 2026, to be re-checked in the JLCPCB BOM tool); no supplier order or JLCPCB quote yet: an estimate until they exist</t>
  </si>
  <si>
    <t>R-69</t>
  </si>
  <si>
    <t>Owner-fitted parts hand-solderable and fitted in a defined order</t>
  </si>
  <si>
    <t>D102/R509 → K601-K604 → J701; U503 never runs with ILM open (R509 first)</t>
  </si>
  <si>
    <t>design: layout package (owner-fitted parts): toes +0.3 mm, 1.5 mm iron clearance; DNP at JLCPCB; status: specified; bring-up</t>
  </si>
  <si>
    <t>Bring-up checklist</t>
  </si>
  <si>
    <t>R-70</t>
  </si>
  <si>
    <t>Assembly class: no JLCPCB-placed part at a process limit</t>
  </si>
  <si>
    <t>OPEN process item: no longer guaranteed. J101 (four plated shell stakes S1-S4) and J702 (SMD with two plated slot terminals, pads 1/2 = the two GND terminals per the maker drawing: ground and mechanical retention only) mix SMT lands and plated terminations; no F.Paste on S1-S4 / J702 pads 1/2 until JLCPCB confirms in writing how they are soldered (pin-in-paste with the aperture geometry, or an order remark). Fallback, no cost unless JLCPCB quotes a hand-solder step: JLCPCB reflows the surface lands, the owner hand-solders S1-S4 (4 joints) and J702 pads 1/2 (2 joints) from L4 before the first plug-in; if JLCPCB cannot assemble J702 at all it becomes owner-fitted (owner LCSC order)</t>
  </si>
  <si>
    <t>Process item (JLCPCB written confirmation pending); cost report section 3; J101 255 °C / 5 s; margin Economic would save ≤ US$ 14.93 (information); status: open until JLCPCB confirms in writing how the J101 shell stakes and the J702 slot terminals are soldered (G-6 order-release item); the 2416 film-capacitor reflow is A-29</t>
  </si>
  <si>
    <t>JLCPCB written answer before the order (G-6): can the Standard top-side PCBA solder J101 S1-S4 and J702 pads 1/2, with F.Paste apertures or an order remark, and which aperture geometry / hand-solder step; else the owner fallback (hand-solder from L4 before the first plug-in)</t>
  </si>
  <si>
    <t>OPEN process item: open until JLCPCB confirms in writing how the J101 shell stakes S1-S4 and the J702 slot terminals are soldered (G-6); owner fallback at no cost unless JLCPCB quotes a hand-solder step · class in v1.0: G</t>
  </si>
  <si>
    <t>R-71</t>
  </si>
  <si>
    <t>DAC plausibility check (OD-2)</t>
  </si>
  <si>
    <t>Switch open ≤ 1.04 / 16.45 / 17.45 / 102.4 ms; every detected case ≤ 10.1 mJ; I²C load 27.4 %</t>
  </si>
  <si>
    <t>worst-case calculation; design: DAC_LOCK IRQ on PC9 (GPIO2 = lock only), 10 ms status/read-back poll, NACK retry / bus-stuck recovery, 100 ms DPLL check, boot DAC_LOCK self-test; minimum-volume flag on GPIO1 via reg 65; margin ≥ 4.9 mJ below 15 mJ (32 Ω); status: met (calculation); bring-up measurement i-22/i-23</t>
  </si>
  <si>
    <t>DAC_LOCK self-test; forced lock loss</t>
  </si>
  <si>
    <t>A-25: ESS lock-loss latency not published</t>
  </si>
  <si>
    <t>R-72</t>
  </si>
  <si>
    <t>Minimum off-time after any trip independent of the discharge depth (re-arm latch)</t>
  </si>
  <si>
    <t>Clear dominates; power-up cleared; re-arm only by a fresh RELAY_EN edge after H &gt; HREF; a trip that pulls H below HREF clears ARM within ≤ 0.346 ms (0.383 ms fallback) after the comparator switches; a disturbance that never reaches HREF cannot open the switch; open R692 / unpowered U608 → Q622 off</t>
  </si>
  <si>
    <t>worst-case calculation (timing estimate) - E; latch; design: U608 re-arm latch + Q622 with R696 100 k gate pull-down; margin latent Q622 short → production test; status: E: timing estimate; the latch tests are the Q row A-39</t>
  </si>
  <si>
    <t>Comparator-path trips ≥ 1 ms with RELAY_EN held high; production test: latch cleared + RELAY_EN high → every photorelay open, LED current &lt; 10 µA</t>
  </si>
  <si>
    <t>Assumption: timing estimate: a trip that pulls N6_H below HREF clears ARM within ≤ 0.346 ms (released) / 0.383 ms (fallback) after the comparator switches; a disturbance that never reaches HREF neither clears the latch nor opens the switch; all stages act through TLV1704 outputs on H</t>
  </si>
  <si>
    <t>R-73</t>
  </si>
  <si>
    <t>Default-mode acceptance criterion</t>
  </si>
  <si>
    <t>Default power at the eFuse minimum: IOS min 180.05 mA vs need 178.96 mA, +1.09 mA (E); USB ≤ 500 mA on the planning values (E) plus the per-board production test (Q); the NDK second source needs no R509 change (S3 497.96 mA)</t>
  </si>
  <si>
    <t>worst-case calculation + production test - Q; final; design: R509 4.75 k owner-fitted; production test S3 ≤ 480 mA, S1 ≤ 90 mA; firmware ceiling fallback; margin 20 mA production guard; status: Q: open until the per-board production test records exist</t>
  </si>
  <si>
    <t>Production test S3 ≤ 480 mA, S1 ≤ 90 mA; firmware ceiling fallback</t>
  </si>
  <si>
    <t>Measurement: S3 ≤ 480 mA / S1 ≤ 90 mA production test on every board (Default acceptance criterion) is the acceptance evidence</t>
  </si>
  <si>
    <t>R-74</t>
  </si>
  <si>
    <t>History-robust hardware protection with a level floor (Spec v1.1)</t>
  </si>
  <si>
    <t>The hardware requirement holds for |leg| ≥ 0.34 V and |pair| ≥ 0.68 V (level maximum 0.32401 V with the input bias only, 0.33401 V with a 10 nA leakage allowance); bounded delay at the floor 118.8 ms, 3.43 / 1.72 mJ (balanced 16 / 32 Ω); below the floor the firmware tiers apply (R-24)</t>
  </si>
  <si>
    <t>worst-case calculation (leakage allowance, tOFF, tpd, reset VCE(sat)) - E; design: OR / LPW stages + persistence detector from every reachable pre-fault state (rail-bounded); floor rounded up over the LPW level maximum; status: E: met; DC injection just above and below the floor at bring-up</t>
  </si>
  <si>
    <t>DC injection just above and below the floor at bring-up; the history states on the first boards</t>
  </si>
  <si>
    <t>A-01: switch tOFF ×2; A-04: TLV3402 delay 3 × typical; A-33: persistence detector node leakage; A-43: TLV1704 tpd, LPW node leakage; typical: OPA1622 typical swing limit (0.8 V + 8 Ω/A); assumption: ISC 190 mA; assumption: surface-leakage allowance 10 nA on the 1 M LPW tap: LPW level max 0.32401 V (IB only) → 0.33401 V; A-46: persistence detector timer reset level VCE(sat) ≤ 0.20 V at low current is not a datasheet bound</t>
  </si>
  <si>
    <t>Estimate: holds as far as the capping inputs; the listed test is a planned confirmation (no result yet) · new row in this round</t>
  </si>
  <si>
    <t>A-01</t>
  </si>
  <si>
    <t>TLP3545A tON/tOFF over 0-60 °C</t>
  </si>
  <si>
    <t>10 ms / 1.0 ms design (2 × 25 °C maxima)</t>
  </si>
  <si>
    <t>Toshiba datasheet limits 25 °C maxima; ×2 (assumption) (L-2)</t>
  </si>
  <si>
    <t>TON/tOFF at 0/50 °C (L-2)</t>
  </si>
  <si>
    <t>Typical: temperature curves typical only; assumption: ×2 design factor (L-2)</t>
  </si>
  <si>
    <t>A-02</t>
  </si>
  <si>
    <t>TLP3545A RON at 60 °C</t>
  </si>
  <si>
    <t>0.081 Ω (60 mΩ x 1.35)</t>
  </si>
  <si>
    <t>datasheet limits 25 °C max; ×1.35 (assumption)</t>
  </si>
  <si>
    <t>RON at 60 °C (O12)</t>
  </si>
  <si>
    <t>Assumption: ×1.35 at 60 °C</t>
  </si>
  <si>
    <t>A-03</t>
  </si>
  <si>
    <t>TLP3545A COFF bound</t>
  </si>
  <si>
    <t>≤ 1 nF (640 pF typ × 1.5)</t>
  </si>
  <si>
    <t>datasheet limits typical only</t>
  </si>
  <si>
    <t>Pop test (O10)</t>
  </si>
  <si>
    <t>Typical: TLP3545A COFF 640 pF; assumption: ×1.5 bound</t>
  </si>
  <si>
    <t>A-04</t>
  </si>
  <si>
    <t>TLV3402 propagation delay</t>
  </si>
  <si>
    <t>≤ 0.9 ms (3 × typical)</t>
  </si>
  <si>
    <t>TI datasheet limits typical 55-300 µs, no maximum</t>
  </si>
  <si>
    <t>Boot self-test (d) timing</t>
  </si>
  <si>
    <t>Typical: TLV3402 delay 55-300 µs, no maximum published; assumption: ×3 bound</t>
  </si>
  <si>
    <t>A-05</t>
  </si>
  <si>
    <t>PMEG2010AEH VF at 10-30 mA, 0-50 °C</t>
  </si>
  <si>
    <t>≤ 0.30 V</t>
  </si>
  <si>
    <t>25 °C maxima + typical tempco</t>
  </si>
  <si>
    <t>VF at 0/50 °C (O13)</t>
  </si>
  <si>
    <t>Typical: VF tempco</t>
  </si>
  <si>
    <t>A-06</t>
  </si>
  <si>
    <t>BAT54 leakage in the suspend budget</t>
  </si>
  <si>
    <t>D103 deleted, D104/D105 unbiased in Stop (suspend power cut) → 0 in the S6 budget</t>
  </si>
  <si>
    <t>TPS70933 on VBUS, U102 off in Stop</t>
  </si>
  <si>
    <t>Suspend current (first board)</t>
  </si>
  <si>
    <t>A-07</t>
  </si>
  <si>
    <t>MCU Stop current</t>
  </si>
  <si>
    <t>1.9 mA planning value (0.11 mA typ); S6 margin +224 µA</t>
  </si>
  <si>
    <t>WCH publishes typical only (L-1)</t>
  </si>
  <si>
    <t>Suspend current on the first board</t>
  </si>
  <si>
    <t>Typical: WCH Stop current 0.11 mA typical only; assumption: 1.9 mA planning value (L-1)</t>
  </si>
  <si>
    <t>A-08</t>
  </si>
  <si>
    <t>MCU / CPLD / DVDD running currents</t>
  </si>
  <si>
    <t>80 / 40 / 60 mA planning values</t>
  </si>
  <si>
    <t>vendor-unpublished (L-1)</t>
  </si>
  <si>
    <t>Production test S3 ≤ 480 mA, S1 ≤ 90 mA (Default acceptance criterion)</t>
  </si>
  <si>
    <t>Assumption: 80 / 40 / 60 mA planning values (vendor-unpublished, L-1)</t>
  </si>
  <si>
    <t>A-09</t>
  </si>
  <si>
    <t>VCCA current at 80 MHz</t>
  </si>
  <si>
    <t>2.9 mA</t>
  </si>
  <si>
    <t>ESS 0.8 mA at 22 MHz scaled (assumption)</t>
  </si>
  <si>
    <t>VCCA current (O11)</t>
  </si>
  <si>
    <t>Typical: ESS 0.8 mA at 22 MHz; assumption: scaled to 80 MHz</t>
  </si>
  <si>
    <t>A-10</t>
  </si>
  <si>
    <t>DAC pin-pair mismatch and null offset</t>
  </si>
  <si>
    <t>3 % pair offset mismatch / 1 mV null (offset terms, closed only by the per-board test); the 22 % CM mismatch used for pop and CM content is a plain assumption in R-23 / R-30</t>
  </si>
  <si>
    <t>ESS publishes no matching (mixed leg network split)</t>
  </si>
  <si>
    <t>Per-board offset test at 0-5 / 25 / 50 °C</t>
  </si>
  <si>
    <t>Measurement: per-board offset test at 0-5 / 25 / 50 °C (mixed leg network procedure, all 5 boards) replaces the assumption</t>
  </si>
  <si>
    <t>A-11</t>
  </si>
  <si>
    <t>LM27762 R_NEG, UVLO, PGOOD, start-up current</t>
  </si>
  <si>
    <t>R_NEG 2.5 Ω typ; UVLO 2.4/2.6 V typ</t>
  </si>
  <si>
    <t>TI datasheet limits typical only</t>
  </si>
  <si>
    <t>R_NEG and start into the Default limit (M2, M9)</t>
  </si>
  <si>
    <t>Typical: LM27762 R_NEG 2.5 Ω, UVLO 2.4/2.6 V, PGOOD and start-up current typical only</t>
  </si>
  <si>
    <t>A-12</t>
  </si>
  <si>
    <t>LP5907 current limit / reverse behaviour / rise time</t>
  </si>
  <si>
    <t>≤ 0.75 A assumed; both reverse variants modelled</t>
  </si>
  <si>
    <t>TI datasheet limits 500 mA typ, no minimum rise time</t>
  </si>
  <si>
    <t>3V3A rise and hot-unplug scope</t>
  </si>
  <si>
    <t>Typical: LP5907 current limit 500 mA typical; no minimum rise time; assumption: ≤ 0.75 A; both reverse variants modelled</t>
  </si>
  <si>
    <t>A-13</t>
  </si>
  <si>
    <t>OPA2210 output swing at the I/V load</t>
  </si>
  <si>
    <t>(V+) - 0.6 V at 600 Ω, 25 °C only</t>
  </si>
  <si>
    <t>TI datasheet limits 600 Ω row at 25 °C</t>
  </si>
  <si>
    <t>Swing at calibrated full scale, 0/50 °C</t>
  </si>
  <si>
    <t>Assumption: the 25 °C row applies over 0-50 °C</t>
  </si>
  <si>
    <t>A-14</t>
  </si>
  <si>
    <t>X201 duty cycle vs ESS</t>
  </si>
  <si>
    <t>45-55 % = the ESS limit</t>
  </si>
  <si>
    <t>Kyocera datasheet limits vs ESS datasheet limits (zero margin)</t>
  </si>
  <si>
    <t>Duty at XI; fallback R203 0 Ω</t>
  </si>
  <si>
    <t>Measurement: duty at U301 XI (TP711) decides; fallback R203 0 Ω / NDK part</t>
  </si>
  <si>
    <t>A-15</t>
  </si>
  <si>
    <t>MCLK-alive tap margin (74AUP1G17 behind R665 330 Ω)</t>
  </si>
  <si>
    <t>+141 mV to VT+max at 2.4 pF (Kyocera 4.5 ns edge)</t>
  </si>
  <si>
    <t>VT at 3.0 V scaled</t>
  </si>
  <si>
    <t>Boot self-test (b)</t>
  </si>
  <si>
    <t>Assumption: VT scaled to the operating supply; CI/CPD unpublished (2.4 pF bound)</t>
  </si>
  <si>
    <t>A-16</t>
  </si>
  <si>
    <t>CH32V307 reset thresholds, PA1 leakage, pin injection</t>
  </si>
  <si>
    <t>1.8/2.3 V, 1 µA</t>
  </si>
  <si>
    <t>WCH datasheet limits incomplete</t>
  </si>
  <si>
    <t>Brown-out ISR vs reset at unplug (M11)</t>
  </si>
  <si>
    <t>Typical: CH32V307 reset thresholds 1.8/2.3 V and PA1 leakage 1 µA (WCH datasheet limits incomplete)</t>
  </si>
  <si>
    <t>A-17</t>
  </si>
  <si>
    <t>C442/C443 reverse bias (open item 6)</t>
  </si>
  <si>
    <t>≤ 0.469 V at 0 °C (limit 1.00 V); 0.386 V at 50 °C (limit 0.71 V)</t>
  </si>
  <si>
    <t>Worst-case calculation (calculation package)</t>
  </si>
  <si>
    <t>VPOS/VNEG at start (O15)</t>
  </si>
  <si>
    <t>Assumption: -1 mV/K tempco and the MnO2 reverse-limit rule; assumption: -1 mV/K tempco and the AVX TAJ reverse-limit rule</t>
  </si>
  <si>
    <t>A-18</t>
  </si>
  <si>
    <t>Filter capacitor ageing (C601-C604, C608-C611)</t>
  </si>
  <si>
    <t>RETIRED: C601-C604 removed with the per-leg RC window stage; no ageing term left in the detector timing</t>
  </si>
  <si>
    <t>X5R ageing assumed</t>
  </si>
  <si>
    <t>FS 20 Hz square no-trip at 0/50 °C</t>
  </si>
  <si>
    <t>Process or documentation row (no numeric limit) · class in v1.0: E</t>
  </si>
  <si>
    <t>A-19</t>
  </si>
  <si>
    <t>VBUS cable model for the hard-short kick</t>
  </si>
  <si>
    <t>0.25-1.5 µH, 0.05-0.4 Ω</t>
  </si>
  <si>
    <t>assumed cable range</t>
  </si>
  <si>
    <t>Hard-short test at U102 IN</t>
  </si>
  <si>
    <t>Assumption: cable 0.25-1.5 µH, 0.05-0.4 Ω</t>
  </si>
  <si>
    <t>A-20</t>
  </si>
  <si>
    <t>Thermal model</t>
  </si>
  <si>
    <t>RthJA values, +10 °C local rise</t>
  </si>
  <si>
    <t>assumed board conditions</t>
  </si>
  <si>
    <t>50 °C ambient IR scan</t>
  </si>
  <si>
    <t>Assumption: RthJA values and +10 °C local rise</t>
  </si>
  <si>
    <t>A-21</t>
  </si>
  <si>
    <t>Minimum off-time after any trip</t>
  </si>
  <si>
    <t>Independent of the node-H discharge depth (re-arm latch re-arm latch)</t>
  </si>
  <si>
    <t>Short-trip test with RELAY_EN held high</t>
  </si>
  <si>
    <t>A-22</t>
  </si>
  <si>
    <t>Brown-out threshold margin at the VBUS 4.40 V corner</t>
  </si>
  <si>
    <t>+67…+114 mV (band 3.704-4.236 V, final loads, TPS70933 range, U502 current no longer through U102; power)</t>
  </si>
  <si>
    <t>PA1 leakage 1 µA (assumption) dominates the band</t>
  </si>
  <si>
    <t>VBUS_SENSE trip at 4.40 V</t>
  </si>
  <si>
    <t>A-16: PA1 leakage 1 µA dominates the band</t>
  </si>
  <si>
    <t>A-23</t>
  </si>
  <si>
    <t>Hardware-window 20 Hz false-trip margin (aged corner)</t>
  </si>
  <si>
    <t>RETIRED: the per-leg RC window stage are gone; content transparency of OR / LPW is in R-26</t>
  </si>
  <si>
    <t>ageing -5 % assumed</t>
  </si>
  <si>
    <t>FS 20 Hz square/sine at the leg</t>
  </si>
  <si>
    <t>Process or documentation row (no numeric limit) · class in v1.0: G</t>
  </si>
  <si>
    <t>A-24</t>
  </si>
  <si>
    <t>Default USB total vs 500 mA</t>
  </si>
  <si>
    <t>493.46 mA (+6.54 mA) on the planning values; 497.96 mA (+2.04 mA) with the NDK X201 second source (power final)</t>
  </si>
  <si>
    <t>Production test S3 ≤ 480 mA per board</t>
  </si>
  <si>
    <t>A-08: planning values (L-1); assumption: NDK X201 second source 12.7 mA is a parts budget (9 mA at 25 °C + CV^2f), +4.5 mA</t>
  </si>
  <si>
    <t>A-25</t>
  </si>
  <si>
    <t>ESS lock-loss latency (OD-2 interrupt)</t>
  </si>
  <si>
    <t>Not published</t>
  </si>
  <si>
    <t>ESS datasheet limits silent</t>
  </si>
  <si>
    <t>Forced lock loss (i-22)</t>
  </si>
  <si>
    <t>Assumption: ESS lock-loss latency not published</t>
  </si>
  <si>
    <t>A-26</t>
  </si>
  <si>
    <t>I²S2 slave capture at 22.6/24.6 MHz</t>
  </si>
  <si>
    <t>WCH text silent</t>
  </si>
  <si>
    <t>Measurement: bit-exact capture at 352.8/384 kHz (i-15) decides (R-5 condition)</t>
  </si>
  <si>
    <t>A-27</t>
  </si>
  <si>
    <t>TPS70933 3V3M range (suspend power cut)</t>
  </si>
  <si>
    <t>3.207-3.343 V (1 % + line + load) (datasheet); dropout ≤ 650 mV at 50 mA</t>
  </si>
  <si>
    <t>TI TPS709 datasheet limits</t>
  </si>
  <si>
    <t>3V3M at 5V_SYS/VBUS corners</t>
  </si>
  <si>
    <t>A-28</t>
  </si>
  <si>
    <t>Q507 MMBT3904 off-state leakage at 50 °C (U102 EN held high while running)</t>
  </si>
  <si>
    <t>≤ 0.57 µA hot (from the 25 °C maxima ICEX 50 nA / ICBO 100 nA) → EN ≥ 3.18 V at VBUS 4.40 V and 50 °C (+1.28 V to the 1.9 V threshold)</t>
  </si>
  <si>
    <t>JSCJ MMBT3904 25 °C maxima; hot leakage estimated (assumption) (parts stress row, power)</t>
  </si>
  <si>
    <t>U102 EN level at 50 °C</t>
  </si>
  <si>
    <t>Assumption: hot leakage scaled to 50 °C</t>
  </si>
  <si>
    <t>A-29</t>
  </si>
  <si>
    <t>ECH-U1H224GX9 reflow (C631-C634, 2416, L-13)</t>
  </si>
  <si>
    <t>ECHU series rating 260 °C max, ≤ 95 s above 220 °C (not yet confirmed for the 2416 size) vs JLCPCB 45-90 s above melting</t>
  </si>
  <si>
    <t>Panasonic ECHU series data vs JLCPCB profile</t>
  </si>
  <si>
    <t>JLCPCB profile confirmation for the 2416 size (order remark), else owner-fit (1.5 mm iron clearance kept)</t>
  </si>
  <si>
    <t>Measurement: JLCPCB profile confirmation for the 2416 size (order remark), else owner-fit</t>
  </si>
  <si>
    <t>A-30</t>
  </si>
  <si>
    <t>X201 load with the MCLK-alive tap (MCLK tap rule)</t>
  </si>
  <si>
    <t>≤ 14.2 pF vs 15 pF (layout rule XI ≤ 10 mm, R665 at the XI pin)</t>
  </si>
  <si>
    <t>XI 10 pF ESS max, tap 2.4 pF bound</t>
  </si>
  <si>
    <t>MCLK edges/duty at XI</t>
  </si>
  <si>
    <t>Assumption: tap 2.4 pF bound (74AUP1G17 CI unpublished) and XI trace ≤ 10 mm (layout not routed)</t>
  </si>
  <si>
    <t>A-31</t>
  </si>
  <si>
    <t>Persistence detector content boundary</t>
  </si>
  <si>
    <t>T_P 19.50-23.37 ms; sines ≥ 20 Hz never trip: margins 6.4 / 5.7 / 4.3 % at 2.192 / 2.230 / 2.325 V per leg (13.9 / 6.6 % at the -4.5 dB default); FS squares mute certainly ≤ 21.4 Hz, may up to 25.6 Hz; guaranteed only at or below the calibrated FS</t>
  </si>
  <si>
    <t>C_T 220 nF ±2 %, R_T 110 k, divider 0.1 %</t>
  </si>
  <si>
    <t>FS 20 Hz sine at the calibrated level: no trip; FS squares 21.4 Hz mute, 26 Hz no mute</t>
  </si>
  <si>
    <t>A-33: timer leakage (T_P max only, not the false-trip side); A-46: persistence detector timer reset level VCE(sat) ≤ 0.20 V at low current is not a datasheet bound; typical: ESS full-scale tempco unpublished: post-calibration drift beyond the datasheet limits 3V3A term is covered only by the +1.16 dB margin (independent check suggests Q; E kept: no measured value is relied on)</t>
  </si>
  <si>
    <t>A-33</t>
  </si>
  <si>
    <t>Persistence detector timer node leakage bound (per node)</t>
  </si>
  <si>
    <t>≤ 1 µA total (NPN ICBO at temperature, C_T insulation, PCB surface)</t>
  </si>
  <si>
    <t>no hot maxima published for all terms</t>
  </si>
  <si>
    <t>Timer T_P and trip at 50 °C on the first boards</t>
  </si>
  <si>
    <t>Assumption: ≤ 1 µA per timer node (NPN ICBO hot, C_T insulation, PCB surface); affects only T_P max (the energy side), not the false-trip side</t>
  </si>
  <si>
    <t>A-34</t>
  </si>
  <si>
    <t>Re-arm latch latent single fault (Q622 drain-source short)</t>
  </si>
  <si>
    <t>Bypasses the latch; H path and Q616 still act</t>
  </si>
  <si>
    <t>Production test: latch cleared + RELAY_EN high → every photorelay open, LED current &lt; 10 µA</t>
  </si>
  <si>
    <t>Measurement: production test: latch cleared + RELAY_EN high → every photorelay open, LED current &lt; 10 µA (Q622 short not detectable at boot)</t>
  </si>
  <si>
    <t>A-32</t>
  </si>
  <si>
    <t>PVD brown-out backup threshold on 3V3M (L-12)</t>
  </si>
  <si>
    <t>≥ 2.9 V highest PVD level</t>
  </si>
  <si>
    <t>WCH PVD level tolerance not published (assumption)</t>
  </si>
  <si>
    <t>Slow VBUS sag test</t>
  </si>
  <si>
    <t>Typical: WCH PVD level tolerance not published; assumption: ≥ 2.9 V highest PVD level</t>
  </si>
  <si>
    <t>A-35</t>
  </si>
  <si>
    <t>Default 5V_ANA need (sets R-13 / R-14 / R-73)</t>
  </si>
  <si>
    <t>178.96 mA (178.9230 with the leg taps and block 6 2.738 / 2.566 mA + ANA_SENSE 0.0378 = 178.961) vs U503 IOS min 180.0507 mA: +1.09 mA (+1.0899), E; used up at LM27762 IQ 2.09 mA (5.4 × typical) or CP 1.038; block 6 budgeted at the conservative bound ≤ 2.738 / 2.566 mA (the loads +0.078 / +0.086 mA); the design 2.714 / 2.542 mA lies inside it, and the need is computed on the bound; a new load on VPOS/VNEG adds ≈ I+ + 1.03 × I- (fact 9)</t>
  </si>
  <si>
    <t>Worst-case calculation (analog and power budgets): G except the LM27762 IQ 1.0 mA (no maximum) and the charge-pump factor 1.03, which make it E</t>
  </si>
  <si>
    <t>Assumption: leakage rules: AVX DCL ×10 at 85 °C = 0.22 mA per rail; BAT54 × 2 per 10 K = 25 µA per rail; typical: LM27762 IQ 1.0 mA (390 µA typical, no maximum; PFM at light load, so it does not bound the full-load overhead); assumption: charge-pump input-current factor 1.03 (estimate); typical: LM27762 IQ; assumption: CP 1.03</t>
  </si>
  <si>
    <t>A-36</t>
  </si>
  <si>
    <t>Leg stability with the output switch closed (0-1 nF + cable)</t>
  </si>
  <si>
    <t>PM ≥ 51.3°, GM ≥ 7.7 dB (2 nF stress 47.0°); bead alternate 51.8° / 7.7 dB</t>
  </si>
  <si>
    <t>37 load cases × 4 OPA1622 models</t>
  </si>
  <si>
    <t>Step / square response into 0-1 nF + cable at bring-up (O1); fallback Clead 4.7-22 pF, Ct 1.5-2.2 nF</t>
  </si>
  <si>
    <t>MODEL: OPA1622 fitted to typical Fig. 10 (AOL / phase) and Fig. 40 (Zo magnitude, minimum-phase; Zo phase unpublished); assumption: GBW ×0.8-1.25; A-02: switch RON up to 0.081 Ω at 60 °C; assumption: 5-15 nH switch wiring; 0-1 nF + cable load family (37 cases)</t>
  </si>
  <si>
    <t>A-37</t>
  </si>
  <si>
    <t>Leg stability with the output switch open (COFF 0.1-1 nF)</t>
  </si>
  <si>
    <t>PM ≥ 59.9°, GM ≥ 10.1 dB (57.7° at COFF 1.5 nF)</t>
  </si>
  <si>
    <t>Step response with the switch open (O1)</t>
  </si>
  <si>
    <t>MODEL: OPA1622 model fitted to typical curves; assumption: GBW ×0.8-1.25; A-03: COFF bound 0.1-1 nF</t>
  </si>
  <si>
    <t>A-38</t>
  </si>
  <si>
    <t>I/V stage stability (released case, with the CM-summing load)</t>
  </si>
  <si>
    <t>PM ≥ 67.5°, GM ≥ 5.6 dB (1,080 corners); the 66.8° section of is the rejected 10 Ω-Rser variant</t>
  </si>
  <si>
    <t>1,080 corners</t>
  </si>
  <si>
    <t>I/V step response and ringing at bring-up (O1)</t>
  </si>
  <si>
    <t>MODEL: OPA2210 3-pole fit to typical A0 / GBW / PM with a reconstructed Zo family; assumption: GBW ±30 %; assumption: Cdac 0-15 pF (ESS silent)</t>
  </si>
  <si>
    <t>A-41</t>
  </si>
  <si>
    <t>High-mode USB total (S4) vs the U102 current limit (split from R-34, power)</t>
  </si>
  <si>
    <t>S4 760.77 mA (NDK X201 765.27 mA) vs U102 IOS min 870 mA (R108 100 k): +109 mA (+105 mA NDK) on the planning values (power final)</t>
  </si>
  <si>
    <t>S4 current on the first board; production S1/S3 tests</t>
  </si>
  <si>
    <t>A-08: S4 760.77 mA (NDK 765.27 mA) rests on the MCU/CPLD/DVDD planning values (L-1)</t>
  </si>
  <si>
    <t>A-42</t>
  </si>
  <si>
    <t>ANA_SENSE supply-fault threshold band: no false fault (power, addendum)</t>
  </si>
  <si>
    <t>Default 4.00 V (1587 counts): band 3.704-4.236 V, margin +71 mV at VBUS 4.40 V; High (ILIM_HI = 1) 3.90 V = 1.247 V (1548 counts): band 3.608-4.133 V, margin +124 mV at the High peak need, +108 mV with the J101 contact drop; a short still reads ≈ 0 V</t>
  </si>
  <si>
    <t>ANA_SENSE trip level in Default and High at VBUS 4.40 V (bring-up)</t>
  </si>
  <si>
    <t>A-16: PA0 leakage 1 µA (assumed) - the only E input</t>
  </si>
  <si>
    <t>A-40</t>
  </si>
  <si>
    <t>Calibration rule: detector content boundaries only at or below the calibrated full-scale level</t>
  </si>
  <si>
    <t>A_FS = 1.55 Vrms +0.15 dB per leg (+0.10 dB acceptance + 0.05 dB instrument); no valid record → -4.5 dB default 0x4C3EA838 (0.983-1.293 Vrms per leg), red double-flash + log; the firmware never sets a gain above the calibrated level</t>
  </si>
  <si>
    <t>flash record at 0x08077000, UID-bound, CRC-32</t>
  </si>
  <si>
    <t>Production … incl. the erased-record test; reg 15-20 read-back at every pre-close</t>
  </si>
  <si>
    <t>Assumption: record page in the non-zero-wait flash area; CRC unit STM32F1-compatible; flash endurance ≥ 1k; ESS trim rounding ≤ 2^-24; no ESS output before relock after a reset; typical: the default range 0.983-1.293 Vrms per leg rests on the ESS typical full scale</t>
  </si>
  <si>
    <t>A-39</t>
  </si>
  <si>
    <t>Re-arm latch re-arm latch qualification (-A4)</t>
  </si>
  <si>
    <t>A trip that pulls N6_H below HREF clears ARM within ≤ 0.346 ms (released) / 0.383 ms (fallback) after the comparator switches; a disturbance that never reaches HREF neither clears the latch nor opens the switch; the tests are open obligations</t>
  </si>
  <si>
    <t>not a transistor-level transient</t>
  </si>
  <si>
    <t>Trips of 1 / 3 / 10 ms with RELAY_EN held high; an H dip above HREF; a hung MCU; power-up with RELAY_EN high; R692 open / U608 unpowered; Q622 short production test</t>
  </si>
  <si>
    <t>Measurement: re-arm latch latch tests: trips of 1, 3 and 10 ms with RELAY_EN held high; an H dip that stays above HREF; a hung MCU; power-up with RELAY_EN high; R692 open / U608 unpowered; the Q622 short production test</t>
  </si>
  <si>
    <t>Open qualification obligation: open until the measurement record exists (no board built yet; nothing has passed) · new row in this round</t>
  </si>
  <si>
    <t>A-46</t>
  </si>
  <si>
    <t>Persistence-detector timer reset level at low current (independent check: an assumption, no datasheet or construction bound at 35–40 µA)</t>
  </si>
  <si>
    <t>VCE(sat) ≤ 0.20 V at IC ≈ 35 µA used for T_P min 19.50 ms: the 10 mA / 1 mA datasheet row of the fitted onsemi MMBT3904LT1G (Q623-Q627, C81464) extended; with 0.30 V: T_P min 18.84 ms, 20 Hz margins 3.1 / 2.4 / 0.9 %, FS squares may mute up to 26.5 Hz</t>
  </si>
  <si>
    <t>Worst-case calculation with the reset level labelled as an assumption (inputs of A-31 / R-26)</t>
  </si>
  <si>
    <t>Timer reset level of Q623-Q626 at bring-up (expect &lt; 0.1 V); persistence detector timer T_P at 0 / 50 °C</t>
  </si>
  <si>
    <t>Assumption: persistence detector timer reset level VCE(sat) ≤ 0.20 V at IC ≈ 35 µA: the datasheet row of the fitted onsemi MMBT3904LT1G (C81464; ≤ 0.2 V at 10 mA / 1 mA) extended to 35 µA at forced beta ≈ 3.5 (Ebers-Moll ≤ ≈ 0.11 V needs the unpublished beta_R)</t>
  </si>
  <si>
    <t>A-43</t>
  </si>
  <si>
    <t>Comparator timing and LPW node leakage (assumption)</t>
  </si>
  <si>
    <t>LPW timer T_P2 51.3-68.5 ms rests on the assumed LPW timer-node leakage ≤ 0.1 µA; the comparator delays are separate: TLV3402 (LPW level / timer outputs) ≤ 0.9 ms each (3 × typical, A-04); TLV1704 (OR / persistence detector) tpd ≤ 5 µs assumed (no maximum published)</t>
  </si>
  <si>
    <t>no maxima published</t>
  </si>
  <si>
    <t>LPW timer T_P2 and OR / LPW trip timing at 0 / 50 °C on the first boards</t>
  </si>
  <si>
    <t>Assumption: TLV1704 tpd ≤ 5 µs (OR / persistence detector comparators; no maximum published); assumption: LPW timer-node leakage ≤ 0.1 µA: the capping input of T_P2 51.3-68.5 ms (the TLV3402 delays are separate: ≤ 0.9 ms each, 3 × typical, A-04)</t>
  </si>
  <si>
    <t>A-44</t>
  </si>
  <si>
    <t>LPW / OR detectors and the new content boundary (adopted by default)</t>
  </si>
  <si>
    <t>OR V_OR +1.764…1.964 / -1.762…-1.959 V (E: V_OR- assumes the OR test line low at ≤ 10 mV); LPW V_LL 0.279-0.324 V on input bias alone, 0.269-0.334 V with the 10 nA leakage allowance, T_P2 51.3-68.5 ms, reset ≤ 9.6 ms; content boundary stated on the timer: a mute can occur once the 3.3 ms-filtered leg tap has been beyond +-V_LL for ≥ 70.8 ms, and will occur after 91.9 ms plus the amplitude-dependent tap crossing (unbounded near V_LL; +11.6 ms at 0.5 V) and ≤ 1.8 ms comparator delays; in raw-leg terms a FS excursion can mute after ≥ 62.9 ms; steady offsets below 0.116 FS never mute and at or above 0.162 FS mute on every unit (can / will per FS reference: 2.154 V 0.125 / 0.155, 2.192 V 0.123 / 0.152, 2.230 V 0.120 / 0.150, drift ceiling 2.325 V 0.116 / 0.144, lowest unit 2.059 V 0.130 / 0.162 FS); examples: FS sines below 6.5 Hz (6.54 Hz with the allowance), squares up to about 7 Hz (0.8 / 0.5 / 0.35 V squares 7.4 / 7.2 / 6.9 Hz; 0.30 V squares up to 6.7 Hz)</t>
  </si>
  <si>
    <t>Worst-case calculation (protection release calculations in the calculation package)</t>
  </si>
  <si>
    <t>Sub-20 Hz content and offset tests at bring-up</t>
  </si>
  <si>
    <t>A-04: TLV3402 delay 3 × typical; A-43: TLV1704 tpd, LPW node leakage; assumption: 10 nA tap surface-leakage allowance (LPW level 0.269-0.334 V): steady offsets below 0.116 FS never mute (drift-ceiling FS 2.325 V) and at or above 0.162 FS mute on every unit (lowest FS 2.059 V); can / will mute per FS reference: 2.154 V 0.125 / 0.155, 2.192 V 0.123 / 0.152, 2.230 V 0.120 / 0.150, 2.325 V 0.116 / 0.144, 2.059 V 0.130 / 0.162 FS; FS sines below 6.5 Hz (6.54 Hz with the allowance); squares up to about 7 Hz (0.8 / 0.5 / 0.35 V squares 7.4 / 7.2 / 6.9 Hz; 0.30 V squares up to 6.7 Hz); assumption: OR test line (PC15 / N6_ORTEST) low at ≤ 10 mV (≤ 5 µA): V_OR- rests on it</t>
  </si>
  <si>
    <t>A-45</t>
  </si>
  <si>
    <t>32 Ω balanced frozen FS: HIGH MODE without the swing credit (owner item); Default mode capped by U503</t>
  </si>
  <si>
    <t>High mode: persistence detector alone ≤ 15 mJ only up to 2.175 V per leg; 15.23 / 15.77 / 17.14 mJ at 2.192 / 2.230 / 2.325 V per leg; -4.5 dB default at the 3.66 V basis 15.07 mJ; with the typical swing credit 13.67 / 14.87 mJ; physics floor 14.55 mJ at 2.325 V; 32 Ω stage not adopted (option B to the owner). Default mode: capped by U503 (IOS max 222.6 mA), legs settle ≤ 1.781 V per leg, worst 11.10 mJ (26 % margin, no swing / dropout / UVLO credit, capacitor energy and 1.5 × ILIM overshoot for 0.3 ms included), removed by persistence detector ≤ 25.4 ms; typical 5.0 mJ; TPS2596 has no fault timer / auto-retry, RAILS_OK_N is firmware-only</t>
  </si>
  <si>
    <t>Worst-case calculation of the options A–D (protection release calculation)</t>
  </si>
  <si>
    <t>CPLD frozen 0 dBFS code at the calibrated level into a 32 Ω balanced dummy: energy until the switch opens ≤ 15 mJ, and the leg swing</t>
  </si>
  <si>
    <t>Typical: OPA1622 typical swing credit (High mode: 13.67 / 14.87 mJ with it); A-01: switch tOFF ×2 (Default-mode removal ≤ 25.4 ms); A-33: persistence detector node leakage (removal time)</t>
  </si>
  <si>
    <t>Meaning</t>
  </si>
  <si>
    <t>guaranteed: datasheet limits and a worst-case calculation</t>
  </si>
  <si>
    <t>engineering estimate: the assumption (capping input) is named</t>
  </si>
  <si>
    <t>qualification obligation: open until the bring-up record exists (no board exists yet, none has passed)</t>
  </si>
  <si>
    <t>retired or process rows (no numeric limit)</t>
  </si>
  <si>
    <t>All</t>
  </si>
  <si>
    <t>every requirement and limit</t>
  </si>
  <si>
    <t>Parts List v0.9 · Diego Yang · 26 Sep 2026 (tenth review round) · companion to Design Specification v1.1 and Schematic Design Notes v1.0 · Parts List v0.8 is kept unchanged as history</t>
  </si>
  <si>
    <t>About this list</t>
  </si>
  <si>
    <t>Covers every component of every circuit: 179 BOM lines (168 fitted component lines with 462 parts, of which 4 lines with 7 parts owner-fitted; 3 copper-pad lines; 8 DNF lines with 9 designators) plus 3 layout lines (test pads, mounting holes/fiducials, bare PCB); 115 unique part numbers; 1339 SMT and 18 through-hole joints per board (J101 4, J701 12, J702 2); 10 leadless parts.</t>
  </si>
  <si>
    <t>Designators are grouped by block: 1xx USB-C input, OVP and sensing; 2xx USB audio bridge (CH32V307 + AGRV2K CPLD + clocks); 3xx DAC (ES9018K2M) and its supplies; 4xx I/V converters and output legs; 5xx power domains, current limit, ±3.8 V rails and discharge; 6xx and R900–R951 protection and output switch (incl. the re-arm latch, the pair-difference persistence detector, the over-range (OR) and the low-level persistence (LPW) stages); 7xx outputs, indicators and test; 8 = PCB and layout items (no part).</t>
  </si>
  <si>
    <t>Fit: Yes = placed by JLCPCB on every board; Owner = owner-fitted (bought by the owner, hand-soldered after delivery, not in the JLCPCB order); No = DNF footprint (C101, R241, C441, R446, R447, C513, R531, J703, R703 — fitted only if a bring-up measurement asks for it); Pads = copper pads only (J201, J202, TP732); No part = layout items (52 test pads, mounting holes, fiducials); Board = the bare PCB (priced on the Cost sheet).</t>
  </si>
  <si>
    <t>JLCPCB class and stock as recorded for each line (dates in the stock column); the sourcing data of this round (prices, stock, JLCPCB class) come from web-page copies read on 26 Sep 2026 — re-check them in the JLCPCB BOM tool at order. Unit prices are indicative (LCSC/JLCPCB sample tier; distributor prices for global-sourced and owner-bought parts).</t>
  </si>
  <si>
    <t>Legend: blue on yellow = input (Cost sheet inputs, Parts list LCSC order quantities, Purchasing list LCSC minimum/multiple, Checks inputs); Parts list columns Z–AG and Netlist columns F–G are helper columns for the Checks sheet (AC–AG: the value decoded from the part number).</t>
  </si>
  <si>
    <t>Evidence classes in plain words: G = guaranteed (datasheet limits plus a worst-case calculation); E = engineering estimate (the assumption is named); Q = qualification obligation, open until the bring-up record exists. No board exists yet, so no Q row has passed. The package is ready for schematic capture; freeze, routing and the order stay on HOLD (stage table on the Summary sheet).</t>
  </si>
  <si>
    <t>A capture scan or an ERC confirms consistency only; it does not verify a connector's physical contact map (gate G-2 does).</t>
  </si>
  <si>
    <t>Owner decisions of 25 Sep 2026 still apply: the budget is not a constraint and cost is reported for information only (no spare-parts stock, Standard PCBA, some special parts hand-soldered by the owner). After the tenth-review-round changes the design was re-verified: 474 parts, 247 nets, 1393 pins, 0 issues (1445 netlist pin rows with the 52 test pads); 118 value codes decoded.</t>
  </si>
  <si>
    <t>Tenth review round — what changed</t>
  </si>
  <si>
    <t>History-robust hardware protection: the per-leg RC window stage is retired (U601/U602, R601–R604, C601–C604, R607–R610, R649–R652, C612–C615). New per-leg over-range (OR) stages U611/U612 (TLV1704; 330 kΩ / 1 nF C0G prefilter; thresholds V_OR +1.764…+1.964 V and −1.762…−1.959 V, E: V_OR− relies on the assumed test-line low level of ≤ 10 mV) and low-level persistence (LPW) stages U613–U620 (TLV3402IDGKR; 1.00 MΩ / 3.3 nF C0G taps; level ±0.279–0.324 V on input bias alone, 0.269–0.334 V with the 10 nA leakage allowance, E; timers 910 kΩ / 100 nF C0G, T_P2 51.3–68.5 ms, E, capped by the assumed timer-node leakage of ≤ 0.1 µA; comparator delay separately ≤ 0.9 ms, 3 × typical), plus Q627/R950/R951 for the OR self-test on PC15 (N6_ORTEST). The pair-difference persistence detector and the re-arm latch are unchanged.</t>
  </si>
  <si>
    <t>Re-arm latch, implemented condition: a trip that pulls node H below HREF clears the ARM latch within ≤ 0.346 ms (0.383 ms with the R501 fallback) after the comparator switches; a disturbance that never reaches HREF neither clears the latch nor opens the switch; after any trip the switch re-closes only on a fresh RELAY_EN edge with H recovered, and a hung MCU holding RELAY_EN high can never re-close it. The latch tests are open obligations (A-39, Q).</t>
  </si>
  <si>
    <t>Hardware requirement with a level floor (R-74, E): the hardware-only protection holds from every reachable state for |leg| ≥ 0.34 V and |pair| ≥ 0.68 V — removal ≥ 2 V within 100 ms and ≥ 1 V within 250 ms; energy ≤ 30 mJ at 16 Ω and ≤ 15 mJ at 32 Ω. From any reachable pre-fault state (rail-bounded, no calibration input, E): DC ±2 V on a leg removed ≤ 27.2 ms, DC ±1 V ≤ 102.7 ms; rail-stuck leg (single-ended load, any partner content) 26.48 / 13.24 mJ at 16 / 32 Ω on the 4.049 V R501-fallback rail, removal ≤ 25.9 ms (24.78 / 12.39 mJ on the released 3.915 V rail); balanced 16 Ω worst 26.08 mJ at 1.008 V/leg (102.7 ms); balanced 32 Ω 13.67 mJ at the released swing limit (margin 8.8 %), 14.87 mJ with the R501 fallback (0.8 %), both on the typical swing credit (A-45).</t>
  </si>
  <si>
    <t>With pre-fault content at or below the calibrated ceiling the figures are 27.1 ms, 101.3 ms, 26.40 / 13.20 mJ and 25.70 mJ; the v1.0 counterexample case is removed in 101.4 ms at 23.85 / 11.92 mJ.</t>
  </si>
  <si>
    <t>Frozen DAC codes: |pair| &gt; 2.016 V (|leg| &gt; 1.008 V) removed ≤ 25.4 ms by the persistence detector; 0.34 V ≤ |leg| ≤ 1.008 V removed ≤ 118.8 ms, the bound at the floor; the energy at the floor is 3.43 / 1.72 mJ (balanced 16 / 32 Ω).</t>
  </si>
  <si>
    <t>Below the floor the firmware tiers apply, stated for the swept history set (E): T1 ≥ 1.001 / 1.015 V (leg / pair) within 218 ms, T2 ≥ 0.313 / 0.312 V within 603 ms, T3 ≥ 0.178 / 0.195 V within 2.36 s; the 3 s owner rule keeps a margin of more than 0.6 s; the residual below T3 is ≤ 2.43 mW into 16 Ω (accepted by the owner).</t>
  </si>
  <si>
    <t>Fault energy: the Spec DC-energy definition is kept (E = V_DC² / R × removal time). Under this definition every calculated case meets 30 / 15 mJ under the stated engineering-estimate assumptions. The one exception needing the owner's attention is the High-mode 32 Ω balanced frozen full-scale case: it meets 15 mJ only with the typical output-swing credit (A-45), so it remains an owner decision with a bring-up energy test. Published for information, the total terminal energy with one leg stuck and full-scale content on the partner leg (E): 32 Ω balanced, High mode 24.1–24.7 mJ (exceeds 15 mJ); 16 Ω balanced, High mode ≤ 23.85 mJ; Default mode ≤ 11.3 mJ; single-ended loads equal to the DC energy.</t>
  </si>
  <si>
    <t>32 Ω balanced frozen full scale in High mode (A-45, E): 13.67 mJ released / 14.87 mJ with the R501 fallback on the typical swing credit; without it 15.23 / 15.77 / 17.14 mJ at 2.192 / 2.230 / 2.325 V/leg. Default mode is capped by the U503 current limit: worst frozen-code case 11.10 mJ, a 26 % margin.</t>
  </si>
  <si>
    <t>Calibration rule: the content boundaries are guaranteed only at or below the calibrated level; a board without a valid calibration record runs at the −4.5 dB default (trim word 0x4C3EA838); the firmware never sets a gain above the calibrated level. Calibrated full-scale ceiling 1.55 Vrms +0.15 dB per leg (A-40, E; the calibration itself is R-07, Q); the drift ceiling 2.325 V is Q (calibration record), with a G increment for the 3V3A drift; the DAC gain tempco is unpublished (E).</t>
  </si>
  <si>
    <t>Content boundaries (calibrated level as the precondition): sines ≥ 20 Hz never trip (margins 6.4 / 5.7 / 4.3 % at 2.192 / 2.230 / 2.325 V/leg; 13.9 / 6.6 % at the −4.5 dB default); full-scale squares mute certainly at ≤ 21.4 Hz and possibly up to 25.6 Hz; the tested full-scale 20 Hz burst and polarity-reversal waveforms do not trip; one full-scale 20 Hz square cycle and the asymmetric second-harmonic wave trip, as in v1.0.</t>
  </si>
  <si>
    <t>LPW content boundary with the 10 nA leakage allowance (A-44, E): level ±0.279–0.324 V on input bias alone, 0.269–0.334 V with the allowance; a mute can occur after ≥ 70.8 ms beyond the level and will occur after 91.9 ms plus the tap crossing and ≤ 1.8 ms; a raw-leg full-scale excursion can mute after ≥ 62.9 ms. Steady offsets below 0.116 FS never mute; at or above 0.162 FS they mute on every unit. Per full-scale reference (can mute from / mutes from): −0.15 dB, 2.154 V: 0.125 / 0.155 FS; nominal, 2.192 V: 0.123 / 0.152 FS; +0.15 dB, 2.230 V: 0.120 / 0.150 FS; drift ceiling, 2.325 V: 0.116 / 0.144 FS; lowest unit, 2.059 V: 0.130 / 0.162 FS. Examples: full-scale sines below 6.5 Hz (6.54 Hz with the allowance); squares up to about 7 Hz (0.8 / 0.5 / 0.35 V squares 7.4 / 7.2 / 6.9 Hz; 0.30 V squares up to 6.7 Hz).</t>
  </si>
  <si>
    <t>Boot self-test: all implemented (pairwise) tests every boot, 3.68 s; the alternative is 2.96 s, rotating the over-range direction, so all implemented tests run within four boots. New steps (f) LPW (±0.30 FS, pass window 65–110 ms) and (g) OR (PC15 = N6_ORTEST high, pass window 18–32 ms) and the (e) word (±0.55 FS on calibrated units, pass window 18–26 ms). PC15 is the last free MCU pin (49 of 49 GPIO used). The pairwise limitation stays: per-channel coverage comes at production.</t>
  </si>
  <si>
    <t>Power (E): USB Default total S3 493.46 mA (+6.54 mA; +2.04 mA with the NDK X201 second source); Default need 178.961 mA against the U503 Default IOS minimum of 180.05 mA: +1.090 mA; High total S4 760.77 mA against the U102 limit of IOS min 870 mA (+109 mA); brown-out margin +67…+114 mV at VBUS 4.40 V; ANA_SENSE supply-fault thresholds Default 4.00 V (1587 counts), High 3.90 V (1548 counts). The production test (S3 ≤ 480 mA, S1 ≤ 90 mA) is the acceptance evidence (Q). Thermal: TPS70933 (U502) 185 mW at VBUS 5.50 V, TJ ≈ 89 °C, or 99 °C with the +10 °C local-rise allowance (212 °C/W, datasheet).</t>
  </si>
  <si>
    <t>Evidence register rebuilt: 120 rows — G 13, E 80, Q 22 and 5 retired or process rows (v1.0: G 49, E 49, Q 7, 2); R-70 (no JLCPCB-placed part at a process limit) is now an open process item; a row is G only if every input is G; R-13 and the stability rows A-36 to A-38 move to E; no Q row has passed because no board exists. The release calculations are reproducible with DAC_HPA_Calculation_Package_v1.1.zip, which has one documented verification command and separates the release calculations from the historical generators.</t>
  </si>
  <si>
    <t>Parts: TLV3402IDGKR (C140314, U613–U620) is bought now into the JLCPCB part library (about 152 in stock); TLV1704AIPWR stays 6 per board (U603, U606, U609–U612; condition ≥ 31 in LCSC stock at order time, 30+ tier US$ 1.5567); the FH C0G lines (0603 C190576, 1206 C46348) and onsemi MMBT3904LT1G (C81464, Q623–Q627) are bought at the PCBA order; Q612, Q614 and Q507 stay on JSCJ MMBT3904 (Basic). Zone fills Z4 52 %, Z7 59.0 % against the 60 % zone rule (59.6 % overall at 100 × 80 mm).</t>
  </si>
  <si>
    <t>Cost for information: US$ 949.43 = NTD 30,125 per 5-board order (JLCPCB 787.83 + owner 161.60), US$ 189.89 = NTD 6,025 per board; +US$ 93.29 against the v1.0 set (US$ 856.14). Every total is an estimate until the supplier orders and the JLCPCB quote exist. Line items rounded to the cent; totals computed from unrounded values.</t>
  </si>
  <si>
    <t>Readiness: schematic capture GO (capture v1.0 uses the old J702 map — recapture sheet 7 to the maker-drawing J702 map and sheet 6 to Parts List v0.9); provisional placement GO (100 × 80 mm); schematic freeze, routing and the fabrication/assembly order on HOLD (stage table on the Summary sheet).</t>
  </si>
  <si>
    <t>Update of 26 Sep 2026 (maker drawings): the J701 and J702 contact maps now come from the maker drawings (J702 corrected, J701 confirmed; section below), and the Parts list, Netlist, Nets, Stress check, Changes vs v0.8 and Evidence register sheets are re-imported from the refreshed design data: 1445 netlist pin rows (J701 with its 12 pads), 1339 SMT and 18 through-hole joints per board, stress check 181 current rows, evidence register G 13 / E 80 / Q 22 / 5; the cost is US$ 949.43 (−US$ 0.01: J702 has 4 SMT joints instead of 6). The Checks sheet now also checks the J701 / J702 netlist rows pin by pin.</t>
  </si>
  <si>
    <t>Schematic-capture review and maker drawings of 26 Sep 2026 — connectors J101, J702, J701</t>
  </si>
  <si>
    <t>J101 (GCT USB4105-GF-A): the GCT drawing gives 12 solder lands — four shared (A1/B12, A4/B9, B4/A9, B1/A12) and eight single (A5, A6, A7, A8, B5, B6, B7, B8) — plus four plated shell-stake slots S1–S4 and two Ø0.65 mm non-plated locating holes. The netlist keeps the 12 composite labels plus S1–S4; the provisional footprint uses the 16 JLCPCB pad IDs (each shared land is two touching pads on one net). Gates: G-1 continuity on two samples; G-3 1:1 overlay; process confirmation at G-6.</t>
  </si>
  <si>
    <t>J101 soldering process: the design intent is pin-in-paste on S1–S4, but JLCPCB's stencil standard opens no paste on through-hole pads unless they are on the paste layer or remarked, so S1–S4 get F.Paste apertures only after JLCPCB confirms the process and gives the aperture geometry. Fallback, no cost: JLCPCB reflows the 12 surface lands and the owner hand-solders S1–S4 from the bottom side (no parts there) before the first plug-in. The stakes carry the shell and the mechanical retention; never use the board with them unsoldered.</t>
  </si>
  <si>
    <t>J702 (HRO PJ-332A-6A, C2848643): SMD with two plated slot terminals — the HRO drawing and the JLCPCB footprint have four surface lands (pins 3–6, 1.6 × 1.5 mm) and two plated slot terminals (pins 1/2: 0.60 × 1.5 mm holes in 1.00 × 1.9 mm pads), plus two Ø1.20 mm locating pegs. Pins 1/2 are the two ground terminals, so the JLCPCB slot-soldering question concerns ground and retention only. JLCPCB lists it as SMT assembly (Economic and Standard, difficulty High), which does not establish how the slots are soldered: JLCPCB confirms the method at G-6; fallback: the owner hand-solders pads 1/2 from the bottom side (2 joints); if JLCPCB cannot assemble it at all, J702 becomes owner-fitted. Reflow rating: the drawing gives none (housing PPA); the existing reflow-rating check with JLCPCB stays open.</t>
  </si>
  <si>
    <t>J702 contact map, from the HRO PJ-332A drawing (its schematic, variant A, and its PCB layout both support it; the JLCPCB footprint matches): pin 1 sleeve → GND (dedicated sleeve return); pin 2 ring 2 → GND (a TRS plug's sleeve spans it); pin 3 ring 1 → JACK_RP; pin 4 tip → JACK_LP; pin 5, the break contact of ring 1 (closed to pin 3 with no plug), and pin 6, the break contact of the tip (closed to pin 4 with no plug) → no connection. Pins 5/6 carry no net because, tied to ground, they would short JACK_LP/JACK_RP, which the 4.4 mm jack shares, whenever the 3.5 mm jack is empty. The map is documented; G-2 on two samples confirms it, including the break contacts opening on insertion. Review item SE-5 is updated accordingly: the map is corrected from the maker drawing (the stored map was wrong on pins 1–4).</t>
  </si>
  <si>
    <t>J701 (G-Switch GT-3321667P-01, owner-fitted): the owner approved the manufacturer/JLCPCB 12-pad map on 26 Sep 2026, and the G-Switch drawing C-GT03321667P-01 confirms it (review item SE-4) — pad 1 GND (dedicated sleeve return, ≥ 4 vias); pads 2, 3 R− (JACK_RN); pads 4, 5 R+ (JACK_RP); pad 6 L− (JACK_LN); pads 7, 8 L+ (JACK_LP); pad 9 SWITCH and pad 10 DETECT no connection; pads 11, 12 ("ep") are two mounting tabs, "Contact H" (Ni-plated), which the maker's schematic does not show: no connection, soldered; G-2 checks whether they are common with the sleeve or the bushing. It replaces the seven-pin map, which wrongly put JACK_LP on pad 1. Holes from the drawing: 12 plated slots 0.50 × 1.40 mm (+0.10/0) in 1.00 × 1.90 mm pads and two Ø1.20 mm locating holes for the Ø1.00 mm pegs, confirmed by the 1:1 overlay at G-3. Owner fitting: 12 THT joints (10 contact pins plus the two mounting tabs).</t>
  </si>
  <si>
    <t>Capture note for the schematic engineer: capture v1.0 uses the old J702 map (tip on pin 1, sleeve on pin 4, 'Mount' on 5/6). Recapture sheet 7 to the J702 map above, and sheet 6 to Parts List v0.9 (the protection changes). The other sheets change only where the Changes vs v0.8 sheet lists them.</t>
  </si>
  <si>
    <t>Assembly wording: the JLCPCB order contains no through-hole-only part; J101 (four plated shell stakes) and J702 (two plated slot terminals) mix surface lands with plated terminations, and JLCPCB must confirm how those are soldered (G-6). Exposed bottom-side copper now also includes the J702 slot rings. The earlier check that no JLCPCB-placed part is at a process limit is no longer guaranteed: it stays open until JLCPCB's answer (Checks sheet, open item). No manufacturing data is released from the provisional connector assignments.</t>
  </si>
  <si>
    <t>Owner decisions (adopted defaults first, then the alternatives)</t>
  </si>
  <si>
    <t>32 Ω balanced frozen full scale in High mode — Default A (adopted): a stated E item (A-45) plus the bring-up energy test, 0 parts; it meets 15 mJ only with the typical output-swing credit. Alternative B: calibrated full scale −0.6 dB (1.55 → 1.45 Vrms per leg) and a −5.1 dB default, 0 parts; it breaks the 300 Ω power targets (R-12 High 30 mW and the 300 Ω target of R-14 need 2.124 V pk/leg, the calibrated −0.1 dB level falls from 2.167 V to about 2.022 V, about 27 mW), cuts every other power-target margin from ≥ 0.78 dB to ≥ 0.18 dB and lowers the maximum output by 0.6 dB. Rejected: a fast level stage (would mute full-scale squares up to 50 Hz) and a precision persistence stage (would need a timer spread ≤ 3.4 %).</t>
  </si>
  <si>
    <t>Fault-energy definition — Default (adopted): keep the Spec DC-energy definition and publish the total terminal energies. Alternative: a total-energy requirement would need a hardware change; the evaluated fast over-range stage does not work at the eFuse minimum, needs 16 parts plus a test provision and would take Z4 to about 60 %.</t>
  </si>
  <si>
    <t>Boot self-test time — Default (adopted): all implemented (pairwise) tests every boot, 3.68 s. Alternative: 2.96 s, rotating the over-range direction, so all implemented tests run within four boots.</t>
  </si>
  <si>
    <t>Self-test coverage — Default A (adopted): pairwise coverage stated as a limitation, with per-channel coverage at the production per-leg injection; 0 parts. B: per-channel OR test (the OR test line split in two, one half from a spare CPLD pin with an external pull-down): +1 part, one more CPLD register bit, 8 OR runs; self-test 4.65 s. C: B plus per-channel LPW tests by one-sided threshold switching: about +4 to 6 parts and a second CPLD line; self-test 5.92 s.</t>
  </si>
  <si>
    <t>LPW content boundary (A-44) — adopted by default: content that keeps one leg's filtered tap beyond the level for ≥ 70.8 ms may mute; a full-scale excursion of the raw leg can mute after ≥ 62.9 ms; steady offsets below 0.116 FS never mute and at or above 0.162 FS mute on every unit (10 nA leakage allowance); 0 parts. Alternative: none that keeps the hardware requirement (removing or slowing the LPW stage reopens the low-level history case, for which the v1.0 design reached 32.4–46.0 mJ). The adopted boundary is narrower than the v1.0 one: full-scale sines mute only below 6.5 Hz (v1.0: below 11.5 Hz).</t>
  </si>
  <si>
    <t>Board size — carried over: 100 × 80 mm, same PCB price tier as v1.0 (E, not quoted). Alternative: 100 × 70 mm raises the overall fill to 68 %, with zones up to 67–68 %, above the 60 % zone rule (E); not recommended. The fill at 100 × 80 mm is now 59.6 %: Z4 52 %, Z7 59.0 % against the 60 % zone limit.</t>
  </si>
  <si>
    <t>Output impedance (R-15), contact-resistance assumption — Owner decision of 27 Sep 2026 (adopted): keep the assumption, J701/J702 contact resistance 50 mΩ per contact and 0 Ω links 50 mΩ each. The maker drawings give no contact-resistance maximum, so these terms stay E until the bring-up output-impedance measurement; R-15 stays E at 0.251 Ω (3.5 mm) and 0.383 Ω (4.4 mm) against ≤ 0.5 Ω (Evidence register). No part or cost change.</t>
  </si>
  <si>
    <t>Open point for the owner (27 Sep 2026) — slot-pad copper ring of J701 / J702</t>
  </si>
  <si>
    <t>Open point for the owner, to decide before the G-3 overlay: the maker-drawing slot pads leave a copper ring of 0.20 mm on J702 (0.60 mm slots in 1.00 mm pads) and 0.25 mm on J701 (0.50 mm slots in 1.00 mm pads; 0.20 mm at the +0.10 mm slot tolerance) — above JLCPCB's 0.18 mm minimum, at or below its 0.25 mm recommendation, and below this design's 0.30 mm rule. Until the owner decides, the pads stay as the maker drawings give them.</t>
  </si>
  <si>
    <t>Owner action before the order — question to JLCPCB</t>
  </si>
  <si>
    <t>Question to JLCPCB (owner action before the order; send it as written): "For a top-side Standard PCBA order, can you solder the four plated shell slots S1–S4 of GCT USB4105-GF-A (J101) and the two plated slots 1/2 of HRO PJ-332A-6A, C2848643 (J702)? Do you require F.Paste apertures or an order remark, and what aperture geometry/hand-solder step do you recommend?"</t>
  </si>
  <si>
    <t>Until JLCPCB answers in writing: no F.Paste apertures on S1–S4, and the order stays on HOLD (G-6). If JLCPCB cannot solder them, the owner fallback applies at no cost: S1–S4 (4 joints) and J702 pads 1/2 (2 joints) hand-soldered from the bottom side before the first plug-in; if JLCPCB cannot assemble J702 at all, J702 becomes owner-fitted.</t>
  </si>
  <si>
    <t>Owner-fitted parts (not placed by JLCPCB)</t>
  </si>
  <si>
    <t>K601–K604 (Toshiba TLP3545A photorelays), D102 (Littelfuse SMDJ12A) and R509 (KOA RN73R1JTTD4751B25, 4.75 kΩ 0.1 %) come from the owner's DigiKey order; J701 (G-Switch GT-3321667P-01 4.4 mm jack) from the owner's LCSC order — 5 boards' worth each (Purchasing list, owner orders).</t>
  </si>
  <si>
    <t>Hand-solder lands: pad toes extended by ≥ 0.3 mm and ≥ 1.5 mm iron clearance to the neighbours; J701 holes per the G-Switch drawing (12 plated slots 0.50 × 1.40 mm, +0.10/0, in 1.00 × 1.90 mm pads), confirmed by the 1:1 overlay at G-3. The JLCPCB order contains no through-hole-only part.</t>
  </si>
  <si>
    <t>Fitting order after delivery: 1 D102 and R509 before the first USB plug-in and the first power-up (U503 must never run with its ILM pin open); if JLCPCB does not confirm how it solders them, the J101 shell stakes S1–S4 (4 joints) and the J702 slot pads 1/2 (2 joints) from the bottom side, also before the first plug-in; 2 K601–K604 after the rail, MCU and DAC bring-up and the protection self-tests; 3 J701 last (THT, 12 joints: 10 contact pins plus the two "ep" mounting tabs; soldered from L4).</t>
  </si>
  <si>
    <t>Bring-up safety note: until the photorelays K601–K604 are fitted, the headphone outputs are open — no signal reaches J701/J702.</t>
  </si>
  <si>
    <t>The owner-fitted parts double as samples for the pre-layout checks G-2, G-3 and G-4 (non-destructive, done before fitting); the other gate samples are on the same two owner orders.</t>
  </si>
  <si>
    <t>Conditional: C631–C634 (Panasonic ECH-U1H224GX9, 220 nF, 2416) become owner-fitted only if JLCPCB cannot confirm the reflow time (limitation L-13): then 20 pieces from Mouser, fitted before the first playback test; 1.5 mm iron clearance is reserved at both pad ends.</t>
  </si>
  <si>
    <t>Documented limitations</t>
  </si>
  <si>
    <t>L-1 MCU/CPLD running currents are vendor-unpublished; the 100 mA / 500 mA / suspend budgets use conservative planning values (MCU 80 mA, Stop 1.9 mA, CPLD 40 mA); every board is measured in every state at the production test.</t>
  </si>
  <si>
    <t>L-2 Photorelay timing over temperature is extrapolated (× 2) from 25 °C maxima; verified by measurement (tON / tOFF at 0 / 50 °C at bring-up).</t>
  </si>
  <si>
    <t>L-3 High-mode rated powers at VBUS 4.40 V depend on the LM27762 charge-pump resistance (typical only); rated at VBUS ≥ 4.60 V, 4.40 V is a measured corner.</t>
  </si>
  <si>
    <t>L-4 MCU reset/watchdog while playing is a fault transition: the switch opens ≤ 1.01 ms, a click is possible, energies far below the limits.</t>
  </si>
  <si>
    <t>L-5 The hot-unplug transient through the switches during their ≤ 1.3 ms opening time is a measured target (≤ 20 mV).</t>
  </si>
  <si>
    <t>L-6 A shorted photorelay is a latent fault; the production test verifies that every switch opens and closes.</t>
  </si>
  <si>
    <t>L-7 Connector pin maps (J101, J701, J702) are a pre-layout gate: two samples of each continuity-tested and overlaid 1:1 before routing (gates G-1…G-3). The J701 and J702 contact maps are documented from the maker drawings and the G-2 record confirms them (including J701 pads 11/12 and the J702 break contacts); J101 is confirmed at G-1; any difference is fixed in the nets before routing, and no manufacturing data is released before the gates.</t>
  </si>
  <si>
    <t>L-8 At a hard unplug OUT − IN of U302 / U503 reaches 0.40–0.46 V for tens of µs with the BAT54 clamps D104/D105 (a lower-VF Schottky would break the suspend budget by leakage); U502 (TPS70933) blocks reverse current itself, so D103 was deleted.</t>
  </si>
  <si>
    <t>L-9 A leg-to-leg short of one channel (4.4 mm plug or cable fault) is an overload, not DC: both amplifiers of one OPA1622 package current-limit (≈ 0.55 W per package, TJ ≈ +26 °C) — outside TI's one-amplifier continuous-short rating and not detected as DC in High mode; the firmware overload policy applies when the rails sag; bring-up survival test (R-64, Q).</t>
  </si>
  <si>
    <t>L-10 A source above 5.50 V (out of the USB specification) lets the U102 clamp hold 5V_SYS at 5.50–5.55 V: LP5907/LM27762 are then 0–50 mV above their recommended maximum but inside their absolute maxima.</t>
  </si>
  <si>
    <t>L-11 Closed in the ninth review round (the number stays retired): the DAC-core hang / frozen-DC case is removed in hardware — |pair| &gt; 2.016 V (|leg| &gt; 1.008 V) within ≤ 25.4 ms by the persistence detector, 0.34 V ≤ |leg| ≤ 1.008 V within ≤ 118.8 ms (the bound at the floor); the energy at the floor is 3.43 / 1.72 mJ (balanced 16 / 32 Ω).</t>
  </si>
  <si>
    <t>L-12 Brown-out trip ratiometric to 3V3M: guaranteed only while the 3V3M load stays ≤ 50 mA; at the 80 mA planning load it is backed by the MCU voltage monitor (L-1 planning values).</t>
  </si>
  <si>
    <t>L-13 C631–C634 (ECH-U1H224GX9, 2416) reflow time (≤ 95 s above 220 °C, 260 °C peak) must be confirmed by JLCPCB; otherwise they are owner-fitted (1.5 mm iron clearance reserved at both pad ends).</t>
  </si>
  <si>
    <t>Stated limitation of this round: the boot self-test runs all implemented tests pairwise — a balanced test word drives two parallel paths into one timer base, so one dead channel, or a one-sided reference fault such as R937 or R939 open, is masked by its mate; per-channel coverage comes only from the production per-leg injection; the firmware tiers still cover single-leg faults (T1, ≥ 1 V within 218 ms); R-57 is Q.</t>
  </si>
  <si>
    <t>Thin margins</t>
  </si>
  <si>
    <t>Default need vs U503 IOS min: +1.09 mA (E)</t>
  </si>
  <si>
    <t>Default USB total: +6.54 mA (+2.04 mA with the NDK) (E, plus the production-test Q)</t>
  </si>
  <si>
    <t>20 Hz sine at the calibrated ceiling: 4.3 % (0.9 % if the reset VCE(sat) were 0.30 V) (E)</t>
  </si>
  <si>
    <t>300 Ω output power at the calibrated level: 0.17 dB (Q)</t>
  </si>
  <si>
    <t>32 Ω balanced frozen full scale, High mode, with the R501 fallback and the typical swing credit: 14.87 mJ, 0.8 % (E)</t>
  </si>
  <si>
    <t>Rail-stuck energy: 12 % (E)</t>
  </si>
  <si>
    <t>Brown-out margin at VBUS 4.40 V: +67 mV (E)</t>
  </si>
  <si>
    <t>ANA_SENSE Default no-false-fault margin: +71 mV (E)</t>
  </si>
  <si>
    <t>X201 duty against the DAC limit: zero margin (Q)</t>
  </si>
  <si>
    <t>X201 load: 14.2 pF against 15 pF (E)</t>
  </si>
  <si>
    <t>Z7 placement fill: 59.0 % against 60 % (E)</t>
  </si>
  <si>
    <t>Open qualification obligations — every Q row; none has passed, because no board exists</t>
  </si>
  <si>
    <t>R-02 — USB Audio Class 2, High-Speed, on Windows, macOS, Linux and Android; closed by: enumeration and playback on each system; open until the measurement record exists</t>
  </si>
  <si>
    <t>R-04 — DAC master clock ≥ 192 × FSR within the period, high and low limits; closed by: duty and edges at the DAC clock pin; fallbacks R203 0 Ω or the NDK oscillator; open until the measurement record exists</t>
  </si>
  <si>
    <t>R-07 — Level after calibration 1.55 Vrms per leg (3.1 Vrms at the 4.4 mm jack) ±0.1 dB; closed by: production calibration to 1.55 Vrms ±0.05 dB; open until the measurement record exists</t>
  </si>
  <si>
    <t>R-12 — High mode, 4.4 mm: ≥ 30 mW at 300 Ω; closed by: output power at 300 Ω balanced; open until the measurement record exists</t>
  </si>
  <si>
    <t>R-14 — Default mode, 4.4 mm: ≥ 17 / 35 / 30 mW at 60 / 120 / 300 Ω; closed by: Default-mode power at 60 / 120 / 300 Ω; open until the measurement record exists</t>
  </si>
  <si>
    <t>R-18 — Channel balance ≤ 0.3 dB (trim ±0.05 dB); closed by: channel balance after trim; open until the measurement record exists</t>
  </si>
  <si>
    <t>R-19 — DC offset ≤ ±10 mV unbalanced, ≤ ±20 mV balanced, 0–50 °C; closed by: offset test at 0–5 / 25 / 50 °C on all five boards; open until the measurement record exists</t>
  </si>
  <si>
    <t>R-31 — Pop ≤ 20 mV at unplug or brown-out (target); closed by: hot-unplug scope capture at music level; open until the measurement record exists</t>
  </si>
  <si>
    <t>R-32 — USB current before configuration ≤ 100 mA; closed by: S1 current on every board (production test); open until the measurement record exists</t>
  </si>
  <si>
    <t>R-33 — USB Default ≤ 500 mA; closed by: production test on every board: S3 ≤ 480 mA, S1 ≤ 90 mA; fallback: a firmware current ceiling; open until the measurement record exists</t>
  </si>
  <si>
    <t>R-36 — Suspend ≤ 2.5 mA within 10 ms of the last bus activity; closed by: suspend current on the first board, then on every board; open until the measurement record exists</t>
  </si>
  <si>
    <t>R-47 — Connector pin maps continuity-tested before the schematic freeze: J101 12 lands and S1–S4; the J701 and J702 maps documented from the maker drawings, including J701 pads 11/12 (mounting tabs) and the J702 break contacts 5/6 (no connection); closed by: G-1 continuity and G-3 1:1 overlay (J101; the J701 / J702 slots and peg holes); the G-2 record on two samples of each jack; open until the measurement record exists; the G-2 record procedure is set out below</t>
  </si>
  <si>
    <t>R-57 — Boot self-test of the hardware DC path and the supervisor (pairwise coverage); closed by: on every board: (e) 18–26 ms, (f) 65–110 ms, (g) 18–32 ms, PB0 low after each self-test trip; per-channel coverage by the production per-leg injection; open until the measurement record exists</t>
  </si>
  <si>
    <t>R-64 — Leg-to-leg short of one channel; closed by: 30 min short-circuit survival test; open until the measurement record exists</t>
  </si>
  <si>
    <t>R-66 — Stream guard after the CPLD (mitigation of a frozen CPLD word); closed by: bit-exact capture at 352.8 / 384 kHz; open until the measurement record exists</t>
  </si>
  <si>
    <t>R-73 — Default-mode acceptance criterion; closed by: production test S3 ≤ 480 mA, S1 ≤ 90 mA; firmware ceiling as the fallback; open until the measurement record exists</t>
  </si>
  <si>
    <t>A-10 — DAC pin-pair mismatch and null offset; closed by: offset test at 0–5 / 25 / 50 °C on every board; open until the measurement record exists</t>
  </si>
  <si>
    <t>A-14 — X201 duty cycle against the DAC limit (zero margin); closed by: duty at the DAC clock pin; fallback R203 0 Ω; open until the measurement record exists</t>
  </si>
  <si>
    <t>A-26 — I2S2 slave capture at 22.6 / 24.6 MHz; closed by: bit-exact capture at 352.8 / 384 kHz; open until the measurement record exists</t>
  </si>
  <si>
    <t>A-29 — Reflow of the 2416 PPS film capacitors C631–C634; closed by: JLCPCB confirms the reflow profile for the 2416 size (order remark), else owner-fit with the 1.5 mm iron clearance kept; open until the measurement record exists</t>
  </si>
  <si>
    <t>A-34 — Latent single fault: Q622 drain–source short; closed by: production test: latch cleared and RELAY_EN high → every photorelay open, LED current &lt; 10 µA; open until the measurement record exists</t>
  </si>
  <si>
    <t>A-39 — Re-arm latch qualification; closed by: trips of 1 / 3 / 10 ms with RELAY_EN held high; an H dip above HREF; a hung MCU; power-up with RELAY_EN high; R692 open or U608 unpowered; the Q622 drain–source short production test; open until the measurement record exists</t>
  </si>
  <si>
    <t>G-2 record — connector contact maps (gate table and bring-up)</t>
  </si>
  <si>
    <t>On two samples of each jack (J701 and J702), label the physical terminals from the JLCPCB footprint top view.</t>
  </si>
  <si>
    <t>Record continuity from every terminal to the tip, each ring, the sleeve and any metal shell: with no plug; with the plug fully inserted; and while slowly inserting and removing the plug, to identify the switch/detect contacts.</t>
  </si>
  <si>
    <t>For J702, test with a TRS plug and with any TRRS plug the design allows; the record confirms the maker-drawing map, including the break contacts 5/6 opening on insertion. For J701, the record confirms the maker-drawing map and whether pads 11/12 are common with the sleeve or the bushing. Record every pair of terminals that are internally common.</t>
  </si>
  <si>
    <t>The resulting table sets the final symbol pin names, nets and footprint pad assignments; any difference from the maker-drawing maps is fixed in the nets before routing. The J701 / J702 hole and peg sizes are confirmed by the 1:1 overlay at G-3.</t>
  </si>
  <si>
    <t>New bring-up tests in this round</t>
  </si>
  <si>
    <t>A-45 energy test: a CPLD frozen 0 dBFS code at the calibrated level into a 32 Ω balanced dummy; energy until the switch opens ≤ 15 mJ; the leg swing is logged.</t>
  </si>
  <si>
    <t>A-46 reset level: the timer reset level of Q623–Q626 is below 0.1 V; the timer T_P is checked at 0 / 50 °C.</t>
  </si>
  <si>
    <t>A-39 latch set: trips of 1, 3 and 10 ms with RELAY_EN held high; an H dip that stays above HREF; a hung MCU; power-up with RELAY_EN high; R692 open, or U608 unpowered; the Q622 drain–source short production test.</t>
  </si>
  <si>
    <t>OR and LPW removal: 2.00 V per leg and polarity → 19.5–27 ms; 3.8 V with full-scale 100 Hz content on the partner leg → ≤ 27 ms; 0.35 V → 76–105 ms; a full-scale 20 Hz sine for 1 s, then +0.97 V → ≤ 102 ms; DC just above and just below the 0.34 V floor.</t>
  </si>
  <si>
    <t>R-57 self-test on every board: windows (e) 18–26 ms, (f) 65–110 ms, (g) 18–32 ms; PB0 low after each self-test trip. Per-channel coverage comes from the production per-leg injection.</t>
  </si>
  <si>
    <t>G-2 record on two samples of J701 and J702 before schematic freeze (procedure above).</t>
  </si>
  <si>
    <t>Sourcing risks</t>
  </si>
  <si>
    <t>No spare-parts stock: a damaged or missing part at JLCPCB stops the order. The thin lines are bought or pre-ordered now: the 1.30 k leg resistor (LCSC 100 in stock), OPA2210 (LCSC 16 in stock for 11 needed), TLV1704 (LCSC 61 in stock for 31 needed), TLV3402IDGKR (about 152 in stock for 40 + attrition), the 0603 1 M (LCSC 1,200 for 53 needed), ES9018K2M, CH32V307 and AGRV2K (thin stock).</t>
  </si>
  <si>
    <t>OPA2210IDR (U403, U404): no compliant pin-compatible alternative (the OPA1612 fails the Default power and offset requirements); DigiKey 0 until 14 Dec 2026.</t>
  </si>
  <si>
    <t>TLV1704AIPWR (U603, U606, U609–U612): 6 per board, 31 with attrition, costed from LCSC stock at the 30+ tier of US$ 1.5567 — condition: ≥ 31 in LCSC stock at order time (61 on the LCSC page read 26 Sep 2026), otherwise JLCPCB global sourcing (+10 %).</t>
  </si>
  <si>
    <t>TLV3402IDGKR (U613–U620): 8 per board, 41 with attrition, bought now into the JLCPCB part library; fallback TLV3402IDR SOIC-8 (C91242) with +214 mm² in Z4 (not needed); the DGK pin map is checked at gate G-3 against the TI DGK drawing.</t>
  </si>
  <si>
    <t>Global-sourced: J101 USB4105, X201 Kyocera, X202/X203 NDK, U607 74AUP1G17, R679/R686 22 MΩ, the 0.1 % 0402 values 5.1 k and 200 k (LCSC out of stock), R924 69.8 k (same-spec alternate Vishay TNPW040269K8BEED), the Susumu 2.00 k 0.05 % (R2/R4) and the 220 nF film capacitors C631–C634; factory leads up to 24–32 weeks for X201–X203. The 0.1 % 121 k / 115 k global lines are retired with the per-leg RC window stage.</t>
  </si>
  <si>
    <t>Connector process: how JLCPCB solders the J101 shell stakes S1–S4 and the J702 slot pads 1/2 is open until its written answer (G-6); the owner fallback costs nothing, and J702 becomes owner-fitted if JLCPCB cannot assemble it at all.</t>
  </si>
  <si>
    <t>Owner orders: both must arrive before the gates and the bring-up; the LCSC order stays tax-free only while its shipping is ≤ ≈ US$ 16; hand-soldering quality is the owner's; the fitting order is binding.</t>
  </si>
  <si>
    <t>TLV3402 (U605): TI lifecycle note ("for new designs, we recommend considering an alternate"); drop-in alternate onsemi NCS3402DR2G named, its VOL at 35 µA not verified.</t>
  </si>
  <si>
    <t>J101 stays GCT USB4105; Economic PCBA stays excluded while the 0.4 mm-pitch CPLD U202 sits at the Economic pitch limit.</t>
  </si>
  <si>
    <t>Release gates G-1…G-6 and stage readiness (status 26 Sep 2026)</t>
  </si>
  <si>
    <t>G-1 J101 GCT USB4105-GF-A pin map — open (before schematic freeze and routing)</t>
  </si>
  <si>
    <t>G-2 J701 (4.4 mm) and J702 (3.5 mm) contact maps — open (before schematic freeze and routing)</t>
  </si>
  <si>
    <t>G-3 1:1 footprint overlays — open (before schematic freeze and routing); the owner decides the slot-pad copper ring of J701 / J702 before this overlay (open point above)</t>
  </si>
  <si>
    <t>G-4 Polarity — open (before schematic freeze and routing)</t>
  </si>
  <si>
    <t>G-5 Netlist/BOM freeze — open (before the order)</t>
  </si>
  <si>
    <t>G-6 Order release — open (before the order)</t>
  </si>
  <si>
    <t>Stage readiness: Schematic capture GO (capture v1.0 uses the old J702 map; recapture sheet 7 to the maker-drawing map and sheet 6 to Parts List v0.9); Provisional placement GO (100 × 80 mm) (top side; zone fills Z4 52 %, Z7 59.0 % against the 60 % zone rule (59.6 % overall)); Schematic freeze HOLD (for G-1…G-4; the J701 and J702 contact maps are documented from the maker drawings and confirmed on two samples at G-2, J101 at G-1); Routing HOLD (no manufacturing data from the provisional connector assignments); Fabrication/assembly order HOLD (for the layout review and G-5/G-6, including JLCPCB's written confirmation of how the J101 shell stakes S1–S4 and the J702 pads 1/2 are soldered (or the owner fallback), and the 2416 film-capacitor reflow).</t>
  </si>
  <si>
    <t>Open items relevant to purchasing</t>
  </si>
  <si>
    <t>JLCPCB process question (owner action before the order, Owner action section above): the J101 shell stakes S1–S4 and the J702 slot pads 1/2 (the two GND terminals: ground and retention only); S1–S4 get F.Paste apertures only after JLCPCB confirms the process and gives the aperture geometry.</t>
  </si>
  <si>
    <t>Confirm at order: the stock of C102 (LCSC C87994, Extended) and U608 (LCSC C503431, Extended, MSL 1) in the JLCPCB BOM tool. R916–R919 and R926–R929 are on the R660 330 k line (LCSC C25778, Extended); R665 is LCSC C25104 (Basic, the same part as R228–R230 and R242–R246).</t>
  </si>
  <si>
    <t>Sourcing data of this round (prices, stock, JLCPCB class) come from web-page copies read on 26 Sep 2026, including the new lines C190576 (FH 0603 C0G), C46348 (FH 1206 C0G), C81464 (MMBT3904LT1G), C45956 (360 k), C25922 (88.7 k), C25800 (910 k) and C140314 (TLV3402IDGKR) — re-check them in the JLCPCB BOM tool at order.</t>
  </si>
  <si>
    <t>X-ray tier: with the U503 PowerPAD void check the run has 55 X-ray components (51–200 tier, US$ 0.49 each) instead of 50 (US$ 0.82 each) — ask JLCPCB.</t>
  </si>
  <si>
    <t>Not verified (cost report): the totals as a whole (an estimate until the supplier orders and the JLCPCB quote exist); JLCPCB per-part attrition (estimated); the real via-fill and ENIG adders (quote only); which Extended parts are "preferred Extended"; whether Economic accepts global-sourced parts; Taiwan tariff lines (0 % assumed); the LCSC shipping to Taiwan (≈ US$ 10 assumed); 1-piece prices of some gate samples; the TLV1704 LCSC stock at order time (condition ≥ 31).</t>
  </si>
  <si>
    <t>PCB not quoted: the PCB lines (US$ 23.00, 100 × 90 mm panel in the same price tier) are assumptions; re-quote at order.</t>
  </si>
  <si>
    <t>Reflow confirmations (order remarks, gate G-6): J101 USB4105 dwell above 240 °C (maker limit 255 °C, 5 s) and C631–C634 (ECH-U1H224GX9, 2416) time above 220 °C ≤ 95 s at 260 °C peak (else owner-fitted).</t>
  </si>
  <si>
    <t>Unverified part data: TLV3402 delay typical only (tpd 300 µs typical, no maximum); the TLV3402IDGKR DGK pin map taken from the TI pin figure (datasheet not re-read on 26 Sep 2026; gate G-3 overlay); the MMBT3904LT1G reset level at ≈ 35 µA extends the 10 mA / 1 mA datasheet row (A-46); 74AUP1G17 CPD/CI; NCS3402DR2G VOL; leakage of SMDJ12A, BAT54, PMEG2010AEH and the tantalum capacitors at 50 °C (25 °C data only).</t>
  </si>
  <si>
    <t>Some part numbers carry different unit prices on different BOM lines; the cost uses each line's price (Purchasing list notes).</t>
  </si>
  <si>
    <t>Change log</t>
  </si>
  <si>
    <t>24 Sep 2026 — Parts List v0.3 after the fourth review round (three reviews of Spec v0.4 / Notes v0.3 / Parts List v0.2). Parts List v0.2 stays unchanged as history.</t>
  </si>
  <si>
    <t>24 Sep 2026 — Current limit: TI TPS2553DBVR (C55266) current-limited switch feeds the LM27762 (Default 0.157–0.213 A, High 0.393–0.498 A); RILIM from Basic values 100 kΩ + 47 kΩ, High limit via 2N7002 + 100 kΩ.</t>
  </si>
  <si>
    <t>24 Sep 2026 — Power domains: second ME6211C33M5G-N (U504, switched 3V3D domain with CE) added beside the always-on 3V3M ME6211; LP5907 EN and TPS2553 EN switch the audio domains.</t>
  </si>
  <si>
    <t>24 Sep 2026 — Clock: one 100 MHz oscillator YXC OT3225100MJBA4SL (C4353707) replaces the two audio oscillators (22.5792 / 24.576 MHz); the ES9018K2M runs in its asynchronous (DPLL) mode.</t>
  </si>
  <si>
    <t>24 Sep 2026 — I/V op-amp: TI OPA2197IDR (C139363, Vos ±0.25 mV max) replaces the OPA1678 (±2 mV max).</t>
  </si>
  <si>
    <t>24 Sep 2026 — 1.3 V DVDD: Microne ME6216A13M3G (C236662, fixed, ±1 %, ceramic-stable) replaces the AMS1117-ADJ, fed from the switched 3V3D domain.</t>
  </si>
  <si>
    <t>24 Sep 2026 — Ferrite: Murata BLM18PG121SN1D (C14709, Basic, 2 A, 50 mΩ) in the 5V_ANA path; Sunlord GZ1608D601TF (C1002, 200 mA / 450 mΩ) only on the DAC DVCC branch (≈ 14 mA).</t>
  </si>
  <si>
    <t>24 Sep 2026 — Protection: all-2N7002 fault latch (Q601–Q609, JSCJ 2N7002 C8545) with PGOOD hardware kill and ≈ 60 ms set-path blanking; the MMBT3904 / MMBT3906 transistors are gone.</t>
  </si>
  <si>
    <t>24 Sep 2026 — Basic value combinations instead of Extended values: 100 k + 47 k (TPS2553 RILIM, DC-detect filter), 1 k ∥ 5.1 k = 836 Ω (I/V feedback), 15 k + 1 k (VREF divider), 2 × 330 pF C0G (I/V feedback capacitor), 100 k + 100 k + 15 k / 10 k (LM27762 feedback).</t>
  </si>
  <si>
    <t>24 Sep 2026 — Other part changes: Basic 5032 8 MHz crystal YXC X50328MSB2GI (C115962); GOODWORK LESD5D5.0CT1G ESD diodes (C41399463); SHOU HAN TYPE-C 16-pin receptacle (C2765186); 0805 green status LED KT-0805G (C2297, Basic).</t>
  </si>
  <si>
    <t>24 Sep 2026 — Design context: headphone rails ±3.78 V (was ±4.5 V); output calibrated to 1.75 Vrms per leg; parts list rebuilt one part per line with an LCSC number and a verified class on every fitted line.</t>
  </si>
  <si>
    <t>24 Sep 2026 — Cost: 1,536 NTD per board (v0.2) → 1,540 NTD per board (US$242.95 = 7,702 NTD for 5 boards); verified prices are mostly lower; new parts and three more Extended types are counted.</t>
  </si>
  <si>
    <t>24 Sep 2026 (amendment) — 24.576 MHz oscillator X202 added for the 48 kHz rate family (the DAC requires a 45:55 bit-clock duty cycle; generating both families from 100 MHz gave 40:60 at 352.8/384 kHz); owner accepted ≈ +62 NTD per board.</t>
  </si>
  <si>
    <t>24 Sep 2026 (amendment) — Parts: X202 YXC OT322524.576MJBA4SL (C2831388; leadless, counted for X-ray; class assumed Extended), C218 100 nF decoupling and R210 33 Ω series termination (C25105) added; X201 and U202 descriptions updated for the two-oscillator clock. Cost 1,540 → 1,602 NTD per board (US$252.74 = 8,012 NTD for 5 boards).</t>
  </si>
  <si>
    <t>24 Sep 2026 (second amendment) — 22.5792 MHz oscillator X203 added; X202/X203 are selected by their enable pins in front of the CPLD PLL, so all 8 sample rates use exact clocks.</t>
  </si>
  <si>
    <t>24 Sep 2026 (second amendment) — Parts: X203 SCTF SX2M22.5792M20F30TNN (C5452663; Extended; leadless, counted for X-ray), R211 33 Ω, R212 100 kΩ enable pull-up and R213 100 kΩ enable pull-down (C25741), and C219 100 nF added; X201, X202 and U202 descriptions updated. Cost 1,602 → 1,666 NTD per board (US$262.77 = 8,330 NTD for 5 boards).</t>
  </si>
  <si>
    <t>24 Sep 2026 — v0.4 (fifth review round): MCLK oscillator 80 MHz (SCTF SX3M80.000B20F30TNN) replaces 100 MHz; I/V op-amp OPA2210IDR replaces OPA2197IDR; both family-oscillator enables 2.2 kΩ pull-downs, node pull-down R214, DNF mux U205/R215; overload latch parts Q610 and D606; VREF clamp D401 and C421 100 nF; R518 5.1 kΩ (−3.722 V rail); DNF R703 for the test-header MCLK monitor; 29 test pads; cost 1,666 → 1,647 NTD per board.</t>
  </si>
  <si>
    <t>24 Sep 2026 — v0.5 (sixth review round): latch capacitor moved to node F and latch pull-ups 47 kΩ (capture ≈ 35 µs); Q609 slow interlock (R623, C607); Q611 AVCC_EN kill; DC detector R601–R604 100 kΩ (R619–R622 removed) and R609/R610 10 kΩ; slow DC-sense network R624–R635, C608–C611; VREF C421 330 pF (D401, C422 removed); 3V3D dropper R519/R520 and bulk C512; DNF mux pull-downs R216/R217; 31 test pads; cost 1,647 → 1,650 NTD per board.</t>
  </si>
  <si>
    <t>24 Sep 2026 — v0.6 (Diego Yang), seventh review round (full design check): AVCC_EN/AUD_EN/RAILS_OK_N series resistors (R307, R521, R522), PGOOD pull-up R505 10 kΩ to 5V_ANA, R623 1 MΩ / C607 10 nF, LM393BIDR with 147 kΩ/10 kΩ thresholds (R636/R637), U601 decoupling C612/C613, R638, V+ 3.90 V (R523), bleeders R524/R525, MCLK_EN pull-down R218, R224/R225 link resistors, R308 RESETB series, CPLD ferrite FB202 + C220, MCU C221, R107 0 Ω, C101 DNF, DNF TVS D102, R701 1 kΩ, R209 removed; price refresh; 1,691 NTD per board.</t>
  </si>
  <si>
    <t>v0.6 (amended, 24 Sep 2026), external reviews of 24 Sep 2026: two LM339DR window comparators replace the LM393B diode-OR detector, slow DC-sense network redesigned (15 kΩ/10 kΩ to 3V3A/22 kΩ + 2.2 µF, 3V3A monitor R639/R640/C616), C421 33 pF, BAT54S clamps D405–D408 fitted by owner decision: 1,719 NTD per board.</t>
  </si>
  <si>
    <t>25 Sep 2026 — v0.7 (Diego Yang), eighth review round (companion to Design Specification v0.9 and Schematic Design Notes v0.8): JLCPCB Standard PCBA, top side; GCT USB4105 receptacle, TPS25200 OVP with an SMDJ12A VBUS TVS; TPS7A2033 / TLV76733 / TLV75801P regulators with guaranteed discharge; TPS259621 eFuse with TMUX1101 limit switch; Kyocera 80 MHz and NDK 49.152 / 45.1584 MHz oscillators with true stand-by; four TLP3545A photorelay output switches with the permit node H, TLV1704 windows and the DAC-supply/MCLK supervisor; single-part I/V feedback, 0.1 % leg T networks and the I/V hold-up; the fault latch removed. Cost patch of the same day: owner-fitted K601–K604, J701, D102, R509; cheaper drop-in parts; no spares; tented vias. Designators added 165, removed 63, changed 106. Cost for information: fitted parts US$ 65.41 per board; US$ 758.82 = NTD 24,078 per 5-board order (JLCPCB + owner), 314.05 less than the previous estimate. Owner decisions OD-1 (stricter stream check) and OD-2 (firmware check of the DAC lock status) decided the same day — firmware only, no parts change; residual documented limitation L-11.</t>
  </si>
  <si>
    <t>25 Sep 2026 — v0.8 (Diego Yang), ninth review round (companion to Design Specification v1.0 and Schematic Design Notes v0.9), final after the independent check: trip re-arm latch (U608, Q621, Q622, R690–R696, C630); pair-difference persistence detector (U609/U610, Q623–Q626 timer resets, R900–R925, C631–C634 220 nF PPS film capacitors) closing L-11; suspend power cut (TPS70933 from VBUS, Q507 MMBT3904, R537/R538, C102/C502 2.2 µF, D103 deleted); R509 4.75 k (Default acceptance criterion); mixed leg network (Susumu 2.00 k 0.05 %); R665 330 Ω; 0603 precision resistors above 240 k; board 100 × 80 mm. Designators added 54, removed 1, changed 21. New Evidence register sheet (107 rows); value-from-part-number and order-rule checks; stale Value cells fixed. Cost for information: fitted parts US$ 78.51 per board; US$ 856.14 = NTD 27,165 per 5-board order (JLCPCB + owner), +97.32 against the v0.9 set.</t>
  </si>
  <si>
    <t>26 Sep 2026 — v0.9 (Diego Yang), tenth review round (companion to Design Specification v1.1 and Schematic Design Notes v1.0): history-robust hardware protection — per-leg over-range stages U611/U612 (TLV1704, R926–R929, C639–C642, R934–R937) and low-level persistence stages U613–U620 (TLV3402IDGKR, R930–R933/C643–C646 taps, R938–R941 references, R942–R949/C647–C654 timers), OR self-test Q627/R950/R951 on PC15, decoupling C655–C666; the per-leg RC window stage retired (U601/U602, R601–R604, C601–C604, R607–R610, R649–R652, C612–C615); Q623–Q626 moved to onsemi MMBT3904LT1G. Designators added 65, removed 22, changed 4. New Changes vs v0.8 sheet; Evidence register rebuilt (120 rows, G 13 / E 80 / Q 22 / 5); stress check 181 current rows. Final corrections of the independent summary check (rail-bounded protection figures, frozen-code bound, OR/LPW classes, energy definition, LPW content boundary with the 10 nA allowance, self-test wording, TPS70933 thermal line) and the schematic-capture review (J101 lands and shell-stake process, J702 slot terminals and pins 5/6 no net, the owner-approved J701 12-pad map, the G-2 record, the JLCPCB process question). Cost for information: fitted parts US$ 94.04 per board; US$ 949.43 = NTD 30,125 per 5-board order (JLCPCB + owner), +93.29 against the v1.0 set; an estimate until the supplier orders and the JLCPCB quote exist.</t>
  </si>
  <si>
    <t>26 Sep 2026 — v0.9 update (Diego Yang), maker drawings supplied by the owner: J702 contact map corrected from the HRO PJ-332A drawing (1 sleeve GND, 2 ring 2 GND, 3 ring 1 JACK_RP, 4 tip JACK_LP, 5/6 break contacts with no connection); the G-Switch drawing C-GT03321667P-01 confirms the owner-approved J701 12-pad map (pads 11/12 are mounting tabs, no connection, soldered). Parts list, Netlist, Nets, Stress check, Changes vs v0.8 and Evidence register re-imported from the refreshed design data (1445 netlist pin rows; SMT 1339 / THT 18 joints per board; register G 13 / E 80 / Q 22 / 5, R-70 an open process item); cost US$ 949.43 = NTD 30,125 (J702 SMT joints 6 → 4); new pin-by-pin check of the J701 / J702 netlist rows.</t>
  </si>
  <si>
    <t>27 Sep 2026 — v0.9 update (Diego Yang), owner decisions: R-15 output impedance — the owner kept the contact-resistance assumption (J701/J702 50 mΩ per contact, 0 Ω links 50 mΩ each; the maker drawings give no contact-resistance maximum), so R-15 stays E at 0.251 / 0.383 Ω until the bring-up output-impedance measurement (Evidence register R-15 updated). The slot-pad copper ring of J701 / J702 is recorded as an open point for the owner, to decide before the G-3 overlay (Notes, Summary, Ordering plan gate G-3, second open item on the Checks sheet); the pads stay as the maker drawings give them. No part, netlist or cost change (US$ 949.43 = NTD 30,125).</t>
  </si>
  <si>
    <t>Checks — the workbook checks itself</t>
  </si>
  <si>
    <t>Each check recomputes a figure from the lists, the netlist or the Cost sheet and compares it with the expected value (the design data and the cost report of 26 Sep 2026, tenth review round, or another sheet). OK when |Difference| ≤ Tolerance.</t>
  </si>
  <si>
    <t>Inputs used by the checks</t>
  </si>
  <si>
    <t>R924 same-spec alternate, part number</t>
  </si>
  <si>
    <t>Vishay TNPW040269K8BEED</t>
  </si>
  <si>
    <t>Parts list R924 note; DigiKey 72,019</t>
  </si>
  <si>
    <t>Value-check tolerance (value from the part number against the Value column)</t>
  </si>
  <si>
    <t>same tolerance as the design check (0.5 %)</t>
  </si>
  <si>
    <t>Parts value-decode cross-check: lines decoded</t>
  </si>
  <si>
    <t>value-decode cross-check of the parts data, 26 Sep 2026</t>
  </si>
  <si>
    <t>Parts value-decode cross-check: mismatches</t>
  </si>
  <si>
    <t>same run (the approved alternates named in the BOM text are information only)</t>
  </si>
  <si>
    <t>Actual</t>
  </si>
  <si>
    <t>BOM lines in the Parts list</t>
  </si>
  <si>
    <t>Parts list rows 4–185 without the 3 layout lines</t>
  </si>
  <si>
    <t>Fit = Yes or Owner</t>
  </si>
  <si>
    <t>Parts list (7 owner-fitted)</t>
  </si>
  <si>
    <t>Fit = Yes</t>
  </si>
  <si>
    <t>Designators on fitted lines = fitted parts per board</t>
  </si>
  <si>
    <t>designator lists (helper Z/AA) against the qty column</t>
  </si>
  <si>
    <t>DNF designators</t>
  </si>
  <si>
    <t>C101, R241, C441, R446, R447, C513, R531, J703, R703</t>
  </si>
  <si>
    <t>Copper-pad lines (no component)</t>
  </si>
  <si>
    <t>J201, J202, TP732</t>
  </si>
  <si>
    <t>helper AB</t>
  </si>
  <si>
    <t>Purchasing list, JLCPCB order</t>
  </si>
  <si>
    <t>the Economic Extended fee applies to the other 77</t>
  </si>
  <si>
    <t>SMT joints per board (all fitted parts)</t>
  </si>
  <si>
    <t>1311 placed by JLCPCB + 28 owner-fitted</t>
  </si>
  <si>
    <t>drives the SMT joint fee</t>
  </si>
  <si>
    <t>Through-hole joints per board</t>
  </si>
  <si>
    <t>J101 shell stakes 4 + J701 12 (owner-fitted) + J702 slot terminals 2</t>
  </si>
  <si>
    <t>Leadless (X-ray) parts per board</t>
  </si>
  <si>
    <t>drives the X-ray fee</t>
  </si>
  <si>
    <t>Designators on the BOM lines incl. the test-pad line</t>
  </si>
  <si>
    <t>474 BOM designators + 52 test pads</t>
  </si>
  <si>
    <t>Netlist sheet</t>
  </si>
  <si>
    <t>Component pins (without the 52 one-pin test pads)</t>
  </si>
  <si>
    <t>design check: 474 parts, 247 nets, 1393 pins, 0 issues</t>
  </si>
  <si>
    <t>Designators in the netlist</t>
  </si>
  <si>
    <t>Netlist helper F</t>
  </si>
  <si>
    <t>BOM ↔ netlist: netlist designators found on a BOM line</t>
  </si>
  <si>
    <t>designators present in both (Netlist helper G)</t>
  </si>
  <si>
    <t>BOM ↔ netlist: BOM designators present in the netlist</t>
  </si>
  <si>
    <t>every BOM designator appears in the netlist</t>
  </si>
  <si>
    <t>Nets sheet, incl. the NC collector</t>
  </si>
  <si>
    <t>Pins summed over the nets = netlist pin rows</t>
  </si>
  <si>
    <t>Nets sheet total</t>
  </si>
  <si>
    <t>Nets whose pin count differs from the design check</t>
  </si>
  <si>
    <t>live count vs design-check count</t>
  </si>
  <si>
    <t>Netlist helper cells with an error</t>
  </si>
  <si>
    <t>rows 4–1448 (outside the preview window)</t>
  </si>
  <si>
    <t>Connector contact maps in the Netlist: J701 / J702 rows as in the design data (pin, pin name, net)</t>
  </si>
  <si>
    <t>J701 12 pads (G-Switch drawing) + J702 6 pins (HRO drawing); pin-by-pin block below</t>
  </si>
  <si>
    <t>Fitted lines without a part number (MPN)</t>
  </si>
  <si>
    <t>every fitted line has an MPN</t>
  </si>
  <si>
    <t>Fitted lines with neither an LCSC number nor a sourcing note</t>
  </si>
  <si>
    <t>lines without an LCSC number carry a sourcing note</t>
  </si>
  <si>
    <t>Fitted lines without a source</t>
  </si>
  <si>
    <t>Parts list column K</t>
  </si>
  <si>
    <t>Owner-fitted lines without an owner source</t>
  </si>
  <si>
    <t>Source = Owner purchase (DigiKey / LCSC)</t>
  </si>
  <si>
    <t>Value decodes from the part number: lines checked</t>
  </si>
  <si>
    <t>UNI-ROYAL 48, Samsung CL 36, YAGEO 25, FH 6, SAE 2, KOA 1 (Parts list helpers AC–AG); the design check decodes the same 118 lines</t>
  </si>
  <si>
    <t>Value decodes from the part number: mismatches with the Value column</t>
  </si>
  <si>
    <t>tolerance input C6</t>
  </si>
  <si>
    <t>Value decode of the parts cross-check: mismatches</t>
  </si>
  <si>
    <t>R924 same-spec alternate (C5) decodes to the R924 value (Ω)</t>
  </si>
  <si>
    <t>Vishay TNPW value code: 69K8 = 69.8 kΩ</t>
  </si>
  <si>
    <t>Purchasing values that differ from the Parts list value (same MPN)</t>
  </si>
  <si>
    <t>every Purchasing list value comes from the Parts list line</t>
  </si>
  <si>
    <t>JLCPCB purchasing lines = JLCPCB-placed part numbers (Parts list)</t>
  </si>
  <si>
    <t>one line per part number</t>
  </si>
  <si>
    <t>JLCPCB purchasing qty per board = JLCPCB-placed parts</t>
  </si>
  <si>
    <t>every JLCPCB-placed part appears once</t>
  </si>
  <si>
    <t>JLCPCB purchasing qty to order = Parts list qty to buy (Fit = Yes)</t>
  </si>
  <si>
    <t>5 boards + attrition</t>
  </si>
  <si>
    <t>JLCPCB purchasing line costs = Parts list line costs (Fit = Yes, US$)</t>
  </si>
  <si>
    <t>the Cost sheet takes the JLCPCB parts from the Purchasing list</t>
  </si>
  <si>
    <t>JLCPCB pre-order lines at or above their order quantity (as costed)</t>
  </si>
  <si>
    <t>1.30 k 60, 680 Ω 60, 698 Ω 40 leg resistors and SN74LVC3G34 10; other JLCPCB lines follow JLCPCB's minimums</t>
  </si>
  <si>
    <t>JLCPCB lines with an order-rule flag</t>
  </si>
  <si>
    <t>Purchasing list column Q</t>
  </si>
  <si>
    <t>Owner orders: owner-fitted quantities = 5 × owner-fitted parts</t>
  </si>
  <si>
    <t>TLP3545A 20, SMDJ12A 5, R509 5, J701 5</t>
  </si>
  <si>
    <t>Owner LCSC order: lines meeting the LCSC minimum and multiple</t>
  </si>
  <si>
    <t>order-multiple check (Purchasing list column Q, owner order 2)</t>
  </si>
  <si>
    <t>BAT54 20 (multiple 20), PMEG2010AEH 5, SN74LVC3G34 5, BAS70-04 10 (minimum 10)</t>
  </si>
  <si>
    <t>Fitted parts per board = cost report (US$)</t>
  </si>
  <si>
    <t>JLCPCB-placed 71.29 + owner-fitted 22.75</t>
  </si>
  <si>
    <t>JLCPCB order, Standard = cost report (US$)</t>
  </si>
  <si>
    <t>cost report of 26 Sep 2026 (tenth review round), section 1</t>
  </si>
  <si>
    <t>Owner purchase = cost report (US$)</t>
  </si>
  <si>
    <t>DigiKey 105.63 + LCSC 55.97</t>
  </si>
  <si>
    <t>Total per 5-board order = cost report (US$)</t>
  </si>
  <si>
    <t>cost report; an estimate until the supplier orders and the JLCPCB quote exist</t>
  </si>
  <si>
    <t>Total per 5-board order = cost report (NTD)</t>
  </si>
  <si>
    <t>31.73 NTD per US$</t>
  </si>
  <si>
    <t>Per assembled board = cost report (US$)</t>
  </si>
  <si>
    <t>total ÷ 5 (JLCPCB 157.57 + owner 32.32)</t>
  </si>
  <si>
    <t>Saving vs the earlier estimate = cost report (US$)</t>
  </si>
  <si>
    <t>earlier round's comparison against US$ 1,072.87</t>
  </si>
  <si>
    <t>Change vs the v1.0 set (Parts List v0.8) = cost report (US$)</t>
  </si>
  <si>
    <t>v1.0 set: US$ 856.14</t>
  </si>
  <si>
    <t>Earlier record: the v1.0 set against the v0.9 set = cost report (US$)</t>
  </si>
  <si>
    <t>v0.9 set US$ 758.82 → v1.0 set US$ 856.14</t>
  </si>
  <si>
    <t>Cost sheet reconciliation lines OK</t>
  </si>
  <si>
    <t>Cost rows 125–175</t>
  </si>
  <si>
    <t>Summary total = Cost sheet total (NTD)</t>
  </si>
  <si>
    <t>Summary links to the Cost sheet</t>
  </si>
  <si>
    <t>Stress check: current rows</t>
  </si>
  <si>
    <t>stress table, current rows only (superseded history rows not shown)</t>
  </si>
  <si>
    <t>Stress check: FAIL rows</t>
  </si>
  <si>
    <t>no current row may fail</t>
  </si>
  <si>
    <t>Stress check: verdict counts as expected</t>
  </si>
  <si>
    <t>OK 146, THIN 17, AVAIL 14, DATA-GAP 4, FAIL 0, all 181</t>
  </si>
  <si>
    <t>Changes vs v0.8: designators added + removed + changed</t>
  </si>
  <si>
    <t>65 + 22 + 4</t>
  </si>
  <si>
    <t>Changes vs v0.8: v0.8 fitted parts + added − removed = fitted parts now</t>
  </si>
  <si>
    <t>419 + 65 − 22</t>
  </si>
  <si>
    <t>Evidence register: class counts as expected</t>
  </si>
  <si>
    <t>G 13, E 80, Q 22, — 5 (R-70 is an open process item), all 120</t>
  </si>
  <si>
    <t>Evidence register: Q rows open (no board exists, so none has passed)</t>
  </si>
  <si>
    <t>Status column: open until the measurement record exists</t>
  </si>
  <si>
    <t>Ordering plan section A (incl. TLV3402IDGKR and TLV1704AIPWR)</t>
  </si>
  <si>
    <t>Pre-order part numbers</t>
  </si>
  <si>
    <t>Ordering plan section A</t>
  </si>
  <si>
    <t>Open item, not counted as a pass: no JLCPCB-placed part at a process limit</t>
  </si>
  <si>
    <t>pending JLCPCB's written answer on how the J101 shell stakes S1–S4 and the J702 slot pads 1/2 are soldered (G-6); fallback: the owner hand-solders them</t>
  </si>
  <si>
    <t>Open item, not counted as a pass: slot-pad copper ring of J701 / J702 (owner decision before the G-3 overlay)</t>
  </si>
  <si>
    <t>open point for the owner: J702 0.20 mm (0.60 mm slots in 1.00 mm pads), J701 0.25 mm (0.50 mm slots in 1.00 mm pads; 0.20 mm at the +0.10 mm slot tolerance) — above JLCPCB's 0.18 mm minimum, at or below its 0.25 mm recommendation, below this design's 0.30 mm rule; the pads stay as the maker drawings give them until the owner decides (Notes sheet)</t>
  </si>
  <si>
    <t>Every formula in this workbook references only its own sheets; there are no external workbook links.</t>
  </si>
  <si>
    <t>Connector contact maps in the Netlist — J701 (G-Switch drawing C-GT03321667P-01) and J702 (HRO PJ-332A drawing)</t>
  </si>
  <si>
    <t>Pin name (design data)</t>
  </si>
  <si>
    <t>Net (design data)</t>
  </si>
  <si>
    <t>Netlist sheet: pin · pin name · net</t>
  </si>
  <si>
    <t>Position in the Netlist range (helper)</t>
  </si>
  <si>
    <t>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</si>
</sst>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000;&quot;—&quot;"/>
    <numFmt numFmtId="165" formatCode="#,##0;\-#,##0;&quot;—&quot;"/>
    <numFmt numFmtId="166" formatCode="#,##0.00;\-#,##0.00;&quot;—&quot;"/>
    <numFmt numFmtId="167" formatCode="0.0000"/>
    <numFmt numFmtId="168" formatCode="0.0000#"/>
    <numFmt numFmtId="169" formatCode="\+#,##0.00;\-#,##0.00;0.00"/>
    <numFmt numFmtId="170" formatCode="#,##0.00;\-#,##0.00;0.00"/>
    <numFmt numFmtId="171" formatCode="#,##0;\-#,##0;0"/>
    <numFmt numFmtId="172" formatCode="0.0;\-0.0;0.0"/>
    <numFmt numFmtId="173" formatCode="0.000"/>
    <numFmt numFmtId="174" formatCode="0.0%"/>
    <numFmt numFmtId="175" formatCode="#,##0.0"/>
  </numFmts>
  <fonts count="28" x14ac:knownFonts="1">
    <font>
      <sz val="11"/>
      <color theme="1"/>
      <name val="Calibri"/>
      <family val="2"/>
      <scheme val="minor"/>
    </font>
    <font>
      <sz val="10"/>
      <color theme="1"/>
      <name val="Calibri"/>
    </font>
    <font>
      <b/>
      <sz val="10"/>
      <color theme="1"/>
      <name val="Calibri"/>
    </font>
    <font>
      <b/>
      <sz val="10"/>
      <color rgb="FF1F4E5F"/>
      <name val="Calibri"/>
    </font>
    <font>
      <b/>
      <sz val="14"/>
      <color rgb="FF1F4E5F"/>
      <name val="Calibri"/>
    </font>
    <font>
      <sz val="10"/>
      <color rgb="FF6B7780"/>
      <name val="Calibri"/>
    </font>
    <font>
      <b/>
      <sz val="10"/>
      <color rgb="FFFFFFFF"/>
      <name val="Calibri"/>
    </font>
    <font>
      <sz val="10"/>
      <color rgb="FF8A969D"/>
      <name val="Calibri"/>
    </font>
    <font>
      <b/>
      <sz val="10"/>
      <color rgb="FF1A1A1A"/>
      <name val="Calibri"/>
    </font>
    <font>
      <sz val="10"/>
      <color rgb="FF0000FF"/>
      <name val="Calibri"/>
    </font>
    <font>
      <sz val="10"/>
      <color rgb="FF2F5597"/>
      <name val="Calibri"/>
    </font>
    <font>
      <sz val="9"/>
      <color rgb="FF8A969D"/>
      <name val="Calibri"/>
    </font>
    <font>
      <b/>
      <sz val="9"/>
      <color rgb="FF8A969D"/>
      <name val="Calibri"/>
    </font>
    <font>
      <b/>
      <sz val="10"/>
      <color rgb="FF000000"/>
      <name val="Calibri"/>
    </font>
    <font>
      <i/>
      <sz val="10"/>
      <color rgb="FF6B7780"/>
      <name val="Calibri"/>
    </font>
    <font>
      <b/>
      <sz val="10"/>
      <color rgb="FF0000FF"/>
      <name val="Calibri"/>
    </font>
    <font>
      <b/>
      <sz val="11"/>
      <color rgb="FFFFFFFF"/>
      <name val="Calibri"/>
    </font>
    <font>
      <sz val="11"/>
      <color rgb="FF000000"/>
      <name val="Calibri"/>
      <family val="2"/>
      <scheme val="minor"/>
    </font>
    <font>
      <sz val="10"/>
      <color rgb="FF000000"/>
      <name val="Calibri"/>
    </font>
    <font>
      <b/>
      <sz val="10"/>
      <color rgb="FF6B7780"/>
      <name val="Calibri"/>
    </font>
    <font>
      <b/>
      <sz val="10"/>
      <color rgb="FF9C0006"/>
      <name val="Calibri"/>
    </font>
    <font>
      <b/>
      <sz val="10"/>
      <color rgb="FF9C5700"/>
      <name val="Calibri"/>
    </font>
    <font>
      <sz val="10"/>
      <color rgb="FF9C5700"/>
      <name val="Calibri"/>
    </font>
    <font>
      <b/>
      <sz val="16"/>
      <color rgb="FF1F4E5F"/>
      <name val="Calibri"/>
    </font>
    <font>
      <b/>
      <sz val="11"/>
      <color rgb="FF6B7780"/>
      <name val="Calibri"/>
    </font>
    <font>
      <i/>
      <sz val="10"/>
      <color rgb="FF000000"/>
      <name val="Calibri"/>
    </font>
    <font>
      <b/>
      <i/>
      <sz val="10"/>
      <color rgb="FF9C5700"/>
      <name val="Calibri"/>
    </font>
    <font>
      <sz val="10"/>
      <color theme="1"/>
      <name val="Calibri"/>
      <family val="2"/>
    </font>
  </fonts>
  <fills count="7">
    <fill>
      <patternFill patternType="none"/>
    </fill>
    <fill>
      <patternFill patternType="gray125"/>
    </fill>
    <fill>
      <patternFill patternType="solid">
        <fgColor rgb="FF1F4E5F"/>
        <bgColor indexed="64"/>
      </patternFill>
    </fill>
    <fill>
      <patternFill patternType="solid">
        <fgColor rgb="FFFFF2CC"/>
        <bgColor indexed="64"/>
      </patternFill>
    </fill>
    <fill>
      <patternFill patternType="solid">
        <fgColor rgb="FFF8ECDF"/>
        <bgColor indexed="64"/>
      </patternFill>
    </fill>
    <fill>
      <patternFill patternType="solid">
        <fgColor rgb="FFEAF1F3"/>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68">
    <xf numFmtId="0" fontId="0" fillId="0" borderId="0" xfId="0"/>
    <xf numFmtId="0" fontId="1" fillId="0" borderId="0" xfId="0" applyFont="1" applyAlignment="1">
      <alignment vertical="top"/>
    </xf>
    <xf numFmtId="0" fontId="6" fillId="2" borderId="0" xfId="0" applyFont="1" applyFill="1" applyAlignment="1">
      <alignment vertical="top"/>
    </xf>
    <xf numFmtId="0" fontId="6" fillId="2" borderId="0" xfId="0" applyFont="1" applyFill="1" applyAlignment="1">
      <alignment horizontal="center" vertical="center" wrapText="1"/>
    </xf>
    <xf numFmtId="0" fontId="1" fillId="0" borderId="0" xfId="0" applyFont="1" applyAlignment="1">
      <alignment vertical="top" wrapText="1"/>
    </xf>
    <xf numFmtId="49" fontId="1" fillId="0" borderId="0" xfId="0"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1" fontId="1" fillId="0" borderId="0" xfId="0" applyNumberFormat="1" applyFont="1" applyAlignment="1">
      <alignment horizontal="center" vertical="top" wrapText="1"/>
    </xf>
    <xf numFmtId="1" fontId="1" fillId="0" borderId="0" xfId="0" applyNumberFormat="1" applyFont="1" applyAlignment="1">
      <alignment horizontal="center" vertical="top"/>
    </xf>
    <xf numFmtId="0" fontId="1" fillId="0" borderId="0" xfId="0" applyFont="1" applyAlignment="1">
      <alignment horizontal="center" vertical="top" wrapText="1"/>
    </xf>
    <xf numFmtId="3" fontId="1" fillId="0" borderId="0" xfId="0" applyNumberFormat="1" applyFont="1" applyAlignment="1">
      <alignment horizontal="center" vertical="top" wrapText="1"/>
    </xf>
    <xf numFmtId="3" fontId="1" fillId="0" borderId="0" xfId="0" applyNumberFormat="1" applyFont="1" applyAlignment="1">
      <alignment vertical="top"/>
    </xf>
    <xf numFmtId="164" fontId="1" fillId="0" borderId="0" xfId="0" applyNumberFormat="1" applyFont="1" applyAlignment="1">
      <alignment vertical="top" wrapText="1"/>
    </xf>
    <xf numFmtId="165" fontId="1" fillId="0" borderId="0" xfId="0" applyNumberFormat="1" applyFont="1" applyAlignment="1">
      <alignment horizontal="center" vertical="top" wrapText="1"/>
    </xf>
    <xf numFmtId="165" fontId="1" fillId="0" borderId="0" xfId="0" applyNumberFormat="1" applyFont="1" applyAlignment="1">
      <alignment horizontal="center" vertical="top"/>
    </xf>
    <xf numFmtId="166" fontId="1" fillId="0" borderId="0" xfId="0" applyNumberFormat="1" applyFont="1" applyAlignment="1">
      <alignment vertical="top" wrapText="1"/>
    </xf>
    <xf numFmtId="166" fontId="1" fillId="0" borderId="0" xfId="0" applyNumberFormat="1" applyFont="1" applyAlignment="1">
      <alignment vertical="top"/>
    </xf>
    <xf numFmtId="165" fontId="9" fillId="0" borderId="0" xfId="0" applyNumberFormat="1" applyFont="1" applyAlignment="1">
      <alignment horizontal="center" vertical="top" wrapText="1"/>
    </xf>
    <xf numFmtId="165" fontId="9" fillId="3" borderId="0" xfId="0" applyNumberFormat="1" applyFont="1" applyFill="1" applyAlignment="1">
      <alignment horizontal="center" vertical="top" wrapText="1"/>
    </xf>
    <xf numFmtId="0" fontId="10" fillId="0" borderId="0" xfId="0" applyFont="1" applyAlignment="1">
      <alignment vertical="top" wrapText="1"/>
    </xf>
    <xf numFmtId="0" fontId="11" fillId="0" borderId="0" xfId="0" applyFont="1" applyAlignment="1">
      <alignment vertical="top" wrapText="1"/>
    </xf>
    <xf numFmtId="1" fontId="11" fillId="0" borderId="0" xfId="0" applyNumberFormat="1" applyFont="1" applyAlignment="1">
      <alignment horizontal="center" vertical="top" wrapText="1"/>
    </xf>
    <xf numFmtId="11" fontId="11" fillId="0" borderId="0" xfId="0" applyNumberFormat="1" applyFont="1" applyAlignment="1">
      <alignment vertical="top" wrapText="1"/>
    </xf>
    <xf numFmtId="0" fontId="12" fillId="0" borderId="0" xfId="0" applyFont="1" applyAlignment="1">
      <alignment horizontal="center" vertical="top" wrapText="1"/>
    </xf>
    <xf numFmtId="0" fontId="13" fillId="4" borderId="0" xfId="0" applyFont="1" applyFill="1" applyAlignment="1">
      <alignment vertical="top"/>
    </xf>
    <xf numFmtId="1" fontId="13" fillId="4" borderId="0" xfId="0" applyNumberFormat="1" applyFont="1" applyFill="1" applyAlignment="1">
      <alignment horizontal="center" vertical="top"/>
    </xf>
    <xf numFmtId="3" fontId="13" fillId="4" borderId="0" xfId="0" applyNumberFormat="1" applyFont="1" applyFill="1" applyAlignment="1">
      <alignment vertical="top"/>
    </xf>
    <xf numFmtId="165" fontId="13" fillId="4" borderId="0" xfId="0" applyNumberFormat="1" applyFont="1" applyFill="1" applyAlignment="1">
      <alignment horizontal="center" vertical="top"/>
    </xf>
    <xf numFmtId="166" fontId="13" fillId="4" borderId="0" xfId="0" applyNumberFormat="1" applyFont="1" applyFill="1" applyAlignment="1">
      <alignment vertical="top"/>
    </xf>
    <xf numFmtId="0" fontId="1" fillId="5" borderId="0" xfId="0" applyFont="1" applyFill="1" applyAlignment="1">
      <alignment vertical="top"/>
    </xf>
    <xf numFmtId="1" fontId="1" fillId="5" borderId="0" xfId="0" applyNumberFormat="1" applyFont="1" applyFill="1" applyAlignment="1">
      <alignment horizontal="center" vertical="top"/>
    </xf>
    <xf numFmtId="3" fontId="1" fillId="5" borderId="0" xfId="0" applyNumberFormat="1" applyFont="1" applyFill="1" applyAlignment="1">
      <alignment vertical="top"/>
    </xf>
    <xf numFmtId="165" fontId="1" fillId="5" borderId="0" xfId="0" applyNumberFormat="1" applyFont="1" applyFill="1" applyAlignment="1">
      <alignment horizontal="center" vertical="top"/>
    </xf>
    <xf numFmtId="166" fontId="1" fillId="5" borderId="0" xfId="0" applyNumberFormat="1" applyFont="1" applyFill="1" applyAlignment="1">
      <alignment vertical="top"/>
    </xf>
    <xf numFmtId="0" fontId="14" fillId="0" borderId="0" xfId="0" applyFont="1" applyAlignment="1">
      <alignment vertical="top"/>
    </xf>
    <xf numFmtId="1" fontId="9" fillId="3" borderId="0" xfId="0" applyNumberFormat="1" applyFont="1" applyFill="1" applyAlignment="1">
      <alignment horizontal="center" vertical="top"/>
    </xf>
    <xf numFmtId="1" fontId="6" fillId="2" borderId="0" xfId="0" applyNumberFormat="1" applyFont="1" applyFill="1" applyAlignment="1">
      <alignment horizontal="center" vertical="top"/>
    </xf>
    <xf numFmtId="0" fontId="1" fillId="4" borderId="0" xfId="0" applyFont="1" applyFill="1" applyAlignment="1">
      <alignment vertical="top"/>
    </xf>
    <xf numFmtId="1" fontId="1" fillId="4" borderId="0" xfId="0" applyNumberFormat="1" applyFont="1" applyFill="1" applyAlignment="1">
      <alignment horizontal="center" vertical="top"/>
    </xf>
    <xf numFmtId="0" fontId="1" fillId="4" borderId="0" xfId="0" applyFont="1" applyFill="1" applyAlignment="1">
      <alignment horizontal="center" vertical="top"/>
    </xf>
    <xf numFmtId="1" fontId="9" fillId="4" borderId="0" xfId="0" applyNumberFormat="1" applyFont="1" applyFill="1" applyAlignment="1">
      <alignment horizontal="center" vertical="top"/>
    </xf>
    <xf numFmtId="0" fontId="2" fillId="4" borderId="0" xfId="0" applyFont="1" applyFill="1" applyAlignment="1">
      <alignment horizontal="center" vertical="top"/>
    </xf>
    <xf numFmtId="0" fontId="14" fillId="4" borderId="0" xfId="0" applyFont="1" applyFill="1" applyAlignment="1">
      <alignment vertical="top"/>
    </xf>
    <xf numFmtId="0" fontId="2" fillId="0" borderId="0" xfId="0" applyFont="1" applyAlignment="1">
      <alignment vertical="top" wrapText="1"/>
    </xf>
    <xf numFmtId="0" fontId="2" fillId="0" borderId="0" xfId="0" applyFont="1" applyAlignment="1">
      <alignment horizontal="center" vertical="top" wrapText="1"/>
    </xf>
    <xf numFmtId="0" fontId="2" fillId="4" borderId="0" xfId="0" applyFont="1" applyFill="1" applyAlignment="1">
      <alignment vertical="top" wrapText="1"/>
    </xf>
    <xf numFmtId="165" fontId="2" fillId="4" borderId="0" xfId="0" applyNumberFormat="1" applyFont="1" applyFill="1" applyAlignment="1">
      <alignment horizontal="center" vertical="top" wrapText="1"/>
    </xf>
    <xf numFmtId="165" fontId="15" fillId="4" borderId="0" xfId="0" applyNumberFormat="1" applyFont="1" applyFill="1" applyAlignment="1">
      <alignment horizontal="center" vertical="top" wrapText="1"/>
    </xf>
    <xf numFmtId="0" fontId="2" fillId="4" borderId="0" xfId="0" applyFont="1" applyFill="1" applyAlignment="1">
      <alignment horizontal="center" vertical="top" wrapText="1"/>
    </xf>
    <xf numFmtId="166" fontId="2" fillId="4" borderId="0" xfId="0" applyNumberFormat="1" applyFont="1" applyFill="1" applyAlignment="1">
      <alignment vertical="top" wrapText="1"/>
    </xf>
    <xf numFmtId="0" fontId="14" fillId="4" borderId="0" xfId="0" applyFont="1" applyFill="1" applyAlignment="1">
      <alignment vertical="top" wrapText="1"/>
    </xf>
    <xf numFmtId="165" fontId="3" fillId="5" borderId="0" xfId="0" applyNumberFormat="1" applyFont="1" applyFill="1" applyAlignment="1">
      <alignment horizontal="center" vertical="top" wrapText="1"/>
    </xf>
    <xf numFmtId="0" fontId="3" fillId="5" borderId="0" xfId="0" applyFont="1" applyFill="1" applyAlignment="1">
      <alignment horizontal="center" vertical="top" wrapText="1"/>
    </xf>
    <xf numFmtId="166" fontId="3" fillId="5" borderId="0" xfId="0" applyNumberFormat="1" applyFont="1" applyFill="1" applyAlignment="1">
      <alignment horizontal="center" vertical="top" wrapText="1"/>
    </xf>
    <xf numFmtId="167" fontId="1" fillId="0" borderId="0" xfId="0" applyNumberFormat="1" applyFont="1" applyAlignment="1">
      <alignment vertical="top" wrapText="1"/>
    </xf>
    <xf numFmtId="1" fontId="2" fillId="0" borderId="0" xfId="0" applyNumberFormat="1" applyFont="1" applyAlignment="1">
      <alignment horizontal="center" vertical="top" wrapText="1"/>
    </xf>
    <xf numFmtId="0" fontId="17" fillId="6" borderId="0" xfId="0" applyFont="1" applyFill="1"/>
    <xf numFmtId="0" fontId="18" fillId="6" borderId="0" xfId="0" applyFont="1" applyFill="1" applyAlignment="1">
      <alignment vertical="top"/>
    </xf>
    <xf numFmtId="0" fontId="6" fillId="2" borderId="0" xfId="0" applyFont="1" applyFill="1" applyAlignment="1">
      <alignment vertical="center" wrapText="1"/>
    </xf>
    <xf numFmtId="0" fontId="14" fillId="6" borderId="0" xfId="0" applyFont="1" applyFill="1" applyAlignment="1">
      <alignment vertical="top"/>
    </xf>
    <xf numFmtId="2" fontId="9" fillId="3" borderId="0" xfId="0" applyNumberFormat="1" applyFont="1" applyFill="1" applyAlignment="1">
      <alignment vertical="top"/>
    </xf>
    <xf numFmtId="1" fontId="9" fillId="3" borderId="0" xfId="0" applyNumberFormat="1" applyFont="1" applyFill="1" applyAlignment="1">
      <alignment vertical="top"/>
    </xf>
    <xf numFmtId="9" fontId="9" fillId="3" borderId="0" xfId="0" applyNumberFormat="1" applyFont="1" applyFill="1" applyAlignment="1">
      <alignment vertical="top"/>
    </xf>
    <xf numFmtId="4" fontId="9" fillId="3" borderId="0" xfId="0" applyNumberFormat="1" applyFont="1" applyFill="1" applyAlignment="1">
      <alignment vertical="top"/>
    </xf>
    <xf numFmtId="3" fontId="9" fillId="3" borderId="0" xfId="0" applyNumberFormat="1" applyFont="1" applyFill="1" applyAlignment="1">
      <alignment vertical="top"/>
    </xf>
    <xf numFmtId="3" fontId="18" fillId="6" borderId="0" xfId="0" applyNumberFormat="1" applyFont="1" applyFill="1" applyAlignment="1">
      <alignment vertical="top"/>
    </xf>
    <xf numFmtId="4" fontId="18" fillId="6" borderId="0" xfId="0" applyNumberFormat="1" applyFont="1" applyFill="1" applyAlignment="1">
      <alignment vertical="top"/>
    </xf>
    <xf numFmtId="168" fontId="18" fillId="6" borderId="0" xfId="0" applyNumberFormat="1" applyFont="1" applyFill="1" applyAlignment="1">
      <alignment vertical="top"/>
    </xf>
    <xf numFmtId="166" fontId="18" fillId="6" borderId="0" xfId="0" applyNumberFormat="1" applyFont="1" applyFill="1" applyAlignment="1">
      <alignment vertical="top"/>
    </xf>
    <xf numFmtId="166" fontId="9" fillId="3" borderId="0" xfId="0" applyNumberFormat="1" applyFont="1" applyFill="1" applyAlignment="1">
      <alignment vertical="top"/>
    </xf>
    <xf numFmtId="168" fontId="9" fillId="3" borderId="0" xfId="0" applyNumberFormat="1" applyFont="1" applyFill="1" applyAlignment="1">
      <alignment vertical="top"/>
    </xf>
    <xf numFmtId="1" fontId="18" fillId="6" borderId="0" xfId="0" applyNumberFormat="1" applyFont="1" applyFill="1" applyAlignment="1">
      <alignment vertical="top"/>
    </xf>
    <xf numFmtId="9" fontId="18" fillId="6" borderId="0" xfId="0" applyNumberFormat="1" applyFont="1" applyFill="1" applyAlignment="1">
      <alignment vertical="top"/>
    </xf>
    <xf numFmtId="166" fontId="6" fillId="2" borderId="0" xfId="0" applyNumberFormat="1" applyFont="1" applyFill="1" applyAlignment="1">
      <alignment horizontal="center" vertical="center" wrapText="1"/>
    </xf>
    <xf numFmtId="169" fontId="18" fillId="6" borderId="0" xfId="0" applyNumberFormat="1" applyFont="1" applyFill="1" applyAlignment="1">
      <alignment vertical="top"/>
    </xf>
    <xf numFmtId="165" fontId="18" fillId="6" borderId="0" xfId="0" applyNumberFormat="1" applyFont="1" applyFill="1" applyAlignment="1">
      <alignment vertical="top"/>
    </xf>
    <xf numFmtId="165" fontId="6" fillId="2" borderId="0" xfId="0" applyNumberFormat="1" applyFont="1" applyFill="1" applyAlignment="1">
      <alignment horizontal="center" vertical="center" wrapText="1"/>
    </xf>
    <xf numFmtId="170" fontId="18" fillId="6" borderId="0" xfId="0" applyNumberFormat="1" applyFont="1" applyFill="1" applyAlignment="1">
      <alignment vertical="top"/>
    </xf>
    <xf numFmtId="171" fontId="18" fillId="6" borderId="0" xfId="0" applyNumberFormat="1" applyFont="1" applyFill="1" applyAlignment="1">
      <alignment vertical="top"/>
    </xf>
    <xf numFmtId="172" fontId="18" fillId="6" borderId="0" xfId="0" applyNumberFormat="1" applyFont="1" applyFill="1" applyAlignment="1">
      <alignment vertical="top"/>
    </xf>
    <xf numFmtId="170" fontId="9" fillId="3" borderId="0" xfId="0" applyNumberFormat="1" applyFont="1" applyFill="1" applyAlignment="1">
      <alignment vertical="top"/>
    </xf>
    <xf numFmtId="171" fontId="9" fillId="3" borderId="0" xfId="0" applyNumberFormat="1" applyFont="1" applyFill="1" applyAlignment="1">
      <alignment vertical="top"/>
    </xf>
    <xf numFmtId="172" fontId="9" fillId="3" borderId="0" xfId="0" applyNumberFormat="1" applyFont="1" applyFill="1" applyAlignment="1">
      <alignment vertical="top"/>
    </xf>
    <xf numFmtId="167" fontId="18" fillId="6" borderId="0" xfId="0" applyNumberFormat="1" applyFont="1" applyFill="1" applyAlignment="1">
      <alignment vertical="top"/>
    </xf>
    <xf numFmtId="0" fontId="13" fillId="6" borderId="0" xfId="0" applyFont="1" applyFill="1" applyAlignment="1">
      <alignment horizontal="center" vertical="top"/>
    </xf>
    <xf numFmtId="173" fontId="18" fillId="6" borderId="0" xfId="0" applyNumberFormat="1" applyFont="1" applyFill="1" applyAlignment="1">
      <alignment vertical="top"/>
    </xf>
    <xf numFmtId="0" fontId="19" fillId="2" borderId="0" xfId="0" applyFont="1" applyFill="1" applyAlignment="1">
      <alignment vertical="center" wrapText="1"/>
    </xf>
    <xf numFmtId="0" fontId="5" fillId="6" borderId="0" xfId="0" applyFont="1" applyFill="1" applyAlignment="1">
      <alignment vertical="top" wrapText="1"/>
    </xf>
    <xf numFmtId="0" fontId="14" fillId="6" borderId="0" xfId="0" applyFont="1" applyFill="1" applyAlignment="1">
      <alignment vertical="top" wrapText="1"/>
    </xf>
    <xf numFmtId="0" fontId="18" fillId="6" borderId="0" xfId="0" applyFont="1" applyFill="1" applyAlignment="1">
      <alignment vertical="top" wrapText="1"/>
    </xf>
    <xf numFmtId="0" fontId="13" fillId="4" borderId="0" xfId="0" applyFont="1" applyFill="1" applyAlignment="1">
      <alignment vertical="top" wrapText="1"/>
    </xf>
    <xf numFmtId="165" fontId="13" fillId="4" borderId="0" xfId="0" applyNumberFormat="1" applyFont="1" applyFill="1" applyAlignment="1">
      <alignment vertical="top"/>
    </xf>
    <xf numFmtId="0" fontId="19" fillId="4" borderId="0" xfId="0" applyFont="1" applyFill="1" applyAlignment="1">
      <alignment vertical="top" wrapText="1"/>
    </xf>
    <xf numFmtId="169" fontId="13" fillId="4" borderId="0" xfId="0" applyNumberFormat="1" applyFont="1" applyFill="1" applyAlignment="1">
      <alignment vertical="top"/>
    </xf>
    <xf numFmtId="0" fontId="13" fillId="4" borderId="0" xfId="0" applyFont="1" applyFill="1" applyAlignment="1">
      <alignment horizontal="center" vertical="top"/>
    </xf>
    <xf numFmtId="0" fontId="13" fillId="5" borderId="0" xfId="0" applyFont="1" applyFill="1" applyAlignment="1">
      <alignment vertical="top" wrapText="1"/>
    </xf>
    <xf numFmtId="0" fontId="13" fillId="5" borderId="0" xfId="0" applyFont="1" applyFill="1" applyAlignment="1">
      <alignment vertical="top"/>
    </xf>
    <xf numFmtId="166" fontId="13" fillId="5" borderId="0" xfId="0" applyNumberFormat="1" applyFont="1" applyFill="1" applyAlignment="1">
      <alignment vertical="top"/>
    </xf>
    <xf numFmtId="165" fontId="13" fillId="5" borderId="0" xfId="0" applyNumberFormat="1" applyFont="1" applyFill="1" applyAlignment="1">
      <alignment vertical="top"/>
    </xf>
    <xf numFmtId="166" fontId="14" fillId="6" borderId="0" xfId="0" applyNumberFormat="1" applyFont="1" applyFill="1" applyAlignment="1">
      <alignment vertical="top"/>
    </xf>
    <xf numFmtId="165" fontId="14" fillId="6" borderId="0" xfId="0" applyNumberFormat="1" applyFont="1" applyFill="1" applyAlignment="1">
      <alignment vertical="top"/>
    </xf>
    <xf numFmtId="169" fontId="13" fillId="5" borderId="0" xfId="0" applyNumberFormat="1" applyFont="1" applyFill="1" applyAlignment="1">
      <alignment vertical="top"/>
    </xf>
    <xf numFmtId="4" fontId="15" fillId="5" borderId="0" xfId="0" applyNumberFormat="1" applyFont="1" applyFill="1" applyAlignment="1">
      <alignment vertical="top"/>
    </xf>
    <xf numFmtId="49" fontId="1" fillId="0" borderId="0" xfId="0" applyNumberFormat="1" applyFont="1" applyAlignment="1">
      <alignment horizontal="center" vertical="top"/>
    </xf>
    <xf numFmtId="49" fontId="1" fillId="0" borderId="0" xfId="0" quotePrefix="1" applyNumberFormat="1" applyFont="1" applyAlignment="1">
      <alignment horizontal="center" vertical="top"/>
    </xf>
    <xf numFmtId="1" fontId="7" fillId="0" borderId="0" xfId="0" applyNumberFormat="1" applyFont="1" applyAlignment="1">
      <alignment horizontal="center" vertical="top"/>
    </xf>
    <xf numFmtId="3" fontId="1" fillId="0" borderId="0" xfId="0" applyNumberFormat="1" applyFont="1" applyAlignment="1">
      <alignment horizontal="center" vertical="top"/>
    </xf>
    <xf numFmtId="0" fontId="2" fillId="4" borderId="0" xfId="0" applyFont="1" applyFill="1" applyAlignment="1">
      <alignment vertical="top"/>
    </xf>
    <xf numFmtId="3" fontId="2" fillId="4" borderId="0" xfId="0" applyNumberFormat="1" applyFont="1" applyFill="1" applyAlignment="1">
      <alignment horizontal="center" vertical="top"/>
    </xf>
    <xf numFmtId="0" fontId="22" fillId="0" borderId="0" xfId="0" applyFont="1" applyAlignment="1">
      <alignment vertical="top" wrapText="1"/>
    </xf>
    <xf numFmtId="1" fontId="2" fillId="4" borderId="0" xfId="0" applyNumberFormat="1" applyFont="1" applyFill="1" applyAlignment="1">
      <alignment horizontal="center" vertical="top"/>
    </xf>
    <xf numFmtId="49" fontId="9" fillId="3" borderId="0" xfId="0" applyNumberFormat="1" applyFont="1" applyFill="1" applyAlignment="1">
      <alignment vertical="top"/>
    </xf>
    <xf numFmtId="174" fontId="9" fillId="3" borderId="0" xfId="0" applyNumberFormat="1" applyFont="1" applyFill="1" applyAlignment="1">
      <alignment vertical="top"/>
    </xf>
    <xf numFmtId="0" fontId="13" fillId="6" borderId="0" xfId="0" applyFont="1" applyFill="1" applyAlignment="1">
      <alignment vertical="top" wrapText="1"/>
    </xf>
    <xf numFmtId="0" fontId="3" fillId="5" borderId="0" xfId="0" applyFont="1" applyFill="1" applyAlignment="1">
      <alignment horizontal="center" vertical="center" wrapText="1"/>
    </xf>
    <xf numFmtId="3" fontId="18" fillId="6" borderId="0" xfId="0" applyNumberFormat="1" applyFont="1" applyFill="1" applyAlignment="1">
      <alignment horizontal="center" vertical="top" wrapText="1"/>
    </xf>
    <xf numFmtId="4" fontId="18" fillId="6" borderId="0" xfId="0" applyNumberFormat="1" applyFont="1" applyFill="1" applyAlignment="1">
      <alignment vertical="top" wrapText="1"/>
    </xf>
    <xf numFmtId="3" fontId="13" fillId="6" borderId="0" xfId="0" applyNumberFormat="1" applyFont="1" applyFill="1" applyAlignment="1">
      <alignment horizontal="center" vertical="top" wrapText="1"/>
    </xf>
    <xf numFmtId="3" fontId="13" fillId="4" borderId="0" xfId="0" applyNumberFormat="1" applyFont="1" applyFill="1" applyAlignment="1">
      <alignment horizontal="center" vertical="top" wrapText="1"/>
    </xf>
    <xf numFmtId="4" fontId="13" fillId="4" borderId="0" xfId="0" applyNumberFormat="1" applyFont="1" applyFill="1" applyAlignment="1">
      <alignment vertical="top" wrapText="1"/>
    </xf>
    <xf numFmtId="0" fontId="20" fillId="6" borderId="0" xfId="0" applyFont="1" applyFill="1" applyAlignment="1">
      <alignment vertical="top" wrapText="1"/>
    </xf>
    <xf numFmtId="0" fontId="21" fillId="6" borderId="0" xfId="0" applyFont="1" applyFill="1" applyAlignment="1">
      <alignment horizontal="center" vertical="top" wrapText="1"/>
    </xf>
    <xf numFmtId="1" fontId="18" fillId="6" borderId="0" xfId="0" applyNumberFormat="1" applyFont="1" applyFill="1" applyAlignment="1">
      <alignment horizontal="center" vertical="top"/>
    </xf>
    <xf numFmtId="166" fontId="18" fillId="6" borderId="0" xfId="0" applyNumberFormat="1" applyFont="1" applyFill="1" applyAlignment="1">
      <alignment vertical="top" wrapText="1"/>
    </xf>
    <xf numFmtId="169" fontId="18" fillId="6" borderId="0" xfId="0" applyNumberFormat="1" applyFont="1" applyFill="1" applyAlignment="1">
      <alignment vertical="top" wrapText="1"/>
    </xf>
    <xf numFmtId="165" fontId="18" fillId="6" borderId="0" xfId="0" applyNumberFormat="1" applyFont="1" applyFill="1" applyAlignment="1">
      <alignment vertical="top" wrapText="1"/>
    </xf>
    <xf numFmtId="166" fontId="13" fillId="4" borderId="0" xfId="0" applyNumberFormat="1" applyFont="1" applyFill="1" applyAlignment="1">
      <alignment vertical="top" wrapText="1"/>
    </xf>
    <xf numFmtId="165" fontId="13" fillId="4" borderId="0" xfId="0" applyNumberFormat="1" applyFont="1" applyFill="1" applyAlignment="1">
      <alignment vertical="top" wrapText="1"/>
    </xf>
    <xf numFmtId="166" fontId="18" fillId="5" borderId="0" xfId="0" applyNumberFormat="1" applyFont="1" applyFill="1" applyAlignment="1">
      <alignment vertical="top" wrapText="1"/>
    </xf>
    <xf numFmtId="165" fontId="18" fillId="5" borderId="0" xfId="0" applyNumberFormat="1" applyFont="1" applyFill="1" applyAlignment="1">
      <alignment vertical="top" wrapText="1"/>
    </xf>
    <xf numFmtId="166" fontId="14" fillId="6" borderId="0" xfId="0" applyNumberFormat="1" applyFont="1" applyFill="1" applyAlignment="1">
      <alignment vertical="top" wrapText="1"/>
    </xf>
    <xf numFmtId="165" fontId="14" fillId="6" borderId="0" xfId="0" applyNumberFormat="1" applyFont="1" applyFill="1" applyAlignment="1">
      <alignment vertical="top" wrapText="1"/>
    </xf>
    <xf numFmtId="1" fontId="18" fillId="6" borderId="0" xfId="0" applyNumberFormat="1" applyFont="1" applyFill="1" applyAlignment="1">
      <alignment horizontal="center" vertical="top" wrapText="1"/>
    </xf>
    <xf numFmtId="49" fontId="18" fillId="6" borderId="0" xfId="0" applyNumberFormat="1" applyFont="1" applyFill="1" applyAlignment="1">
      <alignment vertical="top"/>
    </xf>
    <xf numFmtId="175" fontId="18" fillId="6" borderId="0" xfId="0" applyNumberFormat="1" applyFont="1" applyFill="1" applyAlignment="1">
      <alignment vertical="top"/>
    </xf>
    <xf numFmtId="49" fontId="18" fillId="6" borderId="0" xfId="0" applyNumberFormat="1" applyFont="1" applyFill="1" applyAlignment="1">
      <alignment horizontal="center" vertical="top"/>
    </xf>
    <xf numFmtId="1" fontId="7" fillId="6" borderId="0" xfId="0" applyNumberFormat="1" applyFont="1" applyFill="1" applyAlignment="1">
      <alignment horizontal="center" vertical="top"/>
    </xf>
    <xf numFmtId="0" fontId="21" fillId="6" borderId="0" xfId="0" applyFont="1" applyFill="1" applyAlignment="1">
      <alignment horizontal="left" vertical="top" wrapText="1"/>
    </xf>
    <xf numFmtId="0" fontId="25" fillId="6" borderId="0" xfId="0" applyFont="1" applyFill="1" applyAlignment="1">
      <alignment vertical="top" wrapText="1"/>
    </xf>
    <xf numFmtId="0" fontId="21" fillId="3" borderId="0" xfId="0" applyFont="1" applyFill="1" applyAlignment="1">
      <alignment horizontal="center" vertical="top" wrapText="1"/>
    </xf>
    <xf numFmtId="0" fontId="18" fillId="6" borderId="0" xfId="0" applyFont="1" applyFill="1" applyAlignment="1">
      <alignment horizontal="center" vertical="top"/>
    </xf>
    <xf numFmtId="0" fontId="3" fillId="5" borderId="0" xfId="0" applyFont="1" applyFill="1" applyAlignment="1">
      <alignment vertical="top" wrapText="1"/>
    </xf>
    <xf numFmtId="0" fontId="13" fillId="6" borderId="0" xfId="0" applyFont="1" applyFill="1" applyAlignment="1">
      <alignment horizontal="center" vertical="top" wrapText="1"/>
    </xf>
    <xf numFmtId="0" fontId="18" fillId="5" borderId="0" xfId="0" applyFont="1" applyFill="1" applyAlignment="1">
      <alignment vertical="top" wrapText="1"/>
    </xf>
    <xf numFmtId="0" fontId="26" fillId="3" borderId="0" xfId="0" applyFont="1" applyFill="1" applyAlignment="1">
      <alignment horizontal="center" vertical="top" wrapText="1"/>
    </xf>
    <xf numFmtId="0" fontId="5" fillId="5" borderId="0" xfId="0" applyFont="1" applyFill="1" applyAlignment="1">
      <alignment vertical="top" wrapText="1"/>
    </xf>
    <xf numFmtId="0" fontId="18" fillId="6" borderId="0" xfId="0" applyFont="1" applyFill="1" applyAlignment="1">
      <alignment vertical="top" wrapText="1"/>
    </xf>
    <xf numFmtId="0" fontId="3" fillId="5" borderId="0" xfId="0" applyFont="1" applyFill="1" applyAlignment="1">
      <alignment vertical="top" wrapText="1"/>
    </xf>
    <xf numFmtId="0" fontId="16" fillId="2" borderId="0" xfId="0" applyFont="1" applyFill="1" applyAlignment="1">
      <alignment vertical="center" wrapText="1"/>
    </xf>
    <xf numFmtId="0" fontId="14" fillId="6" borderId="0" xfId="0" applyFont="1" applyFill="1" applyAlignment="1">
      <alignment vertical="top" wrapText="1"/>
    </xf>
    <xf numFmtId="0" fontId="5" fillId="6" borderId="0" xfId="0" applyFont="1" applyFill="1" applyAlignment="1">
      <alignment vertical="top" wrapText="1"/>
    </xf>
    <xf numFmtId="0" fontId="24" fillId="2" borderId="0" xfId="0" applyFont="1" applyFill="1" applyAlignment="1">
      <alignment vertical="center" wrapText="1"/>
    </xf>
    <xf numFmtId="0" fontId="23" fillId="0" borderId="0" xfId="0" applyFont="1" applyAlignment="1">
      <alignment vertical="center"/>
    </xf>
    <xf numFmtId="0" fontId="1"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center"/>
    </xf>
    <xf numFmtId="0" fontId="1" fillId="0" borderId="0" xfId="0" applyFont="1" applyAlignment="1">
      <alignment vertical="top"/>
    </xf>
    <xf numFmtId="0" fontId="14" fillId="0" borderId="0" xfId="0" applyFont="1" applyAlignment="1">
      <alignment vertical="top" wrapText="1"/>
    </xf>
    <xf numFmtId="0" fontId="3" fillId="5" borderId="0" xfId="0" applyFont="1" applyFill="1" applyAlignment="1">
      <alignment horizontal="center" vertical="center" wrapText="1"/>
    </xf>
    <xf numFmtId="0" fontId="20" fillId="6" borderId="0" xfId="0" applyFont="1" applyFill="1" applyAlignment="1">
      <alignment vertical="top" wrapText="1"/>
    </xf>
    <xf numFmtId="0" fontId="2" fillId="4" borderId="0" xfId="0" applyFont="1" applyFill="1" applyAlignment="1">
      <alignment vertical="top" wrapText="1"/>
    </xf>
    <xf numFmtId="1" fontId="16" fillId="2" borderId="0" xfId="0" applyNumberFormat="1" applyFont="1" applyFill="1" applyAlignment="1">
      <alignment horizontal="left" vertical="center"/>
    </xf>
    <xf numFmtId="0" fontId="6" fillId="2" borderId="0" xfId="0" applyFont="1" applyFill="1" applyAlignment="1">
      <alignment vertical="center"/>
    </xf>
    <xf numFmtId="0" fontId="14" fillId="6" borderId="0" xfId="0" applyFont="1" applyFill="1" applyAlignment="1">
      <alignment vertical="top"/>
    </xf>
    <xf numFmtId="0" fontId="18" fillId="6" borderId="0" xfId="0" applyFont="1" applyFill="1" applyAlignment="1">
      <alignment vertical="top"/>
    </xf>
    <xf numFmtId="0" fontId="27" fillId="0" borderId="0" xfId="0" applyFont="1" applyAlignment="1">
      <alignment vertical="top" wrapText="1"/>
    </xf>
    <xf numFmtId="0" fontId="27" fillId="0" borderId="0" xfId="0" applyFont="1" applyAlignment="1">
      <alignment vertical="top"/>
    </xf>
  </cellXfs>
  <cellStyles count="1">
    <cellStyle name="Normal" xfId="0" builtinId="0"/>
  </cellStyles>
  <dxfs count="120">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1F4E79"/>
      </font>
      <fill>
        <patternFill patternType="solid">
          <fgColor indexed="64"/>
          <bgColor rgb="FFDDEBF7"/>
        </patternFill>
      </fill>
    </dxf>
    <dxf>
      <font>
        <b/>
        <i val="0"/>
        <color rgb="FF9C5700"/>
      </font>
      <fill>
        <patternFill patternType="solid">
          <fgColor indexed="64"/>
          <bgColor rgb="FFFFF2CC"/>
        </patternFill>
      </fill>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color rgb="FF5B3F8C"/>
      </font>
      <fill>
        <patternFill patternType="solid">
          <fgColor indexed="64"/>
          <bgColor rgb="FFEDE7F6"/>
        </patternFill>
      </fill>
    </dxf>
    <dxf>
      <font>
        <b/>
        <i val="0"/>
        <color rgb="FF1F4E79"/>
      </font>
      <fill>
        <patternFill patternType="solid">
          <fgColor indexed="64"/>
          <bgColor rgb="FFDDEBF7"/>
        </patternFill>
      </fill>
    </dxf>
    <dxf>
      <font>
        <b/>
        <i val="0"/>
        <color rgb="FF9C5700"/>
      </font>
      <fill>
        <patternFill patternType="solid">
          <fgColor indexed="64"/>
          <bgColor rgb="FFFFF2CC"/>
        </patternFill>
      </fill>
    </dxf>
    <dxf>
      <font>
        <b/>
        <i val="0"/>
        <color rgb="FF1F4E5F"/>
      </font>
    </dxf>
    <dxf>
      <font>
        <b/>
        <i val="0"/>
        <color rgb="FF9C0006"/>
      </font>
    </dxf>
    <dxf>
      <font>
        <b/>
        <i val="0"/>
        <color rgb="FF375623"/>
      </font>
    </dxf>
    <dxf>
      <font>
        <b/>
        <i val="0"/>
        <color rgb="FF9C0006"/>
      </font>
      <fill>
        <patternFill patternType="solid">
          <fgColor indexed="64"/>
          <bgColor rgb="FFF8D7DA"/>
        </patternFill>
      </fill>
    </dxf>
    <dxf>
      <font>
        <b/>
        <i val="0"/>
        <color rgb="FF375623"/>
      </font>
      <fill>
        <patternFill patternType="solid">
          <fgColor indexed="64"/>
          <bgColor rgb="FFE2F0D9"/>
        </patternFill>
      </fill>
    </dxf>
    <dxf>
      <font>
        <b/>
        <i val="0"/>
        <color rgb="FF375623"/>
      </font>
      <fill>
        <patternFill patternType="solid">
          <fgColor indexed="64"/>
          <bgColor rgb="FFE2F0D9"/>
        </patternFill>
      </fill>
    </dxf>
    <dxf>
      <font>
        <b/>
        <i val="0"/>
        <color rgb="FF9C0006"/>
      </font>
      <fill>
        <patternFill patternType="solid">
          <fgColor indexed="64"/>
          <bgColor rgb="FFF8D7DA"/>
        </patternFill>
      </fill>
    </dxf>
    <dxf>
      <font>
        <b/>
        <i val="0"/>
        <color rgb="FF9C0006"/>
      </font>
      <fill>
        <patternFill patternType="solid">
          <fgColor indexed="64"/>
          <bgColor rgb="FFF8D7DA"/>
        </patternFill>
      </fill>
    </dxf>
    <dxf>
      <font>
        <b/>
        <i val="0"/>
        <color rgb="FF833C0B"/>
      </font>
      <fill>
        <patternFill patternType="solid">
          <fgColor indexed="64"/>
          <bgColor rgb="FFFCE4D6"/>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rgb="FF2F5597"/>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9C57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rgb="FF8A969D"/>
        <name val="Calibri"/>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rgb="FF8A969D"/>
        <name val="Calibri"/>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4" formatCode="0.0000;\-0.0000;&quot;—&quot;"/>
      <alignment horizontal="general" vertical="top" textRotation="0" wrapText="1" indent="0" justifyLastLine="0" shrinkToFit="0" readingOrder="0"/>
    </dxf>
    <dxf>
      <font>
        <b/>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
      <font>
        <b/>
        <i val="0"/>
        <strike val="0"/>
        <condense val="0"/>
        <extend val="0"/>
        <outline val="0"/>
        <shadow val="0"/>
        <u val="none"/>
        <vertAlign val="baseline"/>
        <sz val="9"/>
        <color rgb="FF8A969D"/>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5" formatCode="0.00E+00"/>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5" formatCode="0.00E+00"/>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9"/>
        <color rgb="FF8A969D"/>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2F5597"/>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rgb="FF0000FF"/>
        <name val="Calibri"/>
        <scheme val="none"/>
      </font>
      <numFmt numFmtId="165" formatCode="#,##0;\-#,##0;&quot;—&quot;"/>
      <fill>
        <patternFill patternType="solid">
          <fgColor indexed="64"/>
          <bgColor rgb="FFFFF2CC"/>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6" formatCode="#,##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5" formatCode="#,##0;\-#,##0;&quot;—&quo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64" formatCode="0.0000;\-0.0000;&quot;—&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8A969D"/>
        <name val="Calibri"/>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indexed="64"/>
          <bgColor rgb="FF1F4E5F"/>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E91E20-DF3B-481D-831D-3A99C782AB84}" name="PartsList" displayName="PartsList" ref="A3:AG185" totalsRowShown="0" headerRowDxfId="119">
  <autoFilter ref="A3:AG185" xr:uid="{64E91E20-DF3B-481D-831D-3A99C782AB84}"/>
  <tableColumns count="33">
    <tableColumn id="1" xr3:uid="{1D794BD1-8A41-4AA9-99E8-B91A6DBA07BA}" name="Block" dataDxfId="118"/>
    <tableColumn id="2" xr3:uid="{F05AD10B-3D28-401D-8B67-4CD98445BEA5}" name="Designators" dataDxfId="117"/>
    <tableColumn id="3" xr3:uid="{347E55EC-152B-4615-B55D-D99DE5A91497}" name="Qty per board" dataDxfId="116"/>
    <tableColumn id="4" xr3:uid="{1D7878B6-7834-4D8F-AD69-E4B1FE1DBEF0}" name="Description" dataDxfId="115"/>
    <tableColumn id="5" xr3:uid="{AD45CCEA-459B-4037-A4E0-DB767FE90570}" name="Value" dataDxfId="114"/>
    <tableColumn id="6" xr3:uid="{41FBB605-6149-42B6-BB81-C64125D25F75}" name="Package" dataDxfId="113"/>
    <tableColumn id="7" xr3:uid="{68832330-5359-4BE3-90FC-A7F863016ED1}" name="Rating / tolerance" dataDxfId="112"/>
    <tableColumn id="8" xr3:uid="{0C16A6D5-8BD5-4B04-85D8-A8FA9547C23F}" name="Part number (MPN)" dataDxfId="111"/>
    <tableColumn id="9" xr3:uid="{C4FA202E-3CA1-4374-AF05-64536743990E}" name="LCSC no." dataDxfId="110"/>
    <tableColumn id="10" xr3:uid="{6FF81F44-7E35-4C14-9EEF-470BFDC5ADCC}" name="JLCPCB class" dataDxfId="109"/>
    <tableColumn id="11" xr3:uid="{D210EB65-FA49-48F9-8287-F7F410B97649}" name="Source" dataDxfId="108"/>
    <tableColumn id="12" xr3:uid="{C8DA7E70-A835-4103-B24F-8F844F135A70}" name="Stock and sourcing" dataDxfId="107"/>
    <tableColumn id="13" xr3:uid="{5B67E91B-42B3-403B-8971-0EBFFD423769}" name="Fit (Yes = JLCPCB, Owner = owner-fitted)" dataDxfId="106"/>
    <tableColumn id="14" xr3:uid="{DCA728C9-35C2-496D-BF1A-1605C7BD5F88}" name="Leadless (X-ray)" dataDxfId="105"/>
    <tableColumn id="15" xr3:uid="{3B47C0A1-C0CD-4B56-AAE7-1C6BE1AEEB5E}" name="SMT joints per part" dataDxfId="104"/>
    <tableColumn id="16" xr3:uid="{54751180-138E-4B18-B78B-BA6B24622121}" name="Through-hole joints per part" dataDxfId="103"/>
    <tableColumn id="17" xr3:uid="{6CCB47BB-8647-4F74-814B-A3A50ECF544B}" name="Unit price US$" dataDxfId="102"/>
    <tableColumn id="18" xr3:uid="{D9AF3646-BFB7-4194-913F-7A9CAD8C734C}" name="Qty for 5 boards" dataDxfId="101">
      <calculatedColumnFormula>IF(OR($M4="Yes",$M4="Owner"),$C4*Cost!$B$6,0)</calculatedColumnFormula>
    </tableColumn>
    <tableColumn id="19" xr3:uid="{9D4E7263-7ABF-4F99-9C3E-707EA8D8B75B}" name="Line cost US$, 5 boards (exact)" dataDxfId="100">
      <calculatedColumnFormula>$R4*$Q4</calculatedColumnFormula>
    </tableColumn>
    <tableColumn id="20" xr3:uid="{D2C52670-EEC6-4DDC-9EEF-373972218895}" name="Attrition rule" dataDxfId="99"/>
    <tableColumn id="21" xr3:uid="{C88A7D09-1FE6-4204-9491-CE4F731CAEC8}" name="LCSC order quantity (input)" dataDxfId="98"/>
    <tableColumn id="22" xr3:uid="{42A1AFE5-6868-455D-B7D6-10979ECC1CA7}" name="Qty to buy (5 boards + attrition)" dataDxfId="97">
      <calculatedColumnFormula>IF($M4="Owner",$R4,IF($M4&lt;&gt;"Yes",0,MAX(IF(LEFT($T4,7)="Passive",$R4+MAX(Cost!$B$8,ROUNDUP(Cost!$B$7*$R4,0)),$R4+Cost!$B$9),N($U4))))</calculatedColumnFormula>
    </tableColumn>
    <tableColumn id="23" xr3:uid="{9B84C415-BE5F-4022-839E-63DE0E96F849}" name="Line cost US$ (qty to buy)" dataDxfId="96">
      <calculatedColumnFormula>$V4*$Q4</calculatedColumnFormula>
    </tableColumn>
    <tableColumn id="24" xr3:uid="{C5ECFF47-67D9-4CBF-AE17-0C9AF97F7761}" name="Datasheet" dataDxfId="95"/>
    <tableColumn id="25" xr3:uid="{6975E66B-8E62-4FFF-81D7-42644432D2A8}" name="Notes" dataDxfId="94"/>
    <tableColumn id="26" xr3:uid="{51B50E3A-E1A5-404A-B0E7-6D6C9AB0E643}" name="Designator list (helper)" dataDxfId="93"/>
    <tableColumn id="27" xr3:uid="{4B0E7A17-472A-4469-95D1-16F215DB8A6B}" name="Designators on line (helper)" dataDxfId="92">
      <calculatedColumnFormula>IF($Z4="",0,LEN($Z4)-LEN(SUBSTITUTE($Z4,",",""))-1)</calculatedColumnFormula>
    </tableColumn>
    <tableColumn id="28" xr3:uid="{1A731446-ABD8-4D93-8215-81E7B120DBFF}" name="New MPN (helper)" dataDxfId="91">
      <calculatedColumnFormula>IF(OR($M4="Yes",$M4="Owner"),IF(COUNTIFS($H$4:$H4,$H4,$M$4:$M4,"Yes")+COUNTIFS($H$4:$H4,$H4,$M$4:$M4,"Owner")=1,1,0),0)</calculatedColumnFormula>
    </tableColumn>
    <tableColumn id="29" xr3:uid="{0AFEA491-8A13-4BD5-9ACE-D163AF20E0FB}" name="Value-code family (helper)" dataDxfId="90"/>
    <tableColumn id="30" xr3:uid="{ECA86937-ACC5-4637-9857-01004F570318}" name="Value code (helper)" dataDxfId="89"/>
    <tableColumn id="31" xr3:uid="{C15BF276-38F6-4EF3-94ED-20401000FAFF}" name="Value from part number, Ω or F (helper)" dataDxfId="88"/>
    <tableColumn id="32" xr3:uid="{8DD955C4-4AEA-42DE-B5AB-953EFAB5A1DA}" name="Value as entered, Ω or F (helper)" dataDxfId="87"/>
    <tableColumn id="33" xr3:uid="{65F1427E-7A46-482E-9865-3638BFCFA024}" name="Value check (helper)" dataDxfId="8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947D2F-934B-4671-A5D3-A0CA4B7FA9F1}" name="JLCPCBOrder" displayName="JLCPCBOrder" ref="A3:V114" totalsRowShown="0" headerRowDxfId="85">
  <autoFilter ref="A3:V114" xr:uid="{1D947D2F-934B-4671-A5D3-A0CA4B7FA9F1}"/>
  <tableColumns count="22">
    <tableColumn id="1" xr3:uid="{820538CF-8052-4E82-A302-81CA0E028DEC}" name="Item" dataDxfId="84"/>
    <tableColumn id="2" xr3:uid="{F0CE9378-294F-4E3F-B01B-A2D6C9134B48}" name="Part type" dataDxfId="83"/>
    <tableColumn id="3" xr3:uid="{A8089006-8545-4157-9C89-29195E296D16}" name="Part number (MPN)" dataDxfId="82"/>
    <tableColumn id="4" xr3:uid="{36CB9130-B873-4E21-BA90-7F2BD524371B}" name="Value" dataDxfId="81"/>
    <tableColumn id="5" xr3:uid="{861AE20F-C08E-4FA7-AC7F-1A7D3A3034DC}" name="Package" dataDxfId="80"/>
    <tableColumn id="6" xr3:uid="{21013F95-E8A7-45F9-82CB-F586F766D0CC}" name="LCSC no." dataDxfId="79"/>
    <tableColumn id="7" xr3:uid="{F947AC6F-0124-46E4-A90A-F0651F036EC3}" name="JLCPCB class" dataDxfId="78"/>
    <tableColumn id="8" xr3:uid="{E7C01520-87C6-4EEC-B843-09EBF7BE4D86}" name="Source" dataDxfId="77"/>
    <tableColumn id="9" xr3:uid="{3AAC6C66-6837-4978-9D49-4D864B6CCDBD}" name="Designators" dataDxfId="76"/>
    <tableColumn id="10" xr3:uid="{D7B92C92-A3D6-4A0E-8031-FC115EAAEDAD}" name="Qty per board" dataDxfId="75">
      <calculatedColumnFormula>SUMIFS('Parts list'!$C$4:$C$185,'Parts list'!$H$4:$H$185,$C4,'Parts list'!$M$4:$M$185,"Yes")</calculatedColumnFormula>
    </tableColumn>
    <tableColumn id="11" xr3:uid="{EDA480CD-F2B1-4DFB-BAE3-025B28F54DEB}" name="Qty for 5 boards" dataDxfId="74">
      <calculatedColumnFormula>SUMIFS('Parts list'!$R$4:$R$185,'Parts list'!$H$4:$H$185,$C4,'Parts list'!$M$4:$M$185,"Yes")</calculatedColumnFormula>
    </tableColumn>
    <tableColumn id="12" xr3:uid="{D770F888-FDCE-4924-9384-8BAA1326025D}" name="Qty to order (5 boards + attrition)" dataDxfId="73">
      <calculatedColumnFormula>SUMIFS('Parts list'!$V$4:$V$185,'Parts list'!$H$4:$H$185,$C4,'Parts list'!$M$4:$M$185,"Yes")</calculatedColumnFormula>
    </tableColumn>
    <tableColumn id="13" xr3:uid="{E5F3711B-45A7-45DA-859F-BC1B7E1EF6EC}" name="Attrition" dataDxfId="72">
      <calculatedColumnFormula>$L4-$K4</calculatedColumnFormula>
    </tableColumn>
    <tableColumn id="14" xr3:uid="{C069BDEF-39A9-44C8-8B8E-D36C02283478}" name="Order rule" dataDxfId="71"/>
    <tableColumn id="15" xr3:uid="{0D467720-B2E0-4113-A218-A967FA56602B}" name="LCSC minimum (input)" dataDxfId="70"/>
    <tableColumn id="16" xr3:uid="{4570AC23-A43B-49E0-A344-E96BFDE76E5D}" name="LCSC multiple (input)" dataDxfId="69"/>
    <tableColumn id="17" xr3:uid="{F954B738-A880-4343-BBC2-B6CFBA0E1CF4}" name="Order-rule check" dataDxfId="68">
      <calculatedColumnFormula>IF(N($O4)=0,"per piece",IF(AND($L4&gt;=$O4,MOD($L4,MAX(1,N($P4)))=0),"OK","CHECK"))</calculatedColumnFormula>
    </tableColumn>
    <tableColumn id="18" xr3:uid="{52D75671-3961-404B-B02A-063DC7C5524A}" name="Unit price US$" dataDxfId="67">
      <calculatedColumnFormula>IF($L4=0,0,$S4/$L4)</calculatedColumnFormula>
    </tableColumn>
    <tableColumn id="19" xr3:uid="{00EA3564-EDAF-41FD-BDA2-B01ECE8DBD72}" name="Line cost US$" dataDxfId="66">
      <calculatedColumnFormula>SUMIFS('Parts list'!$W$4:$W$185,'Parts list'!$H$4:$H$185,$C4,'Parts list'!$M$4:$M$185,"Yes")</calculatedColumnFormula>
    </tableColumn>
    <tableColumn id="20" xr3:uid="{F88F258F-6406-4123-B193-7BB3C2B407A3}" name="Buy now" dataDxfId="65"/>
    <tableColumn id="21" xr3:uid="{6AE50E57-3E5B-4865-BC10-190F41F95DD6}" name="Reason / sourcing" dataDxfId="64"/>
    <tableColumn id="22" xr3:uid="{D2F6D064-3BF1-4E90-8C59-A177AC4D26F6}" name="Notes" dataDxfId="6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5BFEF9-BBE0-4565-BC45-834E23541750}" name="ChangesVsV08" displayName="ChangesVsV08" ref="A3:G27" totalsRowShown="0" headerRowDxfId="62" dataDxfId="61">
  <autoFilter ref="A3:G27" xr:uid="{AF5BFEF9-BBE0-4565-BC45-834E23541750}"/>
  <tableColumns count="7">
    <tableColumn id="1" xr3:uid="{92D99A84-E41C-4D6A-A4C0-A1204DC30E30}" name="Change" dataDxfId="60"/>
    <tableColumn id="2" xr3:uid="{D37F75EC-9F9B-4E17-B298-FABE15D2BC08}" name="Designators" dataDxfId="59"/>
    <tableColumn id="3" xr3:uid="{A2958053-6D61-4271-9FE3-FC377F7CA942}" name="Qty per board" dataDxfId="58"/>
    <tableColumn id="4" xr3:uid="{8C6C297F-D55B-4813-90B0-C93CD8671C6A}" name="Part in v0.8" dataDxfId="57"/>
    <tableColumn id="5" xr3:uid="{7D765ECA-FFAB-4C4C-BA30-ACB6BABF5BB3}" name="Part in v0.9" dataDxfId="56"/>
    <tableColumn id="6" xr3:uid="{2E03105F-D9FD-45C0-858A-7DB54FA4E80D}" name="Reason" dataDxfId="55"/>
    <tableColumn id="7" xr3:uid="{DC685ACA-6CBC-444E-913C-F8D48DD4C085}" name="Counts as designators" dataDxfId="5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46F88B-0F85-4E66-9CCA-A1BC8F9FD453}" name="NetlistPins" displayName="NetlistPins" ref="A3:G1448" totalsRowShown="0" headerRowDxfId="53">
  <autoFilter ref="A3:G1448" xr:uid="{9C46F88B-0F85-4E66-9CCA-A1BC8F9FD453}"/>
  <tableColumns count="7">
    <tableColumn id="1" xr3:uid="{4E7EC266-0DF4-4860-B2B2-125A9A17296C}" name="Designator" dataDxfId="52"/>
    <tableColumn id="2" xr3:uid="{93B8BBD9-77BC-4FD6-9C7D-BE17CAE834DD}" name="Pin" dataDxfId="51"/>
    <tableColumn id="3" xr3:uid="{BB569F8C-5A1D-49BD-AFA7-7C8FD6A83BE2}" name="Pin name" dataDxfId="50"/>
    <tableColumn id="4" xr3:uid="{FD380E87-3B30-4805-8915-C7CBF69FCFC6}" name="Net" dataDxfId="49"/>
    <tableColumn id="5" xr3:uid="{A1D00803-D8C7-4F7B-B111-6B57F43168A2}" name="Note" dataDxfId="48"/>
    <tableColumn id="6" xr3:uid="{8117F003-B25D-4055-BA0B-D5A05AAE627D}" name="First pin of designator (helper)" dataDxfId="47">
      <calculatedColumnFormula>IF(COUNTIF($A$4:$A4,$A4)=1,1,0)</calculatedColumnFormula>
    </tableColumn>
    <tableColumn id="7" xr3:uid="{E9157DFE-C594-4329-9A89-C6228B78F416}" name="Designator in Parts list (helper)" dataDxfId="46">
      <calculatedColumnFormula array="1">IF($F4=1,IF(SUMPRODUCT(--ISNUMBER(SEARCH(","&amp;$A4&amp;",",'Parts list'!$Z$4:$Z$185)))&gt;0,1,0),0)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873A5B-1E11-41E1-A450-97A057297060}" name="NetsSummary" displayName="NetsSummary" ref="A3:E250" totalsRowShown="0" headerRowDxfId="45">
  <autoFilter ref="A3:E250" xr:uid="{BD873A5B-1E11-41E1-A450-97A057297060}"/>
  <tableColumns count="5">
    <tableColumn id="1" xr3:uid="{B26BE9DE-9ACD-47E4-A9A0-4E851CE27982}" name="Net" dataDxfId="44"/>
    <tableColumn id="2" xr3:uid="{6D19BE8E-00B8-4045-98D1-A161FCE8176C}" name="Pins in the Netlist sheet" dataDxfId="43">
      <calculatedColumnFormula>COUNTIF(Netlist!$D$4:$D$1448,$A4)</calculatedColumnFormula>
    </tableColumn>
    <tableColumn id="3" xr3:uid="{5F5AD88B-158D-45EA-A036-0230A1E7D26F}" name="Pin count (design check)" dataDxfId="42"/>
    <tableColumn id="4" xr3:uid="{ABA838A5-F235-41E5-BC7F-DD6AC7888644}" name="Class" dataDxfId="41"/>
    <tableColumn id="5" xr3:uid="{1C744A76-7B23-4A74-A415-1B86A18ED33D}" name="Members (designator.pin)" dataDxfId="4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BAEE0C-06F2-4FA5-A448-9C45C3C16CD3}" name="StressCheck" displayName="StressCheck" ref="A3:K184" totalsRowShown="0" headerRowDxfId="39">
  <autoFilter ref="A3:K184" xr:uid="{17BAEE0C-06F2-4FA5-A448-9C45C3C16CD3}"/>
  <tableColumns count="11">
    <tableColumn id="1" xr3:uid="{92A309F6-A228-4AC0-A2B1-CB4BFD5FDE6B}" name="Designators" dataDxfId="38"/>
    <tableColumn id="2" xr3:uid="{E57215E9-1C99-4A38-B70B-AAEBAE3227AA}" name="Part (MPN)" dataDxfId="37"/>
    <tableColumn id="3" xr3:uid="{EC84F795-40DB-44C3-9880-011238FC4F8C}" name="Package" dataDxfId="36"/>
    <tableColumn id="4" xr3:uid="{B17F4899-D9AA-42D1-8E95-F3E715069E69}" name="Parameter" dataDxfId="35"/>
    <tableColumn id="5" xr3:uid="{B4C09663-C8A1-4498-B585-9EA2E579F50A}" name="Rating (limit)" dataDxfId="34"/>
    <tableColumn id="6" xr3:uid="{C3DACC00-B6FF-488B-824B-212CE55D4E8D}" name="Worst operating value" dataDxfId="33"/>
    <tableColumn id="7" xr3:uid="{5DCE6C1A-439A-4B07-B070-1E309AA54CD8}" name="Margin" dataDxfId="32"/>
    <tableColumn id="8" xr3:uid="{1E303472-A0FC-4CCC-A5A0-F6F2A7CA72B0}" name="Verdict" dataDxfId="31"/>
    <tableColumn id="9" xr3:uid="{BEBDED0F-EA7D-4E18-B7FD-E356B832B0BA}" name="Note" dataDxfId="30"/>
    <tableColumn id="10" xr3:uid="{D0B0E49E-B047-4B76-B254-58AB104645AF}" name="Designators not in the Parts list" dataDxfId="29"/>
    <tableColumn id="11" xr3:uid="{A223D51E-BBBE-4AA9-9960-A7883C2498BF}" name="Source" dataDxfId="2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CACF123-D27A-4EE8-9C70-60150284B170}" name="EvidenceRegister" displayName="EvidenceRegister" ref="A3:H123" totalsRowShown="0" headerRowDxfId="27" dataDxfId="26">
  <autoFilter ref="A3:H123" xr:uid="{7CACF123-D27A-4EE8-9C70-60150284B170}"/>
  <tableColumns count="8">
    <tableColumn id="1" xr3:uid="{70FABAC0-8D29-4D32-ADA6-25000D8229E9}" name="ID" dataDxfId="25"/>
    <tableColumn id="2" xr3:uid="{8828A604-FB53-40D1-A344-814D624E76E8}" name="Requirement or limit" dataDxfId="24"/>
    <tableColumn id="3" xr3:uid="{6AE64BB5-6D4B-4B09-87FE-B749D1FE11F7}" name="Value" dataDxfId="23"/>
    <tableColumn id="4" xr3:uid="{5AF93D15-BBFE-4B84-8FFE-4FBE932A4129}" name="Class" dataDxfId="22"/>
    <tableColumn id="5" xr3:uid="{76E608BA-F7D1-47E3-9F56-9150A64D8DE4}" name="Evidence" dataDxfId="21"/>
    <tableColumn id="6" xr3:uid="{D7D4A382-02E7-41BE-996B-77D2D2AAE330}" name="Qualification test" dataDxfId="20"/>
    <tableColumn id="7" xr3:uid="{397CC03A-2DE1-4F77-A35D-2C10BB5407E0}" name="Assumptions (capping input)" dataDxfId="19"/>
    <tableColumn id="8" xr3:uid="{314453F6-D416-4881-881B-606936B5996A}" name="Status" dataDxf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
  <sheetViews>
    <sheetView workbookViewId="0">
      <pane ySplit="2" topLeftCell="A3" activePane="bottomLeft" state="frozen"/>
      <selection pane="bottomLeft" activeCell="C8" sqref="C8:D8"/>
    </sheetView>
  </sheetViews>
  <sheetFormatPr baseColWidth="10" defaultColWidth="8.83203125" defaultRowHeight="15" x14ac:dyDescent="0.2"/>
  <cols>
    <col min="1" max="1" width="42.6640625" customWidth="1"/>
    <col min="2" max="3" width="16.6640625" customWidth="1"/>
    <col min="4" max="4" width="96.6640625" customWidth="1"/>
  </cols>
  <sheetData>
    <row r="1" spans="1:4" ht="26.25" customHeight="1" x14ac:dyDescent="0.2">
      <c r="A1" s="153" t="s">
        <v>0</v>
      </c>
      <c r="B1" s="154"/>
      <c r="C1" s="154"/>
      <c r="D1" s="154"/>
    </row>
    <row r="2" spans="1:4" ht="30" customHeight="1" x14ac:dyDescent="0.2">
      <c r="A2" s="155" t="s">
        <v>1</v>
      </c>
      <c r="B2" s="154"/>
      <c r="C2" s="154"/>
      <c r="D2" s="154"/>
    </row>
    <row r="3" spans="1:4" x14ac:dyDescent="0.2">
      <c r="A3" s="90"/>
      <c r="B3" s="90"/>
      <c r="C3" s="90"/>
      <c r="D3" s="90"/>
    </row>
    <row r="4" spans="1:4" ht="15" customHeight="1" x14ac:dyDescent="0.2">
      <c r="A4" s="149" t="s">
        <v>2</v>
      </c>
      <c r="B4" s="149"/>
      <c r="C4" s="149"/>
      <c r="D4" s="149"/>
    </row>
    <row r="5" spans="1:4" x14ac:dyDescent="0.2">
      <c r="A5" s="142" t="s">
        <v>3</v>
      </c>
      <c r="B5" s="142" t="s">
        <v>4</v>
      </c>
      <c r="C5" s="148" t="s">
        <v>5</v>
      </c>
      <c r="D5" s="148"/>
    </row>
    <row r="6" spans="1:4" ht="27.75" customHeight="1" x14ac:dyDescent="0.2">
      <c r="A6" s="90" t="s">
        <v>6</v>
      </c>
      <c r="B6" s="143" t="s">
        <v>7</v>
      </c>
      <c r="C6" s="147" t="s">
        <v>8</v>
      </c>
      <c r="D6" s="147"/>
    </row>
    <row r="7" spans="1:4" ht="15" customHeight="1" x14ac:dyDescent="0.2">
      <c r="A7" s="90" t="s">
        <v>9</v>
      </c>
      <c r="B7" s="143" t="s">
        <v>10</v>
      </c>
      <c r="C7" s="147" t="s">
        <v>11</v>
      </c>
      <c r="D7" s="147"/>
    </row>
    <row r="8" spans="1:4" ht="27.75" customHeight="1" x14ac:dyDescent="0.2">
      <c r="A8" s="90" t="s">
        <v>12</v>
      </c>
      <c r="B8" s="143" t="s">
        <v>13</v>
      </c>
      <c r="C8" s="147" t="s">
        <v>14</v>
      </c>
      <c r="D8" s="147"/>
    </row>
    <row r="9" spans="1:4" ht="15" customHeight="1" x14ac:dyDescent="0.2">
      <c r="A9" s="90" t="s">
        <v>15</v>
      </c>
      <c r="B9" s="143" t="s">
        <v>13</v>
      </c>
      <c r="C9" s="147" t="s">
        <v>16</v>
      </c>
      <c r="D9" s="147"/>
    </row>
    <row r="10" spans="1:4" ht="27.75" customHeight="1" x14ac:dyDescent="0.2">
      <c r="A10" s="90" t="s">
        <v>17</v>
      </c>
      <c r="B10" s="143" t="s">
        <v>13</v>
      </c>
      <c r="C10" s="147" t="s">
        <v>18</v>
      </c>
      <c r="D10" s="147"/>
    </row>
    <row r="11" spans="1:4" x14ac:dyDescent="0.2">
      <c r="A11" s="90"/>
      <c r="B11" s="90"/>
      <c r="C11" s="90"/>
      <c r="D11" s="90"/>
    </row>
    <row r="12" spans="1:4" x14ac:dyDescent="0.2">
      <c r="A12" s="149" t="s">
        <v>19</v>
      </c>
      <c r="B12" s="149"/>
      <c r="C12" s="149"/>
      <c r="D12" s="149"/>
    </row>
    <row r="13" spans="1:4" x14ac:dyDescent="0.2">
      <c r="A13" s="142" t="s">
        <v>20</v>
      </c>
      <c r="B13" s="142" t="s">
        <v>21</v>
      </c>
      <c r="C13" s="148" t="s">
        <v>22</v>
      </c>
      <c r="D13" s="148"/>
    </row>
    <row r="14" spans="1:4" ht="15" customHeight="1" x14ac:dyDescent="0.2">
      <c r="A14" s="90" t="s">
        <v>23</v>
      </c>
      <c r="B14" s="118">
        <f>Checks!C11</f>
        <v>179</v>
      </c>
      <c r="C14" s="151" t="str">
        <f>"incl. "&amp;COUNTIF('Parts list'!$M$4:$M$185,"Pads")&amp;" copper-pad lines and "&amp;COUNTIF('Parts list'!$M$4:$M$185,"No")&amp;" DNF lines; plus 3 layout lines (test pads, mounting holes/fiducials, bare PCB)"</f>
        <v>incl. 3 copper-pad lines and 8 DNF lines; plus 3 layout lines (test pads, mounting holes/fiducials, bare PCB)</v>
      </c>
      <c r="D14" s="151"/>
    </row>
    <row r="15" spans="1:4" ht="15" customHeight="1" x14ac:dyDescent="0.2">
      <c r="A15" s="90" t="s">
        <v>24</v>
      </c>
      <c r="B15" s="118">
        <f>Cost!B26</f>
        <v>168</v>
      </c>
      <c r="C15" s="151" t="str">
        <f>"placed by JLCPCB "&amp;TEXT(Cost!B26-Cost!B27,"0")&amp;"; owner-fitted "&amp;TEXT(Cost!B27,"0")&amp;" (K601–K604, J701, D102, R509)"</f>
        <v>placed by JLCPCB 164; owner-fitted 4 (K601–K604, J701, D102, R509)</v>
      </c>
      <c r="D15" s="151"/>
    </row>
    <row r="16" spans="1:4" ht="15" customHeight="1" x14ac:dyDescent="0.2">
      <c r="A16" s="90" t="s">
        <v>25</v>
      </c>
      <c r="B16" s="118">
        <f>Cost!B28</f>
        <v>462</v>
      </c>
      <c r="C16" s="151" t="str">
        <f>"placed by JLCPCB "&amp;TEXT(Cost!B29,"0")&amp;"; owner-fitted "&amp;TEXT(Cost!B28-Cost!B29,"0")</f>
        <v>placed by JLCPCB 455; owner-fitted 7</v>
      </c>
      <c r="D16" s="151"/>
    </row>
    <row r="17" spans="1:4" ht="15" customHeight="1" x14ac:dyDescent="0.2">
      <c r="A17" s="90" t="s">
        <v>26</v>
      </c>
      <c r="B17" s="118">
        <f>'Parts list'!$AB$187</f>
        <v>115</v>
      </c>
      <c r="C17" s="151" t="str">
        <f>"JLCPCB-placed part types "&amp;TEXT(Cost!B32,"0")&amp;" (Basic "&amp;TEXT(Cost!B33,"0")&amp;", Extended or to confirm "&amp;TEXT(Cost!B34,"0")&amp;")"</f>
        <v>JLCPCB-placed part types 111 (Basic 34, Extended or to confirm 77)</v>
      </c>
      <c r="D17" s="151"/>
    </row>
    <row r="18" spans="1:4" ht="15" customHeight="1" x14ac:dyDescent="0.2">
      <c r="A18" s="90" t="s">
        <v>27</v>
      </c>
      <c r="B18" s="118">
        <f>'Parts list'!$O$187</f>
        <v>1339</v>
      </c>
      <c r="C18" s="151" t="str">
        <f>"through-hole "&amp;TEXT('Parts list'!$P$187,"0")&amp;" (J101 shell stakes 4, J701 12 owner-fitted, J702 slot terminals 2); leadless (X-ray) parts "&amp;TEXT(Cost!B35,"0")</f>
        <v>through-hole 18 (J101 shell stakes 4, J701 12 owner-fitted, J702 slot terminals 2); leadless (X-ray) parts 10</v>
      </c>
      <c r="D18" s="151"/>
    </row>
    <row r="19" spans="1:4" ht="15" customHeight="1" x14ac:dyDescent="0.2">
      <c r="A19" s="90" t="s">
        <v>28</v>
      </c>
      <c r="B19" s="118">
        <f>Checks!C27</f>
        <v>1445</v>
      </c>
      <c r="C19" s="151" t="str">
        <f>"component pins "&amp;TEXT(Checks!C28,"#,##0")&amp;" + 52 test pads; nets "&amp;TEXT(Checks!C32,"0")&amp;"; design check 0 issues"</f>
        <v>component pins 1,393 + 52 test pads; nets 247; design check 0 issues</v>
      </c>
      <c r="D19" s="151"/>
    </row>
    <row r="20" spans="1:4" ht="15" customHeight="1" x14ac:dyDescent="0.2">
      <c r="A20" s="90" t="s">
        <v>29</v>
      </c>
      <c r="B20" s="118">
        <f>'Parts list'!$AC$187</f>
        <v>118</v>
      </c>
      <c r="C20" s="151" t="str">
        <f>"mismatches with the Value column: "&amp;TEXT('Parts list'!$AG$187,"0")&amp;"; parts cross-check: "&amp;TEXT(Checks!C7,"0")&amp;" lines, "&amp;TEXT(Checks!C8,"0")&amp;" mismatches"</f>
        <v>mismatches with the Value column: 0; parts cross-check: 80 lines, 0 mismatches</v>
      </c>
      <c r="D20" s="151"/>
    </row>
    <row r="21" spans="1:4" ht="15" customHeight="1" x14ac:dyDescent="0.2">
      <c r="A21" s="90" t="s">
        <v>30</v>
      </c>
      <c r="B21" s="118">
        <f>'Stress check'!B192</f>
        <v>181</v>
      </c>
      <c r="C21" s="151" t="str">
        <f>"OK "&amp;'Stress check'!B187&amp;", THIN "&amp;'Stress check'!B188&amp;", AVAIL "&amp;'Stress check'!B189&amp;", DATA-GAP "&amp;'Stress check'!B190&amp;", FAIL "&amp;'Stress check'!B191</f>
        <v>OK 146, THIN 17, AVAIL 14, DATA-GAP 4, FAIL 0</v>
      </c>
      <c r="D21" s="151"/>
    </row>
    <row r="22" spans="1:4" ht="27" customHeight="1" x14ac:dyDescent="0.2">
      <c r="A22" s="90" t="s">
        <v>31</v>
      </c>
      <c r="B22" s="118">
        <f>'Evidence register'!C130</f>
        <v>120</v>
      </c>
      <c r="C22" s="151" t="str">
        <f>"G "&amp;'Evidence register'!C126&amp;", E "&amp;'Evidence register'!C127&amp;", Q "&amp;'Evidence register'!C128&amp;" (open; none has passed, no board exists), retired or process rows "&amp;'Evidence register'!C129</f>
        <v>G 13, E 80, Q 22 (open; none has passed, no board exists), retired or process rows 5</v>
      </c>
      <c r="D22" s="151"/>
    </row>
    <row r="23" spans="1:4" ht="15" customHeight="1" x14ac:dyDescent="0.2">
      <c r="A23" s="90" t="s">
        <v>32</v>
      </c>
      <c r="B23" s="118">
        <f>'Changes vs v0.8'!C30</f>
        <v>65</v>
      </c>
      <c r="C23" s="151" t="str">
        <f>"removed "&amp;'Changes vs v0.8'!C31&amp;", changed "&amp;'Changes vs v0.8'!C32&amp;" ("&amp;'Changes vs v0.8'!C34&amp;" change lines)"</f>
        <v>removed 22, changed 4 (24 change lines)</v>
      </c>
      <c r="D23" s="151"/>
    </row>
    <row r="24" spans="1:4" ht="27" customHeight="1" x14ac:dyDescent="0.2">
      <c r="A24" s="90" t="s">
        <v>33</v>
      </c>
      <c r="B24" s="118">
        <f>'Purchasing list'!$T$116</f>
        <v>18</v>
      </c>
      <c r="C24" s="151" t="str">
        <f>"pre-order "&amp;COUNTIF('Purchasing list'!$T$4:$T$114,"Pre-order")&amp;"; new buy-now line TLV3402IDGKR; TLV1704 only if ≥ 31 are in LCSC stock at order time (Ordering plan, section A)"</f>
        <v>pre-order 8; new buy-now line TLV3402IDGKR; TLV1704 only if ≥ 31 are in LCSC stock at order time (Ordering plan, section A)</v>
      </c>
      <c r="D24" s="151"/>
    </row>
    <row r="25" spans="1:4" ht="15" customHeight="1" x14ac:dyDescent="0.2">
      <c r="A25" s="90" t="s">
        <v>34</v>
      </c>
      <c r="B25" s="118">
        <f>'Purchasing list'!$Q$152</f>
        <v>0</v>
      </c>
      <c r="C25" s="151" t="str">
        <f>"every owner LCSC quantity meets the LCSC minimum and multiple (Purchasing list column Q)"</f>
        <v>every owner LCSC quantity meets the LCSC minimum and multiple (Purchasing list column Q)</v>
      </c>
      <c r="D25" s="151"/>
    </row>
    <row r="26" spans="1:4" x14ac:dyDescent="0.2">
      <c r="A26" s="90"/>
      <c r="B26" s="90"/>
      <c r="C26" s="90"/>
      <c r="D26" s="90"/>
    </row>
    <row r="27" spans="1:4" x14ac:dyDescent="0.2">
      <c r="A27" s="90"/>
      <c r="B27" s="90"/>
      <c r="C27" s="90"/>
      <c r="D27" s="90"/>
    </row>
    <row r="28" spans="1:4" ht="15" customHeight="1" x14ac:dyDescent="0.2">
      <c r="A28" s="149" t="s">
        <v>35</v>
      </c>
      <c r="B28" s="149"/>
      <c r="C28" s="149"/>
      <c r="D28" s="149"/>
    </row>
    <row r="29" spans="1:4" x14ac:dyDescent="0.2">
      <c r="A29" s="142" t="s">
        <v>20</v>
      </c>
      <c r="B29" s="142" t="s">
        <v>36</v>
      </c>
      <c r="C29" s="142" t="s">
        <v>37</v>
      </c>
      <c r="D29" s="142" t="s">
        <v>22</v>
      </c>
    </row>
    <row r="30" spans="1:4" ht="27" customHeight="1" x14ac:dyDescent="0.2">
      <c r="A30" s="90" t="s">
        <v>38</v>
      </c>
      <c r="B30" s="124">
        <f>Cost!E95</f>
        <v>787.82651999999985</v>
      </c>
      <c r="C30" s="126">
        <f>Cost!F95</f>
        <v>24997.735479599996</v>
      </c>
      <c r="D30" s="88" t="str">
        <f>"parts "&amp;TEXT(Cost!E90,"0.00")&amp;", fees "&amp;TEXT(Cost!E91,"0.00")&amp;", global sourcing "&amp;TEXT(Cost!E92,"0.00")&amp;", PCB "&amp;TEXT(Cost!E93,"0.00")&amp;", shipping "&amp;TEXT(Cost!E94,"0.00")</f>
        <v>parts 397.33, fees 312.97, global sourcing 29.52, PCB 23.00, shipping 25.00</v>
      </c>
    </row>
    <row r="31" spans="1:4" ht="27" customHeight="1" x14ac:dyDescent="0.2">
      <c r="A31" s="90" t="s">
        <v>39</v>
      </c>
      <c r="B31" s="124">
        <f>Cost!E96</f>
        <v>161.6</v>
      </c>
      <c r="C31" s="126">
        <f>Cost!F96</f>
        <v>5127.5680000000002</v>
      </c>
      <c r="D31" s="88" t="str">
        <f>"DigiKey "&amp;TEXT(Cost!E82,"0.00")&amp;" + LCSC "&amp;TEXT(Cost!E86,"0.00")&amp;" (owner-fitted parts and gate samples, shipping and tax)"</f>
        <v>DigiKey 105.63 + LCSC 55.97 (owner-fitted parts and gate samples, shipping and tax)</v>
      </c>
    </row>
    <row r="32" spans="1:4" x14ac:dyDescent="0.2">
      <c r="A32" s="91" t="s">
        <v>40</v>
      </c>
      <c r="B32" s="127">
        <f>Cost!E97</f>
        <v>949.42651999999987</v>
      </c>
      <c r="C32" s="128">
        <f>Cost!F97</f>
        <v>30125.303479599996</v>
      </c>
      <c r="D32" s="93" t="str">
        <f>"at "&amp;TEXT(Cost!B5,"0.00")&amp;" NTD per US$; an estimate until the supplier orders and the JLCPCB quote exist"</f>
        <v>at 31.73 NTD per US$; an estimate until the supplier orders and the JLCPCB quote exist</v>
      </c>
    </row>
    <row r="33" spans="1:4" x14ac:dyDescent="0.2">
      <c r="A33" s="144" t="s">
        <v>41</v>
      </c>
      <c r="B33" s="129">
        <f>Cost!E98</f>
        <v>189.88530399999996</v>
      </c>
      <c r="C33" s="130">
        <f>Cost!F98</f>
        <v>6025.0606959199986</v>
      </c>
      <c r="D33" s="146" t="str">
        <f>"JLCPCB "&amp;TEXT(Cost!E99,"0.00")&amp;" + owner "&amp;TEXT(Cost!E100,"0.00")</f>
        <v>JLCPCB 157.57 + owner 32.32</v>
      </c>
    </row>
    <row r="34" spans="1:4" x14ac:dyDescent="0.2">
      <c r="A34" s="89" t="s">
        <v>42</v>
      </c>
      <c r="B34" s="131">
        <f>Cost!E101</f>
        <v>934.49651999999992</v>
      </c>
      <c r="C34" s="132">
        <f>Cost!F101</f>
        <v>29651.574579599997</v>
      </c>
      <c r="D34" s="89" t="s">
        <v>43</v>
      </c>
    </row>
    <row r="35" spans="1:4" ht="27" customHeight="1" x14ac:dyDescent="0.2">
      <c r="A35" s="90" t="s">
        <v>44</v>
      </c>
      <c r="B35" s="125">
        <f>Cost!E104</f>
        <v>93.286519999999882</v>
      </c>
      <c r="C35" s="126"/>
      <c r="D35" s="88" t="str">
        <f>"v1.0 set: US$ "&amp;TEXT(Cost!B24,"#,##0.00")&amp;"; earlier record: the v1.0 set was +"&amp;TEXT(Cost!E105,"0.00")&amp;" against the v0.9 set (US$ "&amp;TEXT(Cost!D105,"#,##0.00")&amp;")"</f>
        <v>v1.0 set: US$ 856.14; earlier record: the v1.0 set was +97.32 against the v0.9 set (US$ 758.82)</v>
      </c>
    </row>
    <row r="36" spans="1:4" ht="27" customHeight="1" x14ac:dyDescent="0.2">
      <c r="A36" s="90" t="s">
        <v>45</v>
      </c>
      <c r="B36" s="124">
        <f>Cost!E102</f>
        <v>123.44348000000002</v>
      </c>
      <c r="C36" s="126">
        <f>Cost!F102</f>
        <v>3916.8616204000009</v>
      </c>
      <c r="D36" s="88" t="str">
        <f>TEXT(Cost!E102/Cost!B21,"0.0%")&amp;" of US$ "&amp;TEXT(Cost!B21,"#,##0.00")&amp;"; "&amp;TEXT(Cost!E103,"0.00")&amp;" per board"</f>
        <v>11.5% of US$ 1,072.87; 24.69 per board</v>
      </c>
    </row>
    <row r="37" spans="1:4" ht="27" customHeight="1" x14ac:dyDescent="0.2">
      <c r="A37" s="150" t="s">
        <v>46</v>
      </c>
      <c r="B37" s="147"/>
      <c r="C37" s="147"/>
      <c r="D37" s="151"/>
    </row>
    <row r="38" spans="1:4" x14ac:dyDescent="0.2">
      <c r="A38" s="149" t="s">
        <v>47</v>
      </c>
      <c r="B38" s="149"/>
      <c r="C38" s="149"/>
      <c r="D38" s="152"/>
    </row>
    <row r="39" spans="1:4" x14ac:dyDescent="0.2">
      <c r="A39" s="90" t="s">
        <v>48</v>
      </c>
      <c r="B39" s="143" t="str">
        <f>Checks!F77</f>
        <v>2 to check</v>
      </c>
      <c r="C39" s="90"/>
      <c r="D39" s="88" t="str">
        <f>Checks!G77</f>
        <v>63 of 65 checks OK</v>
      </c>
    </row>
    <row r="40" spans="1:4" x14ac:dyDescent="0.2">
      <c r="A40" s="90" t="s">
        <v>49</v>
      </c>
      <c r="B40" s="143" t="str">
        <f>Cost!F176</f>
        <v>ALL OK</v>
      </c>
      <c r="C40" s="90"/>
      <c r="D40" s="88" t="str">
        <f>Cost!G176</f>
        <v>51 of 51 figures match the cost report</v>
      </c>
    </row>
    <row r="41" spans="1:4" ht="27" customHeight="1" x14ac:dyDescent="0.2">
      <c r="A41" s="139" t="s">
        <v>50</v>
      </c>
      <c r="B41" s="145" t="s">
        <v>51</v>
      </c>
      <c r="C41" s="139"/>
      <c r="D41" s="89" t="s">
        <v>52</v>
      </c>
    </row>
    <row r="42" spans="1:4" ht="54" customHeight="1" x14ac:dyDescent="0.2">
      <c r="A42" s="139" t="s">
        <v>53</v>
      </c>
      <c r="B42" s="145" t="s">
        <v>51</v>
      </c>
      <c r="C42" s="139"/>
      <c r="D42" s="89" t="s">
        <v>54</v>
      </c>
    </row>
    <row r="43" spans="1:4" ht="18" customHeight="1" x14ac:dyDescent="0.2">
      <c r="A43" s="149" t="s">
        <v>55</v>
      </c>
      <c r="B43" s="149"/>
      <c r="C43" s="149"/>
      <c r="D43" s="149"/>
    </row>
    <row r="44" spans="1:4" ht="41.25" customHeight="1" x14ac:dyDescent="0.2">
      <c r="A44" s="133">
        <v>1</v>
      </c>
      <c r="B44" s="147" t="s">
        <v>56</v>
      </c>
      <c r="C44" s="147"/>
      <c r="D44" s="147"/>
    </row>
    <row r="45" spans="1:4" ht="41.25" customHeight="1" x14ac:dyDescent="0.2">
      <c r="A45" s="133">
        <v>2</v>
      </c>
      <c r="B45" s="147" t="s">
        <v>57</v>
      </c>
      <c r="C45" s="147"/>
      <c r="D45" s="147"/>
    </row>
    <row r="46" spans="1:4" ht="27.75" customHeight="1" x14ac:dyDescent="0.2">
      <c r="A46" s="133">
        <v>3</v>
      </c>
      <c r="B46" s="147" t="s">
        <v>58</v>
      </c>
      <c r="C46" s="147"/>
      <c r="D46" s="147"/>
    </row>
    <row r="47" spans="1:4" ht="54" customHeight="1" x14ac:dyDescent="0.2">
      <c r="A47" s="133">
        <v>4</v>
      </c>
      <c r="B47" s="147" t="s">
        <v>59</v>
      </c>
      <c r="C47" s="147"/>
      <c r="D47" s="147"/>
    </row>
    <row r="48" spans="1:4" ht="41.25" customHeight="1" x14ac:dyDescent="0.2">
      <c r="A48" s="133">
        <v>5</v>
      </c>
      <c r="B48" s="147" t="s">
        <v>60</v>
      </c>
      <c r="C48" s="147"/>
      <c r="D48" s="147"/>
    </row>
    <row r="49" spans="1:4" ht="27.75" customHeight="1" x14ac:dyDescent="0.2">
      <c r="A49" s="133">
        <v>6</v>
      </c>
      <c r="B49" s="147" t="s">
        <v>61</v>
      </c>
      <c r="C49" s="147"/>
      <c r="D49" s="147"/>
    </row>
    <row r="50" spans="1:4" ht="27.75" customHeight="1" x14ac:dyDescent="0.2">
      <c r="A50" s="133">
        <v>7</v>
      </c>
      <c r="B50" s="147" t="s">
        <v>62</v>
      </c>
      <c r="C50" s="147"/>
      <c r="D50" s="147"/>
    </row>
    <row r="51" spans="1:4" ht="27.75" customHeight="1" x14ac:dyDescent="0.2">
      <c r="A51" s="133">
        <v>8</v>
      </c>
      <c r="B51" s="147" t="s">
        <v>63</v>
      </c>
      <c r="C51" s="147"/>
      <c r="D51" s="147"/>
    </row>
    <row r="52" spans="1:4" ht="60" customHeight="1" x14ac:dyDescent="0.2">
      <c r="A52" s="133">
        <v>9</v>
      </c>
      <c r="B52" s="147" t="s">
        <v>64</v>
      </c>
      <c r="C52" s="147"/>
      <c r="D52" s="147"/>
    </row>
    <row r="53" spans="1:4" ht="54" customHeight="1" x14ac:dyDescent="0.2">
      <c r="A53" s="133">
        <v>10</v>
      </c>
      <c r="B53" s="147" t="s">
        <v>65</v>
      </c>
      <c r="C53" s="147"/>
      <c r="D53" s="147"/>
    </row>
    <row r="54" spans="1:4" ht="27.75" customHeight="1" x14ac:dyDescent="0.2">
      <c r="A54" s="90"/>
      <c r="B54" s="90"/>
      <c r="C54" s="90"/>
      <c r="D54" s="90"/>
    </row>
    <row r="55" spans="1:4" ht="54" customHeight="1" x14ac:dyDescent="0.2">
      <c r="A55" s="149" t="s">
        <v>66</v>
      </c>
      <c r="B55" s="149"/>
      <c r="C55" s="149"/>
      <c r="D55" s="149"/>
    </row>
    <row r="56" spans="1:4" ht="15" customHeight="1" x14ac:dyDescent="0.2">
      <c r="A56" s="142" t="s">
        <v>67</v>
      </c>
      <c r="B56" s="148" t="s">
        <v>68</v>
      </c>
      <c r="C56" s="148"/>
      <c r="D56" s="142" t="s">
        <v>69</v>
      </c>
    </row>
    <row r="57" spans="1:4" ht="54" customHeight="1" x14ac:dyDescent="0.2">
      <c r="A57" s="114" t="s">
        <v>70</v>
      </c>
      <c r="B57" s="147" t="s">
        <v>71</v>
      </c>
      <c r="C57" s="147"/>
      <c r="D57" s="88" t="s">
        <v>72</v>
      </c>
    </row>
    <row r="58" spans="1:4" ht="41.25" customHeight="1" x14ac:dyDescent="0.2">
      <c r="A58" s="114" t="s">
        <v>73</v>
      </c>
      <c r="B58" s="147" t="s">
        <v>74</v>
      </c>
      <c r="C58" s="147"/>
      <c r="D58" s="88" t="s">
        <v>75</v>
      </c>
    </row>
    <row r="59" spans="1:4" ht="27.75" customHeight="1" x14ac:dyDescent="0.2">
      <c r="A59" s="114" t="s">
        <v>76</v>
      </c>
      <c r="B59" s="147" t="s">
        <v>77</v>
      </c>
      <c r="C59" s="147"/>
      <c r="D59" s="88" t="s">
        <v>78</v>
      </c>
    </row>
    <row r="60" spans="1:4" ht="41.25" customHeight="1" x14ac:dyDescent="0.2">
      <c r="A60" s="114" t="s">
        <v>79</v>
      </c>
      <c r="B60" s="147" t="s">
        <v>80</v>
      </c>
      <c r="C60" s="147"/>
      <c r="D60" s="88" t="s">
        <v>81</v>
      </c>
    </row>
    <row r="61" spans="1:4" ht="60" customHeight="1" x14ac:dyDescent="0.2">
      <c r="A61" s="114" t="s">
        <v>82</v>
      </c>
      <c r="B61" s="147" t="s">
        <v>83</v>
      </c>
      <c r="C61" s="147"/>
      <c r="D61" s="88" t="s">
        <v>84</v>
      </c>
    </row>
    <row r="62" spans="1:4" ht="27.75" customHeight="1" x14ac:dyDescent="0.2">
      <c r="A62" s="114" t="s">
        <v>85</v>
      </c>
      <c r="B62" s="147" t="s">
        <v>86</v>
      </c>
      <c r="C62" s="147"/>
      <c r="D62" s="88" t="s">
        <v>87</v>
      </c>
    </row>
    <row r="63" spans="1:4" ht="60" customHeight="1" x14ac:dyDescent="0.2">
      <c r="A63" s="114" t="s">
        <v>88</v>
      </c>
      <c r="B63" s="147" t="s">
        <v>89</v>
      </c>
      <c r="C63" s="147"/>
      <c r="D63" s="88" t="s">
        <v>90</v>
      </c>
    </row>
    <row r="64" spans="1:4" ht="54" customHeight="1" x14ac:dyDescent="0.2">
      <c r="A64" s="114" t="s">
        <v>91</v>
      </c>
      <c r="B64" s="147" t="s">
        <v>92</v>
      </c>
      <c r="C64" s="147"/>
      <c r="D64" s="88" t="s">
        <v>93</v>
      </c>
    </row>
    <row r="65" spans="1:4" ht="15" customHeight="1" x14ac:dyDescent="0.2">
      <c r="A65" s="90"/>
      <c r="B65" s="90"/>
      <c r="C65" s="90"/>
      <c r="D65" s="90"/>
    </row>
    <row r="66" spans="1:4" ht="15" customHeight="1" x14ac:dyDescent="0.2">
      <c r="A66" s="149" t="s">
        <v>94</v>
      </c>
      <c r="B66" s="149"/>
      <c r="C66" s="149"/>
      <c r="D66" s="149"/>
    </row>
    <row r="67" spans="1:4" ht="15" customHeight="1" x14ac:dyDescent="0.2">
      <c r="A67" s="114" t="s">
        <v>95</v>
      </c>
      <c r="B67" s="147" t="s">
        <v>96</v>
      </c>
      <c r="C67" s="147"/>
      <c r="D67" s="147"/>
    </row>
    <row r="68" spans="1:4" ht="15" customHeight="1" x14ac:dyDescent="0.2">
      <c r="A68" s="114" t="s">
        <v>97</v>
      </c>
      <c r="B68" s="147" t="s">
        <v>98</v>
      </c>
      <c r="C68" s="147"/>
      <c r="D68" s="147"/>
    </row>
    <row r="69" spans="1:4" ht="15" customHeight="1" x14ac:dyDescent="0.2">
      <c r="A69" s="114" t="s">
        <v>99</v>
      </c>
      <c r="B69" s="147" t="s">
        <v>100</v>
      </c>
      <c r="C69" s="147"/>
      <c r="D69" s="147"/>
    </row>
    <row r="70" spans="1:4" ht="15" customHeight="1" x14ac:dyDescent="0.2">
      <c r="A70" s="114" t="s">
        <v>101</v>
      </c>
      <c r="B70" s="147" t="s">
        <v>102</v>
      </c>
      <c r="C70" s="147"/>
      <c r="D70" s="147"/>
    </row>
    <row r="71" spans="1:4" ht="15" customHeight="1" x14ac:dyDescent="0.2">
      <c r="A71" s="114" t="s">
        <v>103</v>
      </c>
      <c r="B71" s="147" t="s">
        <v>104</v>
      </c>
      <c r="C71" s="147"/>
      <c r="D71" s="147"/>
    </row>
    <row r="72" spans="1:4" ht="15" customHeight="1" x14ac:dyDescent="0.2">
      <c r="A72" s="114" t="s">
        <v>105</v>
      </c>
      <c r="B72" s="147" t="s">
        <v>106</v>
      </c>
      <c r="C72" s="147"/>
      <c r="D72" s="147"/>
    </row>
    <row r="73" spans="1:4" ht="15" customHeight="1" x14ac:dyDescent="0.2">
      <c r="A73" s="114" t="s">
        <v>107</v>
      </c>
      <c r="B73" s="147" t="s">
        <v>108</v>
      </c>
      <c r="C73" s="147"/>
      <c r="D73" s="147"/>
    </row>
    <row r="74" spans="1:4" ht="15" customHeight="1" x14ac:dyDescent="0.2">
      <c r="A74" s="114" t="s">
        <v>109</v>
      </c>
      <c r="B74" s="147" t="s">
        <v>110</v>
      </c>
      <c r="C74" s="147"/>
      <c r="D74" s="147"/>
    </row>
    <row r="75" spans="1:4" ht="15" customHeight="1" x14ac:dyDescent="0.2">
      <c r="A75" s="114" t="s">
        <v>111</v>
      </c>
      <c r="B75" s="147" t="s">
        <v>112</v>
      </c>
      <c r="C75" s="147"/>
      <c r="D75" s="147"/>
    </row>
    <row r="76" spans="1:4" x14ac:dyDescent="0.2">
      <c r="A76" s="114" t="s">
        <v>113</v>
      </c>
      <c r="B76" s="147" t="s">
        <v>114</v>
      </c>
      <c r="C76" s="147"/>
      <c r="D76" s="147"/>
    </row>
    <row r="77" spans="1:4" x14ac:dyDescent="0.2">
      <c r="A77" s="114" t="s">
        <v>47</v>
      </c>
      <c r="B77" s="147" t="s">
        <v>115</v>
      </c>
      <c r="C77" s="147"/>
      <c r="D77" s="147"/>
    </row>
  </sheetData>
  <mergeCells count="59">
    <mergeCell ref="B75:D75"/>
    <mergeCell ref="B62:C62"/>
    <mergeCell ref="B67:D67"/>
    <mergeCell ref="B68:D68"/>
    <mergeCell ref="B53:D53"/>
    <mergeCell ref="A1:D1"/>
    <mergeCell ref="A2:D2"/>
    <mergeCell ref="A4:D4"/>
    <mergeCell ref="A12:D12"/>
    <mergeCell ref="A28:D28"/>
    <mergeCell ref="C10:D10"/>
    <mergeCell ref="C14:D14"/>
    <mergeCell ref="C15:D15"/>
    <mergeCell ref="C16:D16"/>
    <mergeCell ref="C22:D22"/>
    <mergeCell ref="C17:D17"/>
    <mergeCell ref="C18:D18"/>
    <mergeCell ref="C19:D19"/>
    <mergeCell ref="C20:D20"/>
    <mergeCell ref="C21:D21"/>
    <mergeCell ref="C5:D5"/>
    <mergeCell ref="C13:D13"/>
    <mergeCell ref="C6:D6"/>
    <mergeCell ref="C7:D7"/>
    <mergeCell ref="C8:D8"/>
    <mergeCell ref="C9:D9"/>
    <mergeCell ref="C23:D23"/>
    <mergeCell ref="C24:D24"/>
    <mergeCell ref="C25:D25"/>
    <mergeCell ref="B44:D44"/>
    <mergeCell ref="A43:D43"/>
    <mergeCell ref="A38:D38"/>
    <mergeCell ref="B59:C59"/>
    <mergeCell ref="A55:D55"/>
    <mergeCell ref="A66:D66"/>
    <mergeCell ref="A37:D37"/>
    <mergeCell ref="B46:D46"/>
    <mergeCell ref="B47:D47"/>
    <mergeCell ref="B48:D48"/>
    <mergeCell ref="B49:D49"/>
    <mergeCell ref="B50:D50"/>
    <mergeCell ref="B45:D45"/>
    <mergeCell ref="B52:D52"/>
    <mergeCell ref="B76:D76"/>
    <mergeCell ref="B77:D77"/>
    <mergeCell ref="B63:C63"/>
    <mergeCell ref="B64:C64"/>
    <mergeCell ref="B51:D51"/>
    <mergeCell ref="B73:D73"/>
    <mergeCell ref="B74:D74"/>
    <mergeCell ref="B60:C60"/>
    <mergeCell ref="B61:C61"/>
    <mergeCell ref="B69:D69"/>
    <mergeCell ref="B70:D70"/>
    <mergeCell ref="B71:D71"/>
    <mergeCell ref="B72:D72"/>
    <mergeCell ref="B56:C56"/>
    <mergeCell ref="B57:C57"/>
    <mergeCell ref="B58:C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E5A7-0562-4B3E-8CF9-AEDE34BBBFA2}">
  <dimension ref="A1:AG190"/>
  <sheetViews>
    <sheetView tabSelected="1" workbookViewId="0">
      <pane xSplit="2" ySplit="3" topLeftCell="L4" activePane="bottomRight" state="frozen"/>
      <selection pane="topRight"/>
      <selection pane="bottomLeft"/>
      <selection pane="bottomRight" activeCell="Y9" sqref="Y9"/>
    </sheetView>
  </sheetViews>
  <sheetFormatPr baseColWidth="10" defaultColWidth="8.83203125" defaultRowHeight="15" x14ac:dyDescent="0.2"/>
  <cols>
    <col min="1" max="1" width="22.6640625" customWidth="1"/>
    <col min="2" max="2" width="18.6640625" customWidth="1"/>
    <col min="3" max="3" width="8.6640625" customWidth="1"/>
    <col min="4" max="4" width="46.6640625" customWidth="1"/>
    <col min="5" max="5" width="13.6640625" customWidth="1"/>
    <col min="6" max="6" width="18.6640625" customWidth="1"/>
    <col min="7" max="8" width="30.6640625" customWidth="1"/>
    <col min="9" max="9" width="11.6640625" customWidth="1"/>
    <col min="10" max="11" width="14.6640625" customWidth="1"/>
    <col min="12" max="12" width="36.6640625" customWidth="1"/>
    <col min="13" max="13" width="8.6640625" customWidth="1"/>
    <col min="14" max="14" width="9.6640625" customWidth="1"/>
    <col min="15" max="15" width="8.6640625" customWidth="1"/>
    <col min="16" max="16" width="9.6640625" customWidth="1"/>
    <col min="17" max="17" width="10.6640625" customWidth="1"/>
    <col min="18" max="18" width="9.6640625" customWidth="1"/>
    <col min="19" max="19" width="11.6640625" customWidth="1"/>
    <col min="20" max="20" width="17.6640625" customWidth="1"/>
    <col min="21" max="21" width="11.6640625" customWidth="1"/>
    <col min="22" max="22" width="10.6640625" customWidth="1"/>
    <col min="23" max="23" width="11.6640625" customWidth="1"/>
    <col min="24" max="24" width="30.6640625" customWidth="1"/>
    <col min="25" max="25" width="50.6640625" customWidth="1"/>
    <col min="26" max="26" width="14.6640625" customWidth="1"/>
    <col min="27" max="27" width="10.6640625" customWidth="1"/>
    <col min="28" max="28" width="9.6640625" customWidth="1"/>
    <col min="29" max="29" width="12.6640625" customWidth="1"/>
    <col min="30" max="30" width="9.6640625" customWidth="1"/>
    <col min="31" max="32" width="13.6640625" customWidth="1"/>
    <col min="33" max="33" width="9.6640625" customWidth="1"/>
  </cols>
  <sheetData>
    <row r="1" spans="1:33" ht="21.75" customHeight="1" x14ac:dyDescent="0.2">
      <c r="A1" s="156" t="s">
        <v>116</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row>
    <row r="2" spans="1:33" ht="44.25" customHeight="1" x14ac:dyDescent="0.2">
      <c r="A2" s="155" t="s">
        <v>117</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row>
    <row r="3" spans="1:33" ht="57.75" customHeight="1" x14ac:dyDescent="0.2">
      <c r="A3" s="3" t="s">
        <v>118</v>
      </c>
      <c r="B3" s="3" t="s">
        <v>119</v>
      </c>
      <c r="C3" s="3" t="s">
        <v>120</v>
      </c>
      <c r="D3" s="3" t="s">
        <v>121</v>
      </c>
      <c r="E3" s="3" t="s">
        <v>21</v>
      </c>
      <c r="F3" s="3" t="s">
        <v>122</v>
      </c>
      <c r="G3" s="3" t="s">
        <v>123</v>
      </c>
      <c r="H3" s="3" t="s">
        <v>124</v>
      </c>
      <c r="I3" s="3" t="s">
        <v>125</v>
      </c>
      <c r="J3" s="3" t="s">
        <v>126</v>
      </c>
      <c r="K3" s="3" t="s">
        <v>127</v>
      </c>
      <c r="L3" s="3" t="s">
        <v>128</v>
      </c>
      <c r="M3" s="3" t="s">
        <v>129</v>
      </c>
      <c r="N3" s="3" t="s">
        <v>130</v>
      </c>
      <c r="O3" s="3" t="s">
        <v>131</v>
      </c>
      <c r="P3" s="3" t="s">
        <v>132</v>
      </c>
      <c r="Q3" s="3" t="s">
        <v>133</v>
      </c>
      <c r="R3" s="3" t="s">
        <v>134</v>
      </c>
      <c r="S3" s="3" t="s">
        <v>135</v>
      </c>
      <c r="T3" s="3" t="s">
        <v>136</v>
      </c>
      <c r="U3" s="3" t="s">
        <v>137</v>
      </c>
      <c r="V3" s="3" t="s">
        <v>138</v>
      </c>
      <c r="W3" s="3" t="s">
        <v>139</v>
      </c>
      <c r="X3" s="3" t="s">
        <v>140</v>
      </c>
      <c r="Y3" s="3" t="s">
        <v>141</v>
      </c>
      <c r="Z3" s="3" t="s">
        <v>142</v>
      </c>
      <c r="AA3" s="3" t="s">
        <v>143</v>
      </c>
      <c r="AB3" s="3" t="s">
        <v>144</v>
      </c>
      <c r="AC3" s="3" t="s">
        <v>145</v>
      </c>
      <c r="AD3" s="3" t="s">
        <v>146</v>
      </c>
      <c r="AE3" s="3" t="s">
        <v>147</v>
      </c>
      <c r="AF3" s="3" t="s">
        <v>148</v>
      </c>
      <c r="AG3" s="3" t="s">
        <v>149</v>
      </c>
    </row>
    <row r="4" spans="1:33" ht="27.75" customHeight="1" x14ac:dyDescent="0.2">
      <c r="A4" s="7" t="s">
        <v>150</v>
      </c>
      <c r="B4" s="4" t="s">
        <v>151</v>
      </c>
      <c r="C4" s="8">
        <v>1</v>
      </c>
      <c r="D4" s="4" t="s">
        <v>152</v>
      </c>
      <c r="E4" s="5" t="s">
        <v>153</v>
      </c>
      <c r="F4" s="5" t="s">
        <v>154</v>
      </c>
      <c r="G4" s="5" t="s">
        <v>155</v>
      </c>
      <c r="H4" s="4" t="s">
        <v>156</v>
      </c>
      <c r="I4" s="5" t="s">
        <v>157</v>
      </c>
      <c r="J4" s="4" t="s">
        <v>158</v>
      </c>
      <c r="K4" s="4" t="s">
        <v>159</v>
      </c>
      <c r="L4" s="4" t="s">
        <v>160</v>
      </c>
      <c r="M4" s="10" t="s">
        <v>161</v>
      </c>
      <c r="N4" s="10"/>
      <c r="O4" s="11">
        <v>2</v>
      </c>
      <c r="P4" s="11">
        <v>0</v>
      </c>
      <c r="Q4" s="13">
        <v>2E-3</v>
      </c>
      <c r="R4" s="14">
        <f>IF(OR($M4="Yes",$M4="Owner"),$C4*Cost!$B$6,0)</f>
        <v>0</v>
      </c>
      <c r="S4" s="16">
        <f t="shared" ref="S4:S35" si="0">$R4*$Q4</f>
        <v>0</v>
      </c>
      <c r="T4" s="4" t="s">
        <v>162</v>
      </c>
      <c r="U4" s="19"/>
      <c r="V4" s="14">
        <f>IF($M4="Owner",$R4,IF($M4&lt;&gt;"Yes",0,MAX(IF(LEFT($T4,7)="Passive",$R4+MAX(Cost!$B$8,ROUNDUP(Cost!$B$7*$R4,0)),$R4+Cost!$B$9),N($U4))))</f>
        <v>0</v>
      </c>
      <c r="W4" s="16">
        <f t="shared" ref="W4:W35" si="1">$V4*$Q4</f>
        <v>0</v>
      </c>
      <c r="X4" s="20" t="s">
        <v>163</v>
      </c>
      <c r="Y4" s="4" t="s">
        <v>164</v>
      </c>
      <c r="Z4" s="21" t="s">
        <v>165</v>
      </c>
      <c r="AA4" s="22">
        <f t="shared" ref="AA4:AA35" si="2">IF($Z4="",0,LEN($Z4)-LEN(SUBSTITUTE($Z4,",",""))-1)</f>
        <v>1</v>
      </c>
      <c r="AB4" s="22">
        <f>IF(OR($M4="Yes",$M4="Owner"),IF(COUNTIFS($H$4:$H4,$H4,$M$4:$M4,"Yes")+COUNTIFS($H$4:$H4,$H4,$M$4:$M4,"Owner")=1,1,0),0)</f>
        <v>0</v>
      </c>
      <c r="AC4" s="21" t="s">
        <v>166</v>
      </c>
      <c r="AD4" s="21" t="str">
        <f>IF(ISNUMBER(FIND("CG",$H4)),MID($H4,FIND("CG",$H4)+2,3),MID($H4,FIND(" 0",$H4)+6,3))</f>
        <v>472</v>
      </c>
      <c r="AE4" s="23">
        <f>IF(ISNUMBER(FIND("R",$AD4)),SUBSTITUTE($AD4,"R",".")*1,LEFT($AD4,2)*10^RIGHT($AD4,1))*10^-12</f>
        <v>4.6999999999999999E-9</v>
      </c>
      <c r="AF4" s="23" cm="1">
        <f t="array" ref="AF4">LEFT($E4,FIND(" ",$E4)-1)*IFERROR(INDEX({1000,1000000,0.000000000001,0.000000001,0.000001},MATCH(MID($E4,FIND(" ",$E4)+1,1),{"k","M","p","n","µ"},0)),1)</f>
        <v>4.7000000000000007E-9</v>
      </c>
      <c r="AG4" s="24" t="str">
        <f>IF(AND(RIGHT($E4,1)="F",ABS($AF4-$AE4)&lt;=Checks!$C$6*$AE4),"OK","CHECK")</f>
        <v>OK</v>
      </c>
    </row>
    <row r="5" spans="1:33" ht="53.25" customHeight="1" x14ac:dyDescent="0.2">
      <c r="A5" s="6" t="s">
        <v>150</v>
      </c>
      <c r="B5" s="4" t="s">
        <v>167</v>
      </c>
      <c r="C5" s="8">
        <v>1</v>
      </c>
      <c r="D5" s="4" t="s">
        <v>168</v>
      </c>
      <c r="E5" s="5" t="s">
        <v>169</v>
      </c>
      <c r="F5" s="5" t="s">
        <v>170</v>
      </c>
      <c r="G5" s="5" t="s">
        <v>171</v>
      </c>
      <c r="H5" s="4" t="s">
        <v>172</v>
      </c>
      <c r="I5" s="5" t="s">
        <v>173</v>
      </c>
      <c r="J5" s="4" t="s">
        <v>174</v>
      </c>
      <c r="K5" s="4" t="s">
        <v>175</v>
      </c>
      <c r="L5" s="4" t="s">
        <v>176</v>
      </c>
      <c r="M5" s="10" t="s">
        <v>177</v>
      </c>
      <c r="N5" s="10"/>
      <c r="O5" s="11">
        <v>2</v>
      </c>
      <c r="P5" s="11">
        <v>0</v>
      </c>
      <c r="Q5" s="13">
        <v>0.02</v>
      </c>
      <c r="R5" s="14">
        <f>IF(OR($M5="Yes",$M5="Owner"),$C5*Cost!$B$6,0)</f>
        <v>5</v>
      </c>
      <c r="S5" s="16">
        <f t="shared" si="0"/>
        <v>0.1</v>
      </c>
      <c r="T5" s="4" t="s">
        <v>178</v>
      </c>
      <c r="U5" s="19"/>
      <c r="V5" s="14">
        <f>IF($M5="Owner",$R5,IF($M5&lt;&gt;"Yes",0,MAX(IF(LEFT($T5,7)="Passive",$R5+MAX(Cost!$B$8,ROUNDUP(Cost!$B$7*$R5,0)),$R5+Cost!$B$9),N($U5))))</f>
        <v>7</v>
      </c>
      <c r="W5" s="16">
        <f t="shared" si="1"/>
        <v>0.14000000000000001</v>
      </c>
      <c r="X5" s="20"/>
      <c r="Y5" s="4" t="s">
        <v>179</v>
      </c>
      <c r="Z5" s="21" t="s">
        <v>180</v>
      </c>
      <c r="AA5" s="22">
        <f t="shared" si="2"/>
        <v>1</v>
      </c>
      <c r="AB5" s="22">
        <f>IF(OR($M5="Yes",$M5="Owner"),IF(COUNTIFS($H$4:$H5,$H5,$M$4:$M5,"Yes")+COUNTIFS($H$4:$H5,$H5,$M$4:$M5,"Owner")=1,1,0),0)</f>
        <v>1</v>
      </c>
      <c r="AC5" s="21" t="s">
        <v>181</v>
      </c>
      <c r="AD5" s="21" t="str">
        <f>MID($H5,FIND("CL",$H5)+5,3)</f>
        <v>225</v>
      </c>
      <c r="AE5" s="23">
        <f>IF(ISNUMBER(FIND("R",$AD5)),SUBSTITUTE($AD5,"R",".")*1,LEFT($AD5,2)*10^RIGHT($AD5,1))*10^-12</f>
        <v>2.2000000000000001E-6</v>
      </c>
      <c r="AF5" s="23" cm="1">
        <f t="array" ref="AF5">LEFT($E5,FIND(" ",$E5)-1)*IFERROR(INDEX({1000,1000000,0.000000000001,0.000000001,0.000001},MATCH(MID($E5,FIND(" ",$E5)+1,1),{"k","M","p","n","µ"},0)),1)</f>
        <v>2.2000000000000001E-6</v>
      </c>
      <c r="AG5" s="24" t="str">
        <f>IF(AND(RIGHT($E5,1)="F",ABS($AF5-$AE5)&lt;=Checks!$C$6*$AE5),"OK","CHECK")</f>
        <v>OK</v>
      </c>
    </row>
    <row r="6" spans="1:33" ht="40.5" customHeight="1" x14ac:dyDescent="0.2">
      <c r="A6" s="6" t="s">
        <v>150</v>
      </c>
      <c r="B6" s="4" t="s">
        <v>182</v>
      </c>
      <c r="C6" s="8">
        <v>1</v>
      </c>
      <c r="D6" s="4" t="s">
        <v>183</v>
      </c>
      <c r="E6" s="5" t="s">
        <v>184</v>
      </c>
      <c r="F6" s="5" t="s">
        <v>154</v>
      </c>
      <c r="G6" s="5" t="s">
        <v>185</v>
      </c>
      <c r="H6" s="4" t="s">
        <v>186</v>
      </c>
      <c r="I6" s="5" t="s">
        <v>187</v>
      </c>
      <c r="J6" s="4" t="s">
        <v>158</v>
      </c>
      <c r="K6" s="4" t="s">
        <v>175</v>
      </c>
      <c r="L6" s="4" t="s">
        <v>188</v>
      </c>
      <c r="M6" s="10" t="s">
        <v>177</v>
      </c>
      <c r="N6" s="10"/>
      <c r="O6" s="11">
        <v>2</v>
      </c>
      <c r="P6" s="11">
        <v>0</v>
      </c>
      <c r="Q6" s="13">
        <v>2E-3</v>
      </c>
      <c r="R6" s="14">
        <f>IF(OR($M6="Yes",$M6="Owner"),$C6*Cost!$B$6,0)</f>
        <v>5</v>
      </c>
      <c r="S6" s="16">
        <f t="shared" si="0"/>
        <v>0.01</v>
      </c>
      <c r="T6" s="4" t="s">
        <v>178</v>
      </c>
      <c r="U6" s="19"/>
      <c r="V6" s="14">
        <f>IF($M6="Owner",$R6,IF($M6&lt;&gt;"Yes",0,MAX(IF(LEFT($T6,7)="Passive",$R6+MAX(Cost!$B$8,ROUNDUP(Cost!$B$7*$R6,0)),$R6+Cost!$B$9),N($U6))))</f>
        <v>7</v>
      </c>
      <c r="W6" s="16">
        <f t="shared" si="1"/>
        <v>1.4E-2</v>
      </c>
      <c r="X6" s="20" t="s">
        <v>189</v>
      </c>
      <c r="Y6" s="4" t="s">
        <v>190</v>
      </c>
      <c r="Z6" s="21" t="s">
        <v>191</v>
      </c>
      <c r="AA6" s="22">
        <f t="shared" si="2"/>
        <v>1</v>
      </c>
      <c r="AB6" s="22">
        <f>IF(OR($M6="Yes",$M6="Owner"),IF(COUNTIFS($H$4:$H6,$H6,$M$4:$M6,"Yes")+COUNTIFS($H$4:$H6,$H6,$M$4:$M6,"Owner")=1,1,0),0)</f>
        <v>1</v>
      </c>
      <c r="AC6" s="21" t="s">
        <v>181</v>
      </c>
      <c r="AD6" s="21" t="str">
        <f>MID($H6,FIND("CL",$H6)+5,3)</f>
        <v>101</v>
      </c>
      <c r="AE6" s="23">
        <f>IF(ISNUMBER(FIND("R",$AD6)),SUBSTITUTE($AD6,"R",".")*1,LEFT($AD6,2)*10^RIGHT($AD6,1))*10^-12</f>
        <v>1E-10</v>
      </c>
      <c r="AF6" s="23" cm="1">
        <f t="array" ref="AF6">LEFT($E6,FIND(" ",$E6)-1)*IFERROR(INDEX({1000,1000000,0.000000000001,0.000000001,0.000001},MATCH(MID($E6,FIND(" ",$E6)+1,1),{"k","M","p","n","µ"},0)),1)</f>
        <v>1E-10</v>
      </c>
      <c r="AG6" s="24" t="str">
        <f>IF(AND(RIGHT($E6,1)="F",ABS($AF6-$AE6)&lt;=Checks!$C$6*$AE6),"OK","CHECK")</f>
        <v>OK</v>
      </c>
    </row>
    <row r="7" spans="1:33" ht="40.5" customHeight="1" x14ac:dyDescent="0.2">
      <c r="A7" s="6" t="s">
        <v>150</v>
      </c>
      <c r="B7" s="4" t="s">
        <v>192</v>
      </c>
      <c r="C7" s="8">
        <v>1</v>
      </c>
      <c r="D7" s="4" t="s">
        <v>193</v>
      </c>
      <c r="E7" s="5" t="s">
        <v>194</v>
      </c>
      <c r="F7" s="5" t="s">
        <v>154</v>
      </c>
      <c r="G7" s="5" t="s">
        <v>195</v>
      </c>
      <c r="H7" s="4" t="s">
        <v>196</v>
      </c>
      <c r="I7" s="5" t="s">
        <v>197</v>
      </c>
      <c r="J7" s="4" t="s">
        <v>158</v>
      </c>
      <c r="K7" s="4" t="s">
        <v>175</v>
      </c>
      <c r="L7" s="4" t="s">
        <v>188</v>
      </c>
      <c r="M7" s="10" t="s">
        <v>177</v>
      </c>
      <c r="N7" s="10"/>
      <c r="O7" s="11">
        <v>2</v>
      </c>
      <c r="P7" s="11">
        <v>0</v>
      </c>
      <c r="Q7" s="13">
        <v>4.4999999999999997E-3</v>
      </c>
      <c r="R7" s="14">
        <f>IF(OR($M7="Yes",$M7="Owner"),$C7*Cost!$B$6,0)</f>
        <v>5</v>
      </c>
      <c r="S7" s="16">
        <f t="shared" si="0"/>
        <v>2.2499999999999999E-2</v>
      </c>
      <c r="T7" s="4" t="s">
        <v>178</v>
      </c>
      <c r="U7" s="19"/>
      <c r="V7" s="14">
        <f>IF($M7="Owner",$R7,IF($M7&lt;&gt;"Yes",0,MAX(IF(LEFT($T7,7)="Passive",$R7+MAX(Cost!$B$8,ROUNDUP(Cost!$B$7*$R7,0)),$R7+Cost!$B$9),N($U7))))</f>
        <v>7</v>
      </c>
      <c r="W7" s="16">
        <f t="shared" si="1"/>
        <v>3.15E-2</v>
      </c>
      <c r="X7" s="20" t="s">
        <v>198</v>
      </c>
      <c r="Y7" s="4" t="s">
        <v>199</v>
      </c>
      <c r="Z7" s="21" t="s">
        <v>200</v>
      </c>
      <c r="AA7" s="22">
        <f t="shared" si="2"/>
        <v>1</v>
      </c>
      <c r="AB7" s="22">
        <f>IF(OR($M7="Yes",$M7="Owner"),IF(COUNTIFS($H$4:$H7,$H7,$M$4:$M7,"Yes")+COUNTIFS($H$4:$H7,$H7,$M$4:$M7,"Owner")=1,1,0),0)</f>
        <v>1</v>
      </c>
      <c r="AC7" s="21" t="s">
        <v>181</v>
      </c>
      <c r="AD7" s="21" t="str">
        <f>MID($H7,FIND("CL",$H7)+5,3)</f>
        <v>104</v>
      </c>
      <c r="AE7" s="23">
        <f>IF(ISNUMBER(FIND("R",$AD7)),SUBSTITUTE($AD7,"R",".")*1,LEFT($AD7,2)*10^RIGHT($AD7,1))*10^-12</f>
        <v>9.9999999999999995E-8</v>
      </c>
      <c r="AF7" s="23" cm="1">
        <f t="array" ref="AF7">LEFT($E7,FIND(" ",$E7)-1)*IFERROR(INDEX({1000,1000000,0.000000000001,0.000000001,0.000001},MATCH(MID($E7,FIND(" ",$E7)+1,1),{"k","M","p","n","µ"},0)),1)</f>
        <v>1.0000000000000001E-7</v>
      </c>
      <c r="AG7" s="24" t="str">
        <f>IF(AND(RIGHT($E7,1)="F",ABS($AF7-$AE7)&lt;=Checks!$C$6*$AE7),"OK","CHECK")</f>
        <v>OK</v>
      </c>
    </row>
    <row r="8" spans="1:33" ht="66" customHeight="1" x14ac:dyDescent="0.2">
      <c r="A8" s="6" t="s">
        <v>150</v>
      </c>
      <c r="B8" s="4" t="s">
        <v>201</v>
      </c>
      <c r="C8" s="8">
        <v>1</v>
      </c>
      <c r="D8" s="4" t="s">
        <v>202</v>
      </c>
      <c r="E8" s="5" t="s">
        <v>203</v>
      </c>
      <c r="F8" s="5" t="s">
        <v>204</v>
      </c>
      <c r="G8" s="5" t="s">
        <v>205</v>
      </c>
      <c r="H8" s="4" t="s">
        <v>206</v>
      </c>
      <c r="I8" s="5" t="s">
        <v>162</v>
      </c>
      <c r="J8" s="4" t="s">
        <v>162</v>
      </c>
      <c r="K8" s="4" t="s">
        <v>207</v>
      </c>
      <c r="L8" s="4" t="s">
        <v>208</v>
      </c>
      <c r="M8" s="10" t="s">
        <v>209</v>
      </c>
      <c r="N8" s="10"/>
      <c r="O8" s="11">
        <v>2</v>
      </c>
      <c r="P8" s="11">
        <v>0</v>
      </c>
      <c r="Q8" s="13">
        <v>1.01</v>
      </c>
      <c r="R8" s="14">
        <f>IF(OR($M8="Yes",$M8="Owner"),$C8*Cost!$B$6,0)</f>
        <v>5</v>
      </c>
      <c r="S8" s="16">
        <f t="shared" si="0"/>
        <v>5.05</v>
      </c>
      <c r="T8" s="4" t="s">
        <v>210</v>
      </c>
      <c r="U8" s="19"/>
      <c r="V8" s="14">
        <f>IF($M8="Owner",$R8,IF($M8&lt;&gt;"Yes",0,MAX(IF(LEFT($T8,7)="Passive",$R8+MAX(Cost!$B$8,ROUNDUP(Cost!$B$7*$R8,0)),$R8+Cost!$B$9),N($U8))))</f>
        <v>5</v>
      </c>
      <c r="W8" s="16">
        <f t="shared" si="1"/>
        <v>5.05</v>
      </c>
      <c r="X8" s="20" t="s">
        <v>211</v>
      </c>
      <c r="Y8" s="4" t="s">
        <v>212</v>
      </c>
      <c r="Z8" s="21" t="s">
        <v>213</v>
      </c>
      <c r="AA8" s="22">
        <f t="shared" si="2"/>
        <v>1</v>
      </c>
      <c r="AB8" s="22">
        <f>IF(OR($M8="Yes",$M8="Owner"),IF(COUNTIFS($H$4:$H8,$H8,$M$4:$M8,"Yes")+COUNTIFS($H$4:$H8,$H8,$M$4:$M8,"Owner")=1,1,0),0)</f>
        <v>1</v>
      </c>
      <c r="AC8" s="21"/>
      <c r="AD8" s="21"/>
      <c r="AE8" s="23"/>
      <c r="AF8" s="23"/>
      <c r="AG8" s="24"/>
    </row>
    <row r="9" spans="1:33" ht="150" customHeight="1" x14ac:dyDescent="0.2">
      <c r="A9" s="6" t="s">
        <v>150</v>
      </c>
      <c r="B9" s="4" t="s">
        <v>214</v>
      </c>
      <c r="C9" s="8">
        <v>1</v>
      </c>
      <c r="D9" s="4" t="s">
        <v>215</v>
      </c>
      <c r="E9" s="5" t="s">
        <v>162</v>
      </c>
      <c r="F9" s="5" t="s">
        <v>216</v>
      </c>
      <c r="G9" s="5" t="s">
        <v>217</v>
      </c>
      <c r="H9" s="4" t="s">
        <v>218</v>
      </c>
      <c r="I9" s="5" t="s">
        <v>219</v>
      </c>
      <c r="J9" s="4" t="s">
        <v>174</v>
      </c>
      <c r="K9" s="4" t="s">
        <v>220</v>
      </c>
      <c r="L9" s="4" t="s">
        <v>221</v>
      </c>
      <c r="M9" s="10" t="s">
        <v>177</v>
      </c>
      <c r="N9" s="10"/>
      <c r="O9" s="11">
        <v>12</v>
      </c>
      <c r="P9" s="11">
        <v>4</v>
      </c>
      <c r="Q9" s="13">
        <v>1.0900000000000001</v>
      </c>
      <c r="R9" s="14">
        <f>IF(OR($M9="Yes",$M9="Owner"),$C9*Cost!$B$6,0)</f>
        <v>5</v>
      </c>
      <c r="S9" s="16">
        <f t="shared" si="0"/>
        <v>5.45</v>
      </c>
      <c r="T9" s="4" t="s">
        <v>222</v>
      </c>
      <c r="U9" s="19"/>
      <c r="V9" s="14">
        <f>IF($M9="Owner",$R9,IF($M9&lt;&gt;"Yes",0,MAX(IF(LEFT($T9,7)="Passive",$R9+MAX(Cost!$B$8,ROUNDUP(Cost!$B$7*$R9,0)),$R9+Cost!$B$9),N($U9))))</f>
        <v>6</v>
      </c>
      <c r="W9" s="16">
        <f t="shared" si="1"/>
        <v>6.5400000000000009</v>
      </c>
      <c r="X9" s="20" t="s">
        <v>223</v>
      </c>
      <c r="Y9" s="4" t="s">
        <v>224</v>
      </c>
      <c r="Z9" s="21" t="s">
        <v>225</v>
      </c>
      <c r="AA9" s="22">
        <f t="shared" si="2"/>
        <v>1</v>
      </c>
      <c r="AB9" s="22">
        <f>IF(OR($M9="Yes",$M9="Owner"),IF(COUNTIFS($H$4:$H9,$H9,$M$4:$M9,"Yes")+COUNTIFS($H$4:$H9,$H9,$M$4:$M9,"Owner")=1,1,0),0)</f>
        <v>1</v>
      </c>
      <c r="AC9" s="21"/>
      <c r="AD9" s="21"/>
      <c r="AE9" s="23"/>
      <c r="AF9" s="23"/>
      <c r="AG9" s="24"/>
    </row>
    <row r="10" spans="1:33" ht="27.75" customHeight="1" x14ac:dyDescent="0.2">
      <c r="A10" s="6" t="s">
        <v>150</v>
      </c>
      <c r="B10" s="4" t="s">
        <v>226</v>
      </c>
      <c r="C10" s="8">
        <v>2</v>
      </c>
      <c r="D10" s="4" t="s">
        <v>227</v>
      </c>
      <c r="E10" s="5" t="s">
        <v>228</v>
      </c>
      <c r="F10" s="5" t="s">
        <v>154</v>
      </c>
      <c r="G10" s="5" t="s">
        <v>229</v>
      </c>
      <c r="H10" s="4" t="s">
        <v>230</v>
      </c>
      <c r="I10" s="5" t="s">
        <v>231</v>
      </c>
      <c r="J10" s="4" t="s">
        <v>158</v>
      </c>
      <c r="K10" s="4" t="s">
        <v>175</v>
      </c>
      <c r="L10" s="4" t="s">
        <v>160</v>
      </c>
      <c r="M10" s="10" t="s">
        <v>177</v>
      </c>
      <c r="N10" s="10"/>
      <c r="O10" s="11">
        <v>2</v>
      </c>
      <c r="P10" s="11">
        <v>0</v>
      </c>
      <c r="Q10" s="13">
        <v>2E-3</v>
      </c>
      <c r="R10" s="14">
        <f>IF(OR($M10="Yes",$M10="Owner"),$C10*Cost!$B$6,0)</f>
        <v>10</v>
      </c>
      <c r="S10" s="16">
        <f t="shared" si="0"/>
        <v>0.02</v>
      </c>
      <c r="T10" s="4" t="s">
        <v>178</v>
      </c>
      <c r="U10" s="19"/>
      <c r="V10" s="14">
        <f>IF($M10="Owner",$R10,IF($M10&lt;&gt;"Yes",0,MAX(IF(LEFT($T10,7)="Passive",$R10+MAX(Cost!$B$8,ROUNDUP(Cost!$B$7*$R10,0)),$R10+Cost!$B$9),N($U10))))</f>
        <v>12</v>
      </c>
      <c r="W10" s="16">
        <f t="shared" si="1"/>
        <v>2.4E-2</v>
      </c>
      <c r="X10" s="20" t="s">
        <v>232</v>
      </c>
      <c r="Y10" s="4" t="s">
        <v>164</v>
      </c>
      <c r="Z10" s="21" t="s">
        <v>233</v>
      </c>
      <c r="AA10" s="22">
        <f t="shared" si="2"/>
        <v>2</v>
      </c>
      <c r="AB10" s="22">
        <f>IF(OR($M10="Yes",$M10="Owner"),IF(COUNTIFS($H$4:$H10,$H10,$M$4:$M10,"Yes")+COUNTIFS($H$4:$H10,$H10,$M$4:$M10,"Owner")=1,1,0),0)</f>
        <v>1</v>
      </c>
      <c r="AC10" s="21" t="s">
        <v>234</v>
      </c>
      <c r="AD10" s="21" t="str">
        <f t="shared" ref="AD10:AD16" si="3">MID($H10,18,4)</f>
        <v>5101</v>
      </c>
      <c r="AE10" s="23">
        <f t="shared" ref="AE10:AE16" si="4">LEFT($AD10,3)*IF(ISNUMBER(--RIGHT($AD10,1)),10^RIGHT($AD10,1),10^(0-FIND(RIGHT($AD10,1),"JKLM")))</f>
        <v>5100</v>
      </c>
      <c r="AF10" s="23" cm="1">
        <f t="array" ref="AF10">LEFT($E10,FIND(" ",$E10)-1)*IFERROR(INDEX({1000,1000000,0.000000000001,0.000000001,0.000001},MATCH(MID($E10,FIND(" ",$E10)+1,1),{"k","M","p","n","µ"},0)),1)</f>
        <v>5100</v>
      </c>
      <c r="AG10" s="24" t="str">
        <f>IF(AND(RIGHT($E10,1)="Ω",ABS($AF10-$AE10)&lt;=Checks!$C$6*$AE10),"OK","CHECK")</f>
        <v>OK</v>
      </c>
    </row>
    <row r="11" spans="1:33" ht="27.75" customHeight="1" x14ac:dyDescent="0.2">
      <c r="A11" s="6" t="s">
        <v>150</v>
      </c>
      <c r="B11" s="4" t="s">
        <v>235</v>
      </c>
      <c r="C11" s="8">
        <v>2</v>
      </c>
      <c r="D11" s="4" t="s">
        <v>236</v>
      </c>
      <c r="E11" s="5" t="s">
        <v>237</v>
      </c>
      <c r="F11" s="5" t="s">
        <v>154</v>
      </c>
      <c r="G11" s="5" t="s">
        <v>229</v>
      </c>
      <c r="H11" s="4" t="s">
        <v>238</v>
      </c>
      <c r="I11" s="5" t="s">
        <v>239</v>
      </c>
      <c r="J11" s="4" t="s">
        <v>158</v>
      </c>
      <c r="K11" s="4" t="s">
        <v>175</v>
      </c>
      <c r="L11" s="4" t="s">
        <v>160</v>
      </c>
      <c r="M11" s="10" t="s">
        <v>177</v>
      </c>
      <c r="N11" s="10"/>
      <c r="O11" s="11">
        <v>2</v>
      </c>
      <c r="P11" s="11">
        <v>0</v>
      </c>
      <c r="Q11" s="13">
        <v>2E-3</v>
      </c>
      <c r="R11" s="14">
        <f>IF(OR($M11="Yes",$M11="Owner"),$C11*Cost!$B$6,0)</f>
        <v>10</v>
      </c>
      <c r="S11" s="16">
        <f t="shared" si="0"/>
        <v>0.02</v>
      </c>
      <c r="T11" s="4" t="s">
        <v>178</v>
      </c>
      <c r="U11" s="19"/>
      <c r="V11" s="14">
        <f>IF($M11="Owner",$R11,IF($M11&lt;&gt;"Yes",0,MAX(IF(LEFT($T11,7)="Passive",$R11+MAX(Cost!$B$8,ROUNDUP(Cost!$B$7*$R11,0)),$R11+Cost!$B$9),N($U11))))</f>
        <v>12</v>
      </c>
      <c r="W11" s="16">
        <f t="shared" si="1"/>
        <v>2.4E-2</v>
      </c>
      <c r="X11" s="20" t="s">
        <v>240</v>
      </c>
      <c r="Y11" s="4" t="s">
        <v>164</v>
      </c>
      <c r="Z11" s="21" t="s">
        <v>241</v>
      </c>
      <c r="AA11" s="22">
        <f t="shared" si="2"/>
        <v>2</v>
      </c>
      <c r="AB11" s="22">
        <f>IF(OR($M11="Yes",$M11="Owner"),IF(COUNTIFS($H$4:$H11,$H11,$M$4:$M11,"Yes")+COUNTIFS($H$4:$H11,$H11,$M$4:$M11,"Owner")=1,1,0),0)</f>
        <v>1</v>
      </c>
      <c r="AC11" s="21" t="s">
        <v>234</v>
      </c>
      <c r="AD11" s="21" t="str">
        <f t="shared" si="3"/>
        <v>1002</v>
      </c>
      <c r="AE11" s="23">
        <f t="shared" si="4"/>
        <v>10000</v>
      </c>
      <c r="AF11" s="23" cm="1">
        <f t="array" ref="AF11">LEFT($E11,FIND(" ",$E11)-1)*IFERROR(INDEX({1000,1000000,0.000000000001,0.000000001,0.000001},MATCH(MID($E11,FIND(" ",$E11)+1,1),{"k","M","p","n","µ"},0)),1)</f>
        <v>10000</v>
      </c>
      <c r="AG11" s="24" t="str">
        <f>IF(AND(RIGHT($E11,1)="Ω",ABS($AF11-$AE11)&lt;=Checks!$C$6*$AE11),"OK","CHECK")</f>
        <v>OK</v>
      </c>
    </row>
    <row r="12" spans="1:33" ht="27.75" customHeight="1" x14ac:dyDescent="0.2">
      <c r="A12" s="6" t="s">
        <v>150</v>
      </c>
      <c r="B12" s="4" t="s">
        <v>242</v>
      </c>
      <c r="C12" s="8">
        <v>1</v>
      </c>
      <c r="D12" s="4" t="s">
        <v>243</v>
      </c>
      <c r="E12" s="5" t="s">
        <v>244</v>
      </c>
      <c r="F12" s="5" t="s">
        <v>154</v>
      </c>
      <c r="G12" s="5" t="s">
        <v>229</v>
      </c>
      <c r="H12" s="4" t="s">
        <v>245</v>
      </c>
      <c r="I12" s="5" t="s">
        <v>246</v>
      </c>
      <c r="J12" s="4" t="s">
        <v>158</v>
      </c>
      <c r="K12" s="4" t="s">
        <v>175</v>
      </c>
      <c r="L12" s="4" t="s">
        <v>160</v>
      </c>
      <c r="M12" s="10" t="s">
        <v>177</v>
      </c>
      <c r="N12" s="10"/>
      <c r="O12" s="11">
        <v>2</v>
      </c>
      <c r="P12" s="11">
        <v>0</v>
      </c>
      <c r="Q12" s="13">
        <v>3.3E-3</v>
      </c>
      <c r="R12" s="14">
        <f>IF(OR($M12="Yes",$M12="Owner"),$C12*Cost!$B$6,0)</f>
        <v>5</v>
      </c>
      <c r="S12" s="16">
        <f t="shared" si="0"/>
        <v>1.6500000000000001E-2</v>
      </c>
      <c r="T12" s="4" t="s">
        <v>178</v>
      </c>
      <c r="U12" s="19"/>
      <c r="V12" s="14">
        <f>IF($M12="Owner",$R12,IF($M12&lt;&gt;"Yes",0,MAX(IF(LEFT($T12,7)="Passive",$R12+MAX(Cost!$B$8,ROUNDUP(Cost!$B$7*$R12,0)),$R12+Cost!$B$9),N($U12))))</f>
        <v>7</v>
      </c>
      <c r="W12" s="16">
        <f t="shared" si="1"/>
        <v>2.3099999999999999E-2</v>
      </c>
      <c r="X12" s="20" t="s">
        <v>247</v>
      </c>
      <c r="Y12" s="4" t="s">
        <v>248</v>
      </c>
      <c r="Z12" s="21" t="s">
        <v>249</v>
      </c>
      <c r="AA12" s="22">
        <f t="shared" si="2"/>
        <v>1</v>
      </c>
      <c r="AB12" s="22">
        <f>IF(OR($M12="Yes",$M12="Owner"),IF(COUNTIFS($H$4:$H12,$H12,$M$4:$M12,"Yes")+COUNTIFS($H$4:$H12,$H12,$M$4:$M12,"Owner")=1,1,0),0)</f>
        <v>1</v>
      </c>
      <c r="AC12" s="21" t="s">
        <v>234</v>
      </c>
      <c r="AD12" s="21" t="str">
        <f t="shared" si="3"/>
        <v>1003</v>
      </c>
      <c r="AE12" s="23">
        <f t="shared" si="4"/>
        <v>100000</v>
      </c>
      <c r="AF12" s="23" cm="1">
        <f t="array" ref="AF12">LEFT($E12,FIND(" ",$E12)-1)*IFERROR(INDEX({1000,1000000,0.000000000001,0.000000001,0.000001},MATCH(MID($E12,FIND(" ",$E12)+1,1),{"k","M","p","n","µ"},0)),1)</f>
        <v>100000</v>
      </c>
      <c r="AG12" s="24" t="str">
        <f>IF(AND(RIGHT($E12,1)="Ω",ABS($AF12-$AE12)&lt;=Checks!$C$6*$AE12),"OK","CHECK")</f>
        <v>OK</v>
      </c>
    </row>
    <row r="13" spans="1:33" ht="27.75" customHeight="1" x14ac:dyDescent="0.2">
      <c r="A13" s="6" t="s">
        <v>150</v>
      </c>
      <c r="B13" s="4" t="s">
        <v>250</v>
      </c>
      <c r="C13" s="8">
        <v>1</v>
      </c>
      <c r="D13" s="4" t="s">
        <v>251</v>
      </c>
      <c r="E13" s="5" t="s">
        <v>252</v>
      </c>
      <c r="F13" s="5" t="s">
        <v>154</v>
      </c>
      <c r="G13" s="5" t="s">
        <v>229</v>
      </c>
      <c r="H13" s="4" t="s">
        <v>253</v>
      </c>
      <c r="I13" s="5" t="s">
        <v>254</v>
      </c>
      <c r="J13" s="4" t="s">
        <v>158</v>
      </c>
      <c r="K13" s="4" t="s">
        <v>175</v>
      </c>
      <c r="L13" s="4" t="s">
        <v>160</v>
      </c>
      <c r="M13" s="10" t="s">
        <v>177</v>
      </c>
      <c r="N13" s="10"/>
      <c r="O13" s="11">
        <v>2</v>
      </c>
      <c r="P13" s="11">
        <v>0</v>
      </c>
      <c r="Q13" s="13">
        <v>2E-3</v>
      </c>
      <c r="R13" s="14">
        <f>IF(OR($M13="Yes",$M13="Owner"),$C13*Cost!$B$6,0)</f>
        <v>5</v>
      </c>
      <c r="S13" s="16">
        <f t="shared" si="0"/>
        <v>0.01</v>
      </c>
      <c r="T13" s="4" t="s">
        <v>178</v>
      </c>
      <c r="U13" s="19"/>
      <c r="V13" s="14">
        <f>IF($M13="Owner",$R13,IF($M13&lt;&gt;"Yes",0,MAX(IF(LEFT($T13,7)="Passive",$R13+MAX(Cost!$B$8,ROUNDUP(Cost!$B$7*$R13,0)),$R13+Cost!$B$9),N($U13))))</f>
        <v>7</v>
      </c>
      <c r="W13" s="16">
        <f t="shared" si="1"/>
        <v>1.4E-2</v>
      </c>
      <c r="X13" s="20" t="s">
        <v>255</v>
      </c>
      <c r="Y13" s="4" t="s">
        <v>256</v>
      </c>
      <c r="Z13" s="21" t="s">
        <v>257</v>
      </c>
      <c r="AA13" s="22">
        <f t="shared" si="2"/>
        <v>1</v>
      </c>
      <c r="AB13" s="22">
        <f>IF(OR($M13="Yes",$M13="Owner"),IF(COUNTIFS($H$4:$H13,$H13,$M$4:$M13,"Yes")+COUNTIFS($H$4:$H13,$H13,$M$4:$M13,"Owner")=1,1,0),0)</f>
        <v>1</v>
      </c>
      <c r="AC13" s="21" t="s">
        <v>234</v>
      </c>
      <c r="AD13" s="21" t="str">
        <f t="shared" si="3"/>
        <v>4702</v>
      </c>
      <c r="AE13" s="23">
        <f t="shared" si="4"/>
        <v>47000</v>
      </c>
      <c r="AF13" s="23" cm="1">
        <f t="array" ref="AF13">LEFT($E13,FIND(" ",$E13)-1)*IFERROR(INDEX({1000,1000000,0.000000000001,0.000000001,0.000001},MATCH(MID($E13,FIND(" ",$E13)+1,1),{"k","M","p","n","µ"},0)),1)</f>
        <v>47000</v>
      </c>
      <c r="AG13" s="24" t="str">
        <f>IF(AND(RIGHT($E13,1)="Ω",ABS($AF13-$AE13)&lt;=Checks!$C$6*$AE13),"OK","CHECK")</f>
        <v>OK</v>
      </c>
    </row>
    <row r="14" spans="1:33" ht="27.75" customHeight="1" x14ac:dyDescent="0.2">
      <c r="A14" s="6" t="s">
        <v>150</v>
      </c>
      <c r="B14" s="4" t="s">
        <v>258</v>
      </c>
      <c r="C14" s="8">
        <v>1</v>
      </c>
      <c r="D14" s="4" t="s">
        <v>259</v>
      </c>
      <c r="E14" s="5" t="s">
        <v>260</v>
      </c>
      <c r="F14" s="5" t="s">
        <v>154</v>
      </c>
      <c r="G14" s="5" t="s">
        <v>261</v>
      </c>
      <c r="H14" s="4" t="s">
        <v>262</v>
      </c>
      <c r="I14" s="5" t="s">
        <v>263</v>
      </c>
      <c r="J14" s="4" t="s">
        <v>158</v>
      </c>
      <c r="K14" s="4" t="s">
        <v>175</v>
      </c>
      <c r="L14" s="4" t="s">
        <v>160</v>
      </c>
      <c r="M14" s="10" t="s">
        <v>177</v>
      </c>
      <c r="N14" s="10"/>
      <c r="O14" s="11">
        <v>2</v>
      </c>
      <c r="P14" s="11">
        <v>0</v>
      </c>
      <c r="Q14" s="13">
        <v>2E-3</v>
      </c>
      <c r="R14" s="14">
        <f>IF(OR($M14="Yes",$M14="Owner"),$C14*Cost!$B$6,0)</f>
        <v>5</v>
      </c>
      <c r="S14" s="16">
        <f t="shared" si="0"/>
        <v>0.01</v>
      </c>
      <c r="T14" s="4" t="s">
        <v>178</v>
      </c>
      <c r="U14" s="19"/>
      <c r="V14" s="14">
        <f>IF($M14="Owner",$R14,IF($M14&lt;&gt;"Yes",0,MAX(IF(LEFT($T14,7)="Passive",$R14+MAX(Cost!$B$8,ROUNDUP(Cost!$B$7*$R14,0)),$R14+Cost!$B$9),N($U14))))</f>
        <v>7</v>
      </c>
      <c r="W14" s="16">
        <f t="shared" si="1"/>
        <v>1.4E-2</v>
      </c>
      <c r="X14" s="20" t="s">
        <v>264</v>
      </c>
      <c r="Y14" s="4" t="s">
        <v>164</v>
      </c>
      <c r="Z14" s="21" t="s">
        <v>265</v>
      </c>
      <c r="AA14" s="22">
        <f t="shared" si="2"/>
        <v>1</v>
      </c>
      <c r="AB14" s="22">
        <f>IF(OR($M14="Yes",$M14="Owner"),IF(COUNTIFS($H$4:$H14,$H14,$M$4:$M14,"Yes")+COUNTIFS($H$4:$H14,$H14,$M$4:$M14,"Owner")=1,1,0),0)</f>
        <v>1</v>
      </c>
      <c r="AC14" s="21" t="s">
        <v>234</v>
      </c>
      <c r="AD14" s="21" t="str">
        <f t="shared" si="3"/>
        <v>0000</v>
      </c>
      <c r="AE14" s="23">
        <f t="shared" si="4"/>
        <v>0</v>
      </c>
      <c r="AF14" s="23" cm="1">
        <f t="array" ref="AF14">LEFT($E14,FIND(" ",$E14)-1)*IFERROR(INDEX({1000,1000000,0.000000000001,0.000000001,0.000001},MATCH(MID($E14,FIND(" ",$E14)+1,1),{"k","M","p","n","µ"},0)),1)</f>
        <v>0</v>
      </c>
      <c r="AG14" s="24" t="str">
        <f>IF(AND(RIGHT($E14,1)="Ω",ABS($AF14-$AE14)&lt;=Checks!$C$6*$AE14),"OK","CHECK")</f>
        <v>OK</v>
      </c>
    </row>
    <row r="15" spans="1:33" ht="40.5" customHeight="1" x14ac:dyDescent="0.2">
      <c r="A15" s="6" t="s">
        <v>150</v>
      </c>
      <c r="B15" s="4" t="s">
        <v>266</v>
      </c>
      <c r="C15" s="8">
        <v>1</v>
      </c>
      <c r="D15" s="4" t="s">
        <v>267</v>
      </c>
      <c r="E15" s="5" t="s">
        <v>244</v>
      </c>
      <c r="F15" s="5" t="s">
        <v>154</v>
      </c>
      <c r="G15" s="5" t="s">
        <v>268</v>
      </c>
      <c r="H15" s="4" t="s">
        <v>245</v>
      </c>
      <c r="I15" s="5" t="s">
        <v>246</v>
      </c>
      <c r="J15" s="4" t="s">
        <v>158</v>
      </c>
      <c r="K15" s="4" t="s">
        <v>175</v>
      </c>
      <c r="L15" s="4" t="s">
        <v>269</v>
      </c>
      <c r="M15" s="10" t="s">
        <v>177</v>
      </c>
      <c r="N15" s="10"/>
      <c r="O15" s="11">
        <v>2</v>
      </c>
      <c r="P15" s="11">
        <v>0</v>
      </c>
      <c r="Q15" s="13">
        <v>3.3E-3</v>
      </c>
      <c r="R15" s="14">
        <f>IF(OR($M15="Yes",$M15="Owner"),$C15*Cost!$B$6,0)</f>
        <v>5</v>
      </c>
      <c r="S15" s="16">
        <f t="shared" si="0"/>
        <v>1.6500000000000001E-2</v>
      </c>
      <c r="T15" s="4" t="s">
        <v>178</v>
      </c>
      <c r="U15" s="19"/>
      <c r="V15" s="14">
        <f>IF($M15="Owner",$R15,IF($M15&lt;&gt;"Yes",0,MAX(IF(LEFT($T15,7)="Passive",$R15+MAX(Cost!$B$8,ROUNDUP(Cost!$B$7*$R15,0)),$R15+Cost!$B$9),N($U15))))</f>
        <v>7</v>
      </c>
      <c r="W15" s="16">
        <f t="shared" si="1"/>
        <v>2.3099999999999999E-2</v>
      </c>
      <c r="X15" s="20" t="s">
        <v>270</v>
      </c>
      <c r="Y15" s="4" t="s">
        <v>271</v>
      </c>
      <c r="Z15" s="21" t="s">
        <v>272</v>
      </c>
      <c r="AA15" s="22">
        <f t="shared" si="2"/>
        <v>1</v>
      </c>
      <c r="AB15" s="22">
        <f>IF(OR($M15="Yes",$M15="Owner"),IF(COUNTIFS($H$4:$H15,$H15,$M$4:$M15,"Yes")+COUNTIFS($H$4:$H15,$H15,$M$4:$M15,"Owner")=1,1,0),0)</f>
        <v>0</v>
      </c>
      <c r="AC15" s="21" t="s">
        <v>234</v>
      </c>
      <c r="AD15" s="21" t="str">
        <f t="shared" si="3"/>
        <v>1003</v>
      </c>
      <c r="AE15" s="23">
        <f t="shared" si="4"/>
        <v>100000</v>
      </c>
      <c r="AF15" s="23" cm="1">
        <f t="array" ref="AF15">LEFT($E15,FIND(" ",$E15)-1)*IFERROR(INDEX({1000,1000000,0.000000000001,0.000000001,0.000001},MATCH(MID($E15,FIND(" ",$E15)+1,1),{"k","M","p","n","µ"},0)),1)</f>
        <v>100000</v>
      </c>
      <c r="AG15" s="24" t="str">
        <f>IF(AND(RIGHT($E15,1)="Ω",ABS($AF15-$AE15)&lt;=Checks!$C$6*$AE15),"OK","CHECK")</f>
        <v>OK</v>
      </c>
    </row>
    <row r="16" spans="1:33" ht="27.75" customHeight="1" x14ac:dyDescent="0.2">
      <c r="A16" s="6" t="s">
        <v>150</v>
      </c>
      <c r="B16" s="4" t="s">
        <v>273</v>
      </c>
      <c r="C16" s="8">
        <v>1</v>
      </c>
      <c r="D16" s="4" t="s">
        <v>274</v>
      </c>
      <c r="E16" s="5" t="s">
        <v>275</v>
      </c>
      <c r="F16" s="5" t="s">
        <v>154</v>
      </c>
      <c r="G16" s="5" t="s">
        <v>268</v>
      </c>
      <c r="H16" s="4" t="s">
        <v>276</v>
      </c>
      <c r="I16" s="5" t="s">
        <v>277</v>
      </c>
      <c r="J16" s="4" t="s">
        <v>278</v>
      </c>
      <c r="K16" s="4" t="s">
        <v>175</v>
      </c>
      <c r="L16" s="4" t="s">
        <v>279</v>
      </c>
      <c r="M16" s="10" t="s">
        <v>177</v>
      </c>
      <c r="N16" s="10"/>
      <c r="O16" s="11">
        <v>2</v>
      </c>
      <c r="P16" s="11">
        <v>0</v>
      </c>
      <c r="Q16" s="13">
        <v>2E-3</v>
      </c>
      <c r="R16" s="14">
        <f>IF(OR($M16="Yes",$M16="Owner"),$C16*Cost!$B$6,0)</f>
        <v>5</v>
      </c>
      <c r="S16" s="16">
        <f t="shared" si="0"/>
        <v>0.01</v>
      </c>
      <c r="T16" s="4" t="s">
        <v>178</v>
      </c>
      <c r="U16" s="19"/>
      <c r="V16" s="14">
        <f>IF($M16="Owner",$R16,IF($M16&lt;&gt;"Yes",0,MAX(IF(LEFT($T16,7)="Passive",$R16+MAX(Cost!$B$8,ROUNDUP(Cost!$B$7*$R16,0)),$R16+Cost!$B$9),N($U16))))</f>
        <v>7</v>
      </c>
      <c r="W16" s="16">
        <f t="shared" si="1"/>
        <v>1.4E-2</v>
      </c>
      <c r="X16" s="20" t="s">
        <v>280</v>
      </c>
      <c r="Y16" s="4" t="s">
        <v>281</v>
      </c>
      <c r="Z16" s="21" t="s">
        <v>282</v>
      </c>
      <c r="AA16" s="22">
        <f t="shared" si="2"/>
        <v>1</v>
      </c>
      <c r="AB16" s="22">
        <f>IF(OR($M16="Yes",$M16="Owner"),IF(COUNTIFS($H$4:$H16,$H16,$M$4:$M16,"Yes")+COUNTIFS($H$4:$H16,$H16,$M$4:$M16,"Owner")=1,1,0),0)</f>
        <v>1</v>
      </c>
      <c r="AC16" s="21" t="s">
        <v>234</v>
      </c>
      <c r="AD16" s="21" t="str">
        <f t="shared" si="3"/>
        <v>4703</v>
      </c>
      <c r="AE16" s="23">
        <f t="shared" si="4"/>
        <v>470000</v>
      </c>
      <c r="AF16" s="23" cm="1">
        <f t="array" ref="AF16">LEFT($E16,FIND(" ",$E16)-1)*IFERROR(INDEX({1000,1000000,0.000000000001,0.000000001,0.000001},MATCH(MID($E16,FIND(" ",$E16)+1,1),{"k","M","p","n","µ"},0)),1)</f>
        <v>470000</v>
      </c>
      <c r="AG16" s="24" t="str">
        <f>IF(AND(RIGHT($E16,1)="Ω",ABS($AF16-$AE16)&lt;=Checks!$C$6*$AE16),"OK","CHECK")</f>
        <v>OK</v>
      </c>
    </row>
    <row r="17" spans="1:33" ht="40.5" customHeight="1" x14ac:dyDescent="0.2">
      <c r="A17" s="6" t="s">
        <v>150</v>
      </c>
      <c r="B17" s="4" t="s">
        <v>283</v>
      </c>
      <c r="C17" s="8">
        <v>1</v>
      </c>
      <c r="D17" s="4" t="s">
        <v>284</v>
      </c>
      <c r="E17" s="5" t="s">
        <v>162</v>
      </c>
      <c r="F17" s="5" t="s">
        <v>285</v>
      </c>
      <c r="G17" s="5" t="s">
        <v>286</v>
      </c>
      <c r="H17" s="4" t="s">
        <v>287</v>
      </c>
      <c r="I17" s="5" t="s">
        <v>288</v>
      </c>
      <c r="J17" s="4" t="s">
        <v>174</v>
      </c>
      <c r="K17" s="4" t="s">
        <v>175</v>
      </c>
      <c r="L17" s="4" t="s">
        <v>160</v>
      </c>
      <c r="M17" s="10" t="s">
        <v>177</v>
      </c>
      <c r="N17" s="10"/>
      <c r="O17" s="11">
        <v>6</v>
      </c>
      <c r="P17" s="11">
        <v>0</v>
      </c>
      <c r="Q17" s="13">
        <v>0.18440000000000001</v>
      </c>
      <c r="R17" s="14">
        <f>IF(OR($M17="Yes",$M17="Owner"),$C17*Cost!$B$6,0)</f>
        <v>5</v>
      </c>
      <c r="S17" s="16">
        <f t="shared" si="0"/>
        <v>0.92200000000000004</v>
      </c>
      <c r="T17" s="4" t="s">
        <v>222</v>
      </c>
      <c r="U17" s="19"/>
      <c r="V17" s="14">
        <f>IF($M17="Owner",$R17,IF($M17&lt;&gt;"Yes",0,MAX(IF(LEFT($T17,7)="Passive",$R17+MAX(Cost!$B$8,ROUNDUP(Cost!$B$7*$R17,0)),$R17+Cost!$B$9),N($U17))))</f>
        <v>6</v>
      </c>
      <c r="W17" s="16">
        <f t="shared" si="1"/>
        <v>1.1064000000000001</v>
      </c>
      <c r="X17" s="20" t="s">
        <v>289</v>
      </c>
      <c r="Y17" s="4" t="s">
        <v>290</v>
      </c>
      <c r="Z17" s="21" t="s">
        <v>291</v>
      </c>
      <c r="AA17" s="22">
        <f t="shared" si="2"/>
        <v>1</v>
      </c>
      <c r="AB17" s="22">
        <f>IF(OR($M17="Yes",$M17="Owner"),IF(COUNTIFS($H$4:$H17,$H17,$M$4:$M17,"Yes")+COUNTIFS($H$4:$H17,$H17,$M$4:$M17,"Owner")=1,1,0),0)</f>
        <v>1</v>
      </c>
      <c r="AC17" s="21"/>
      <c r="AD17" s="21"/>
      <c r="AE17" s="23"/>
      <c r="AF17" s="23"/>
      <c r="AG17" s="24"/>
    </row>
    <row r="18" spans="1:33" ht="40.5" customHeight="1" x14ac:dyDescent="0.2">
      <c r="A18" s="6" t="s">
        <v>150</v>
      </c>
      <c r="B18" s="4" t="s">
        <v>292</v>
      </c>
      <c r="C18" s="8">
        <v>1</v>
      </c>
      <c r="D18" s="4" t="s">
        <v>293</v>
      </c>
      <c r="E18" s="5" t="s">
        <v>162</v>
      </c>
      <c r="F18" s="5" t="s">
        <v>294</v>
      </c>
      <c r="G18" s="5" t="s">
        <v>295</v>
      </c>
      <c r="H18" s="4" t="s">
        <v>296</v>
      </c>
      <c r="I18" s="5" t="s">
        <v>297</v>
      </c>
      <c r="J18" s="4" t="s">
        <v>174</v>
      </c>
      <c r="K18" s="4" t="s">
        <v>175</v>
      </c>
      <c r="L18" s="4" t="s">
        <v>298</v>
      </c>
      <c r="M18" s="10" t="s">
        <v>177</v>
      </c>
      <c r="N18" s="10" t="s">
        <v>177</v>
      </c>
      <c r="O18" s="11">
        <v>7</v>
      </c>
      <c r="P18" s="11">
        <v>0</v>
      </c>
      <c r="Q18" s="13">
        <v>0.44</v>
      </c>
      <c r="R18" s="14">
        <f>IF(OR($M18="Yes",$M18="Owner"),$C18*Cost!$B$6,0)</f>
        <v>5</v>
      </c>
      <c r="S18" s="16">
        <f t="shared" si="0"/>
        <v>2.2000000000000002</v>
      </c>
      <c r="T18" s="4" t="s">
        <v>222</v>
      </c>
      <c r="U18" s="19"/>
      <c r="V18" s="14">
        <f>IF($M18="Owner",$R18,IF($M18&lt;&gt;"Yes",0,MAX(IF(LEFT($T18,7)="Passive",$R18+MAX(Cost!$B$8,ROUNDUP(Cost!$B$7*$R18,0)),$R18+Cost!$B$9),N($U18))))</f>
        <v>6</v>
      </c>
      <c r="W18" s="16">
        <f t="shared" si="1"/>
        <v>2.64</v>
      </c>
      <c r="X18" s="20" t="s">
        <v>299</v>
      </c>
      <c r="Y18" s="4" t="s">
        <v>300</v>
      </c>
      <c r="Z18" s="21" t="s">
        <v>301</v>
      </c>
      <c r="AA18" s="22">
        <f t="shared" si="2"/>
        <v>1</v>
      </c>
      <c r="AB18" s="22">
        <f>IF(OR($M18="Yes",$M18="Owner"),IF(COUNTIFS($H$4:$H18,$H18,$M$4:$M18,"Yes")+COUNTIFS($H$4:$H18,$H18,$M$4:$M18,"Owner")=1,1,0),0)</f>
        <v>1</v>
      </c>
      <c r="AC18" s="21"/>
      <c r="AD18" s="21"/>
      <c r="AE18" s="23"/>
      <c r="AF18" s="23"/>
      <c r="AG18" s="24"/>
    </row>
    <row r="19" spans="1:33" ht="27.75" customHeight="1" x14ac:dyDescent="0.2">
      <c r="A19" s="6" t="s">
        <v>150</v>
      </c>
      <c r="B19" s="4" t="s">
        <v>302</v>
      </c>
      <c r="C19" s="8">
        <v>1</v>
      </c>
      <c r="D19" s="4" t="s">
        <v>303</v>
      </c>
      <c r="E19" s="5" t="s">
        <v>162</v>
      </c>
      <c r="F19" s="5" t="s">
        <v>304</v>
      </c>
      <c r="G19" s="5" t="s">
        <v>305</v>
      </c>
      <c r="H19" s="4" t="s">
        <v>306</v>
      </c>
      <c r="I19" s="5" t="s">
        <v>307</v>
      </c>
      <c r="J19" s="4" t="s">
        <v>308</v>
      </c>
      <c r="K19" s="4" t="s">
        <v>175</v>
      </c>
      <c r="L19" s="4" t="s">
        <v>309</v>
      </c>
      <c r="M19" s="10" t="s">
        <v>177</v>
      </c>
      <c r="N19" s="10"/>
      <c r="O19" s="11">
        <v>5</v>
      </c>
      <c r="P19" s="11">
        <v>0</v>
      </c>
      <c r="Q19" s="13">
        <v>0.22</v>
      </c>
      <c r="R19" s="14">
        <f>IF(OR($M19="Yes",$M19="Owner"),$C19*Cost!$B$6,0)</f>
        <v>5</v>
      </c>
      <c r="S19" s="16">
        <f t="shared" si="0"/>
        <v>1.1000000000000001</v>
      </c>
      <c r="T19" s="4" t="s">
        <v>222</v>
      </c>
      <c r="U19" s="19"/>
      <c r="V19" s="14">
        <f>IF($M19="Owner",$R19,IF($M19&lt;&gt;"Yes",0,MAX(IF(LEFT($T19,7)="Passive",$R19+MAX(Cost!$B$8,ROUNDUP(Cost!$B$7*$R19,0)),$R19+Cost!$B$9),N($U19))))</f>
        <v>6</v>
      </c>
      <c r="W19" s="16">
        <f t="shared" si="1"/>
        <v>1.32</v>
      </c>
      <c r="X19" s="20" t="s">
        <v>310</v>
      </c>
      <c r="Y19" s="4" t="s">
        <v>311</v>
      </c>
      <c r="Z19" s="21" t="s">
        <v>312</v>
      </c>
      <c r="AA19" s="22">
        <f t="shared" si="2"/>
        <v>1</v>
      </c>
      <c r="AB19" s="22">
        <f>IF(OR($M19="Yes",$M19="Owner"),IF(COUNTIFS($H$4:$H19,$H19,$M$4:$M19,"Yes")+COUNTIFS($H$4:$H19,$H19,$M$4:$M19,"Owner")=1,1,0),0)</f>
        <v>1</v>
      </c>
      <c r="AC19" s="21"/>
      <c r="AD19" s="21"/>
      <c r="AE19" s="23"/>
      <c r="AF19" s="23"/>
      <c r="AG19" s="24"/>
    </row>
    <row r="20" spans="1:33" ht="27.75" customHeight="1" x14ac:dyDescent="0.2">
      <c r="A20" s="7" t="s">
        <v>313</v>
      </c>
      <c r="B20" s="4" t="s">
        <v>314</v>
      </c>
      <c r="C20" s="8">
        <v>2</v>
      </c>
      <c r="D20" s="4" t="s">
        <v>315</v>
      </c>
      <c r="E20" s="5" t="s">
        <v>316</v>
      </c>
      <c r="F20" s="5" t="s">
        <v>154</v>
      </c>
      <c r="G20" s="5" t="s">
        <v>317</v>
      </c>
      <c r="H20" s="4" t="s">
        <v>318</v>
      </c>
      <c r="I20" s="5" t="s">
        <v>319</v>
      </c>
      <c r="J20" s="4" t="s">
        <v>158</v>
      </c>
      <c r="K20" s="4" t="s">
        <v>175</v>
      </c>
      <c r="L20" s="4" t="s">
        <v>188</v>
      </c>
      <c r="M20" s="10" t="s">
        <v>177</v>
      </c>
      <c r="N20" s="10"/>
      <c r="O20" s="11">
        <v>2</v>
      </c>
      <c r="P20" s="11">
        <v>0</v>
      </c>
      <c r="Q20" s="13">
        <v>2E-3</v>
      </c>
      <c r="R20" s="14">
        <f>IF(OR($M20="Yes",$M20="Owner"),$C20*Cost!$B$6,0)</f>
        <v>10</v>
      </c>
      <c r="S20" s="16">
        <f t="shared" si="0"/>
        <v>0.02</v>
      </c>
      <c r="T20" s="4" t="s">
        <v>178</v>
      </c>
      <c r="U20" s="19"/>
      <c r="V20" s="14">
        <f>IF($M20="Owner",$R20,IF($M20&lt;&gt;"Yes",0,MAX(IF(LEFT($T20,7)="Passive",$R20+MAX(Cost!$B$8,ROUNDUP(Cost!$B$7*$R20,0)),$R20+Cost!$B$9),N($U20))))</f>
        <v>12</v>
      </c>
      <c r="W20" s="16">
        <f t="shared" si="1"/>
        <v>2.4E-2</v>
      </c>
      <c r="X20" s="20" t="s">
        <v>320</v>
      </c>
      <c r="Y20" s="4" t="s">
        <v>321</v>
      </c>
      <c r="Z20" s="21" t="s">
        <v>322</v>
      </c>
      <c r="AA20" s="22">
        <f t="shared" si="2"/>
        <v>2</v>
      </c>
      <c r="AB20" s="22">
        <f>IF(OR($M20="Yes",$M20="Owner"),IF(COUNTIFS($H$4:$H20,$H20,$M$4:$M20,"Yes")+COUNTIFS($H$4:$H20,$H20,$M$4:$M20,"Owner")=1,1,0),0)</f>
        <v>1</v>
      </c>
      <c r="AC20" s="21" t="s">
        <v>166</v>
      </c>
      <c r="AD20" s="21" t="str">
        <f>IF(ISNUMBER(FIND("CG",$H20)),MID($H20,FIND("CG",$H20)+2,3),MID($H20,FIND(" 0",$H20)+6,3))</f>
        <v>330</v>
      </c>
      <c r="AE20" s="23">
        <f>IF(ISNUMBER(FIND("R",$AD20)),SUBSTITUTE($AD20,"R",".")*1,LEFT($AD20,2)*10^RIGHT($AD20,1))*10^-12</f>
        <v>3.3000000000000002E-11</v>
      </c>
      <c r="AF20" s="23" cm="1">
        <f t="array" ref="AF20">LEFT($E20,FIND(" ",$E20)-1)*IFERROR(INDEX({1000,1000000,0.000000000001,0.000000001,0.000001},MATCH(MID($E20,FIND(" ",$E20)+1,1),{"k","M","p","n","µ"},0)),1)</f>
        <v>3.3000000000000002E-11</v>
      </c>
      <c r="AG20" s="24" t="str">
        <f>IF(AND(RIGHT($E20,1)="F",ABS($AF20-$AE20)&lt;=Checks!$C$6*$AE20),"OK","CHECK")</f>
        <v>OK</v>
      </c>
    </row>
    <row r="21" spans="1:33" ht="40.5" customHeight="1" x14ac:dyDescent="0.2">
      <c r="A21" s="6" t="s">
        <v>313</v>
      </c>
      <c r="B21" s="4" t="s">
        <v>323</v>
      </c>
      <c r="C21" s="8">
        <v>17</v>
      </c>
      <c r="D21" s="4" t="s">
        <v>324</v>
      </c>
      <c r="E21" s="5" t="s">
        <v>194</v>
      </c>
      <c r="F21" s="5" t="s">
        <v>154</v>
      </c>
      <c r="G21" s="5" t="s">
        <v>325</v>
      </c>
      <c r="H21" s="4" t="s">
        <v>196</v>
      </c>
      <c r="I21" s="5" t="s">
        <v>197</v>
      </c>
      <c r="J21" s="4" t="s">
        <v>158</v>
      </c>
      <c r="K21" s="4" t="s">
        <v>175</v>
      </c>
      <c r="L21" s="4" t="s">
        <v>188</v>
      </c>
      <c r="M21" s="10" t="s">
        <v>177</v>
      </c>
      <c r="N21" s="10"/>
      <c r="O21" s="11">
        <v>2</v>
      </c>
      <c r="P21" s="11">
        <v>0</v>
      </c>
      <c r="Q21" s="13">
        <v>4.4999999999999997E-3</v>
      </c>
      <c r="R21" s="14">
        <f>IF(OR($M21="Yes",$M21="Owner"),$C21*Cost!$B$6,0)</f>
        <v>85</v>
      </c>
      <c r="S21" s="16">
        <f t="shared" si="0"/>
        <v>0.38249999999999995</v>
      </c>
      <c r="T21" s="4" t="s">
        <v>178</v>
      </c>
      <c r="U21" s="19"/>
      <c r="V21" s="14">
        <f>IF($M21="Owner",$R21,IF($M21&lt;&gt;"Yes",0,MAX(IF(LEFT($T21,7)="Passive",$R21+MAX(Cost!$B$8,ROUNDUP(Cost!$B$7*$R21,0)),$R21+Cost!$B$9),N($U21))))</f>
        <v>90</v>
      </c>
      <c r="W21" s="16">
        <f t="shared" si="1"/>
        <v>0.40499999999999997</v>
      </c>
      <c r="X21" s="20" t="s">
        <v>198</v>
      </c>
      <c r="Y21" s="4" t="s">
        <v>326</v>
      </c>
      <c r="Z21" s="21" t="s">
        <v>327</v>
      </c>
      <c r="AA21" s="22">
        <f t="shared" si="2"/>
        <v>17</v>
      </c>
      <c r="AB21" s="22">
        <f>IF(OR($M21="Yes",$M21="Owner"),IF(COUNTIFS($H$4:$H21,$H21,$M$4:$M21,"Yes")+COUNTIFS($H$4:$H21,$H21,$M$4:$M21,"Owner")=1,1,0),0)</f>
        <v>0</v>
      </c>
      <c r="AC21" s="21" t="s">
        <v>181</v>
      </c>
      <c r="AD21" s="21" t="str">
        <f>MID($H21,FIND("CL",$H21)+5,3)</f>
        <v>104</v>
      </c>
      <c r="AE21" s="23">
        <f>IF(ISNUMBER(FIND("R",$AD21)),SUBSTITUTE($AD21,"R",".")*1,LEFT($AD21,2)*10^RIGHT($AD21,1))*10^-12</f>
        <v>9.9999999999999995E-8</v>
      </c>
      <c r="AF21" s="23" cm="1">
        <f t="array" ref="AF21">LEFT($E21,FIND(" ",$E21)-1)*IFERROR(INDEX({1000,1000000,0.000000000001,0.000000001,0.000001},MATCH(MID($E21,FIND(" ",$E21)+1,1),{"k","M","p","n","µ"},0)),1)</f>
        <v>1.0000000000000001E-7</v>
      </c>
      <c r="AG21" s="24" t="str">
        <f>IF(AND(RIGHT($E21,1)="F",ABS($AF21-$AE21)&lt;=Checks!$C$6*$AE21),"OK","CHECK")</f>
        <v>OK</v>
      </c>
    </row>
    <row r="22" spans="1:33" ht="27.75" customHeight="1" x14ac:dyDescent="0.2">
      <c r="A22" s="6" t="s">
        <v>313</v>
      </c>
      <c r="B22" s="4" t="s">
        <v>328</v>
      </c>
      <c r="C22" s="8">
        <v>1</v>
      </c>
      <c r="D22" s="4" t="s">
        <v>329</v>
      </c>
      <c r="E22" s="5" t="s">
        <v>169</v>
      </c>
      <c r="F22" s="5" t="s">
        <v>154</v>
      </c>
      <c r="G22" s="5" t="s">
        <v>330</v>
      </c>
      <c r="H22" s="4" t="s">
        <v>331</v>
      </c>
      <c r="I22" s="5" t="s">
        <v>332</v>
      </c>
      <c r="J22" s="4" t="s">
        <v>158</v>
      </c>
      <c r="K22" s="4" t="s">
        <v>175</v>
      </c>
      <c r="L22" s="4" t="s">
        <v>188</v>
      </c>
      <c r="M22" s="10" t="s">
        <v>177</v>
      </c>
      <c r="N22" s="10"/>
      <c r="O22" s="11">
        <v>2</v>
      </c>
      <c r="P22" s="11">
        <v>0</v>
      </c>
      <c r="Q22" s="13">
        <v>5.0000000000000001E-3</v>
      </c>
      <c r="R22" s="14">
        <f>IF(OR($M22="Yes",$M22="Owner"),$C22*Cost!$B$6,0)</f>
        <v>5</v>
      </c>
      <c r="S22" s="16">
        <f t="shared" si="0"/>
        <v>2.5000000000000001E-2</v>
      </c>
      <c r="T22" s="4" t="s">
        <v>178</v>
      </c>
      <c r="U22" s="19"/>
      <c r="V22" s="14">
        <f>IF($M22="Owner",$R22,IF($M22&lt;&gt;"Yes",0,MAX(IF(LEFT($T22,7)="Passive",$R22+MAX(Cost!$B$8,ROUNDUP(Cost!$B$7*$R22,0)),$R22+Cost!$B$9),N($U22))))</f>
        <v>7</v>
      </c>
      <c r="W22" s="16">
        <f t="shared" si="1"/>
        <v>3.5000000000000003E-2</v>
      </c>
      <c r="X22" s="20" t="s">
        <v>333</v>
      </c>
      <c r="Y22" s="4" t="s">
        <v>334</v>
      </c>
      <c r="Z22" s="21" t="s">
        <v>335</v>
      </c>
      <c r="AA22" s="22">
        <f t="shared" si="2"/>
        <v>1</v>
      </c>
      <c r="AB22" s="22">
        <f>IF(OR($M22="Yes",$M22="Owner"),IF(COUNTIFS($H$4:$H22,$H22,$M$4:$M22,"Yes")+COUNTIFS($H$4:$H22,$H22,$M$4:$M22,"Owner")=1,1,0),0)</f>
        <v>1</v>
      </c>
      <c r="AC22" s="21" t="s">
        <v>181</v>
      </c>
      <c r="AD22" s="21" t="str">
        <f>MID($H22,FIND("CL",$H22)+5,3)</f>
        <v>225</v>
      </c>
      <c r="AE22" s="23">
        <f>IF(ISNUMBER(FIND("R",$AD22)),SUBSTITUTE($AD22,"R",".")*1,LEFT($AD22,2)*10^RIGHT($AD22,1))*10^-12</f>
        <v>2.2000000000000001E-6</v>
      </c>
      <c r="AF22" s="23" cm="1">
        <f t="array" ref="AF22">LEFT($E22,FIND(" ",$E22)-1)*IFERROR(INDEX({1000,1000000,0.000000000001,0.000000001,0.000001},MATCH(MID($E22,FIND(" ",$E22)+1,1),{"k","M","p","n","µ"},0)),1)</f>
        <v>2.2000000000000001E-6</v>
      </c>
      <c r="AG22" s="24" t="str">
        <f>IF(AND(RIGHT($E22,1)="F",ABS($AF22-$AE22)&lt;=Checks!$C$6*$AE22),"OK","CHECK")</f>
        <v>OK</v>
      </c>
    </row>
    <row r="23" spans="1:33" ht="40.5" customHeight="1" x14ac:dyDescent="0.2">
      <c r="A23" s="6" t="s">
        <v>313</v>
      </c>
      <c r="B23" s="4" t="s">
        <v>336</v>
      </c>
      <c r="C23" s="8">
        <v>1</v>
      </c>
      <c r="D23" s="4" t="s">
        <v>337</v>
      </c>
      <c r="E23" s="5" t="s">
        <v>338</v>
      </c>
      <c r="F23" s="5" t="s">
        <v>154</v>
      </c>
      <c r="G23" s="5" t="s">
        <v>155</v>
      </c>
      <c r="H23" s="4" t="s">
        <v>339</v>
      </c>
      <c r="I23" s="5" t="s">
        <v>340</v>
      </c>
      <c r="J23" s="4" t="s">
        <v>158</v>
      </c>
      <c r="K23" s="4" t="s">
        <v>175</v>
      </c>
      <c r="L23" s="4" t="s">
        <v>188</v>
      </c>
      <c r="M23" s="10" t="s">
        <v>177</v>
      </c>
      <c r="N23" s="10"/>
      <c r="O23" s="11">
        <v>2</v>
      </c>
      <c r="P23" s="11">
        <v>0</v>
      </c>
      <c r="Q23" s="13">
        <v>2E-3</v>
      </c>
      <c r="R23" s="14">
        <f>IF(OR($M23="Yes",$M23="Owner"),$C23*Cost!$B$6,0)</f>
        <v>5</v>
      </c>
      <c r="S23" s="16">
        <f t="shared" si="0"/>
        <v>0.01</v>
      </c>
      <c r="T23" s="4" t="s">
        <v>178</v>
      </c>
      <c r="U23" s="19"/>
      <c r="V23" s="14">
        <f>IF($M23="Owner",$R23,IF($M23&lt;&gt;"Yes",0,MAX(IF(LEFT($T23,7)="Passive",$R23+MAX(Cost!$B$8,ROUNDUP(Cost!$B$7*$R23,0)),$R23+Cost!$B$9),N($U23))))</f>
        <v>7</v>
      </c>
      <c r="W23" s="16">
        <f t="shared" si="1"/>
        <v>1.4E-2</v>
      </c>
      <c r="X23" s="20" t="s">
        <v>341</v>
      </c>
      <c r="Y23" s="4" t="s">
        <v>342</v>
      </c>
      <c r="Z23" s="21" t="s">
        <v>343</v>
      </c>
      <c r="AA23" s="22">
        <f t="shared" si="2"/>
        <v>1</v>
      </c>
      <c r="AB23" s="22">
        <f>IF(OR($M23="Yes",$M23="Owner"),IF(COUNTIFS($H$4:$H23,$H23,$M$4:$M23,"Yes")+COUNTIFS($H$4:$H23,$H23,$M$4:$M23,"Owner")=1,1,0),0)</f>
        <v>1</v>
      </c>
      <c r="AC23" s="21" t="s">
        <v>181</v>
      </c>
      <c r="AD23" s="21" t="str">
        <f>MID($H23,FIND("CL",$H23)+5,3)</f>
        <v>103</v>
      </c>
      <c r="AE23" s="23">
        <f>IF(ISNUMBER(FIND("R",$AD23)),SUBSTITUTE($AD23,"R",".")*1,LEFT($AD23,2)*10^RIGHT($AD23,1))*10^-12</f>
        <v>1E-8</v>
      </c>
      <c r="AF23" s="23" cm="1">
        <f t="array" ref="AF23">LEFT($E23,FIND(" ",$E23)-1)*IFERROR(INDEX({1000,1000000,0.000000000001,0.000000001,0.000001},MATCH(MID($E23,FIND(" ",$E23)+1,1),{"k","M","p","n","µ"},0)),1)</f>
        <v>1E-8</v>
      </c>
      <c r="AG23" s="24" t="str">
        <f>IF(AND(RIGHT($E23,1)="F",ABS($AF23-$AE23)&lt;=Checks!$C$6*$AE23),"OK","CHECK")</f>
        <v>OK</v>
      </c>
    </row>
    <row r="24" spans="1:33" ht="27.75" customHeight="1" x14ac:dyDescent="0.2">
      <c r="A24" s="6" t="s">
        <v>313</v>
      </c>
      <c r="B24" s="4" t="s">
        <v>344</v>
      </c>
      <c r="C24" s="8">
        <v>2</v>
      </c>
      <c r="D24" s="4" t="s">
        <v>345</v>
      </c>
      <c r="E24" s="5" t="s">
        <v>346</v>
      </c>
      <c r="F24" s="5" t="s">
        <v>347</v>
      </c>
      <c r="G24" s="5" t="s">
        <v>348</v>
      </c>
      <c r="H24" s="4" t="s">
        <v>349</v>
      </c>
      <c r="I24" s="5" t="s">
        <v>350</v>
      </c>
      <c r="J24" s="4" t="s">
        <v>158</v>
      </c>
      <c r="K24" s="4" t="s">
        <v>175</v>
      </c>
      <c r="L24" s="4" t="s">
        <v>188</v>
      </c>
      <c r="M24" s="10" t="s">
        <v>177</v>
      </c>
      <c r="N24" s="10"/>
      <c r="O24" s="11">
        <v>2</v>
      </c>
      <c r="P24" s="11">
        <v>0</v>
      </c>
      <c r="Q24" s="13">
        <v>6.0000000000000001E-3</v>
      </c>
      <c r="R24" s="14">
        <f>IF(OR($M24="Yes",$M24="Owner"),$C24*Cost!$B$6,0)</f>
        <v>10</v>
      </c>
      <c r="S24" s="16">
        <f t="shared" si="0"/>
        <v>0.06</v>
      </c>
      <c r="T24" s="4" t="s">
        <v>178</v>
      </c>
      <c r="U24" s="19"/>
      <c r="V24" s="14">
        <f>IF($M24="Owner",$R24,IF($M24&lt;&gt;"Yes",0,MAX(IF(LEFT($T24,7)="Passive",$R24+MAX(Cost!$B$8,ROUNDUP(Cost!$B$7*$R24,0)),$R24+Cost!$B$9),N($U24))))</f>
        <v>12</v>
      </c>
      <c r="W24" s="16">
        <f t="shared" si="1"/>
        <v>7.2000000000000008E-2</v>
      </c>
      <c r="X24" s="20" t="s">
        <v>351</v>
      </c>
      <c r="Y24" s="4"/>
      <c r="Z24" s="21" t="s">
        <v>352</v>
      </c>
      <c r="AA24" s="22">
        <f t="shared" si="2"/>
        <v>2</v>
      </c>
      <c r="AB24" s="22">
        <f>IF(OR($M24="Yes",$M24="Owner"),IF(COUNTIFS($H$4:$H24,$H24,$M$4:$M24,"Yes")+COUNTIFS($H$4:$H24,$H24,$M$4:$M24,"Owner")=1,1,0),0)</f>
        <v>1</v>
      </c>
      <c r="AC24" s="21" t="s">
        <v>181</v>
      </c>
      <c r="AD24" s="21" t="str">
        <f>MID($H24,FIND("CL",$H24)+5,3)</f>
        <v>105</v>
      </c>
      <c r="AE24" s="23">
        <f>IF(ISNUMBER(FIND("R",$AD24)),SUBSTITUTE($AD24,"R",".")*1,LEFT($AD24,2)*10^RIGHT($AD24,1))*10^-12</f>
        <v>9.9999999999999995E-7</v>
      </c>
      <c r="AF24" s="23" cm="1">
        <f t="array" ref="AF24">LEFT($E24,FIND(" ",$E24)-1)*IFERROR(INDEX({1000,1000000,0.000000000001,0.000000001,0.000001},MATCH(MID($E24,FIND(" ",$E24)+1,1),{"k","M","p","n","µ"},0)),1)</f>
        <v>9.9999999999999995E-7</v>
      </c>
      <c r="AG24" s="24" t="str">
        <f>IF(AND(RIGHT($E24,1)="F",ABS($AF24-$AE24)&lt;=Checks!$C$6*$AE24),"OK","CHECK")</f>
        <v>OK</v>
      </c>
    </row>
    <row r="25" spans="1:33" ht="27.75" customHeight="1" x14ac:dyDescent="0.2">
      <c r="A25" s="6" t="s">
        <v>313</v>
      </c>
      <c r="B25" s="4" t="s">
        <v>353</v>
      </c>
      <c r="C25" s="8">
        <v>1</v>
      </c>
      <c r="D25" s="4" t="s">
        <v>354</v>
      </c>
      <c r="E25" s="5" t="s">
        <v>355</v>
      </c>
      <c r="F25" s="5" t="s">
        <v>347</v>
      </c>
      <c r="G25" s="5" t="s">
        <v>356</v>
      </c>
      <c r="H25" s="4" t="s">
        <v>357</v>
      </c>
      <c r="I25" s="5" t="s">
        <v>358</v>
      </c>
      <c r="J25" s="4" t="s">
        <v>158</v>
      </c>
      <c r="K25" s="4" t="s">
        <v>175</v>
      </c>
      <c r="L25" s="4" t="s">
        <v>188</v>
      </c>
      <c r="M25" s="10" t="s">
        <v>177</v>
      </c>
      <c r="N25" s="10"/>
      <c r="O25" s="11">
        <v>2</v>
      </c>
      <c r="P25" s="11">
        <v>0</v>
      </c>
      <c r="Q25" s="13">
        <v>1.2699999999999999E-2</v>
      </c>
      <c r="R25" s="14">
        <f>IF(OR($M25="Yes",$M25="Owner"),$C25*Cost!$B$6,0)</f>
        <v>5</v>
      </c>
      <c r="S25" s="16">
        <f t="shared" si="0"/>
        <v>6.3500000000000001E-2</v>
      </c>
      <c r="T25" s="4" t="s">
        <v>178</v>
      </c>
      <c r="U25" s="19"/>
      <c r="V25" s="14">
        <f>IF($M25="Owner",$R25,IF($M25&lt;&gt;"Yes",0,MAX(IF(LEFT($T25,7)="Passive",$R25+MAX(Cost!$B$8,ROUNDUP(Cost!$B$7*$R25,0)),$R25+Cost!$B$9),N($U25))))</f>
        <v>7</v>
      </c>
      <c r="W25" s="16">
        <f t="shared" si="1"/>
        <v>8.8899999999999993E-2</v>
      </c>
      <c r="X25" s="20" t="s">
        <v>359</v>
      </c>
      <c r="Y25" s="4" t="s">
        <v>360</v>
      </c>
      <c r="Z25" s="21" t="s">
        <v>361</v>
      </c>
      <c r="AA25" s="22">
        <f t="shared" si="2"/>
        <v>1</v>
      </c>
      <c r="AB25" s="22">
        <f>IF(OR($M25="Yes",$M25="Owner"),IF(COUNTIFS($H$4:$H25,$H25,$M$4:$M25,"Yes")+COUNTIFS($H$4:$H25,$H25,$M$4:$M25,"Owner")=1,1,0),0)</f>
        <v>1</v>
      </c>
      <c r="AC25" s="21"/>
      <c r="AD25" s="21"/>
      <c r="AE25" s="23"/>
      <c r="AF25" s="23"/>
      <c r="AG25" s="24"/>
    </row>
    <row r="26" spans="1:33" ht="40.5" customHeight="1" x14ac:dyDescent="0.2">
      <c r="A26" s="6" t="s">
        <v>313</v>
      </c>
      <c r="B26" s="4" t="s">
        <v>362</v>
      </c>
      <c r="C26" s="8">
        <v>1</v>
      </c>
      <c r="D26" s="4" t="s">
        <v>363</v>
      </c>
      <c r="E26" s="5" t="s">
        <v>162</v>
      </c>
      <c r="F26" s="5" t="s">
        <v>364</v>
      </c>
      <c r="G26" s="5" t="s">
        <v>162</v>
      </c>
      <c r="H26" s="4" t="s">
        <v>365</v>
      </c>
      <c r="I26" s="5" t="s">
        <v>162</v>
      </c>
      <c r="J26" s="4" t="s">
        <v>162</v>
      </c>
      <c r="K26" s="4" t="s">
        <v>366</v>
      </c>
      <c r="L26" s="4" t="s">
        <v>162</v>
      </c>
      <c r="M26" s="10" t="s">
        <v>367</v>
      </c>
      <c r="N26" s="10"/>
      <c r="O26" s="11">
        <v>0</v>
      </c>
      <c r="P26" s="11">
        <v>0</v>
      </c>
      <c r="Q26" s="13">
        <v>0</v>
      </c>
      <c r="R26" s="14">
        <f>IF(OR($M26="Yes",$M26="Owner"),$C26*Cost!$B$6,0)</f>
        <v>0</v>
      </c>
      <c r="S26" s="16">
        <f t="shared" si="0"/>
        <v>0</v>
      </c>
      <c r="T26" s="4" t="s">
        <v>162</v>
      </c>
      <c r="U26" s="19"/>
      <c r="V26" s="14">
        <f>IF($M26="Owner",$R26,IF($M26&lt;&gt;"Yes",0,MAX(IF(LEFT($T26,7)="Passive",$R26+MAX(Cost!$B$8,ROUNDUP(Cost!$B$7*$R26,0)),$R26+Cost!$B$9),N($U26))))</f>
        <v>0</v>
      </c>
      <c r="W26" s="16">
        <f t="shared" si="1"/>
        <v>0</v>
      </c>
      <c r="X26" s="20"/>
      <c r="Y26" s="4" t="s">
        <v>368</v>
      </c>
      <c r="Z26" s="21" t="s">
        <v>369</v>
      </c>
      <c r="AA26" s="22">
        <f t="shared" si="2"/>
        <v>1</v>
      </c>
      <c r="AB26" s="22">
        <f>IF(OR($M26="Yes",$M26="Owner"),IF(COUNTIFS($H$4:$H26,$H26,$M$4:$M26,"Yes")+COUNTIFS($H$4:$H26,$H26,$M$4:$M26,"Owner")=1,1,0),0)</f>
        <v>0</v>
      </c>
      <c r="AC26" s="21"/>
      <c r="AD26" s="21"/>
      <c r="AE26" s="23"/>
      <c r="AF26" s="23"/>
      <c r="AG26" s="24"/>
    </row>
    <row r="27" spans="1:33" ht="27.75" customHeight="1" x14ac:dyDescent="0.2">
      <c r="A27" s="6" t="s">
        <v>313</v>
      </c>
      <c r="B27" s="4" t="s">
        <v>370</v>
      </c>
      <c r="C27" s="8">
        <v>1</v>
      </c>
      <c r="D27" s="4" t="s">
        <v>371</v>
      </c>
      <c r="E27" s="5" t="s">
        <v>162</v>
      </c>
      <c r="F27" s="5" t="s">
        <v>372</v>
      </c>
      <c r="G27" s="5" t="s">
        <v>162</v>
      </c>
      <c r="H27" s="4" t="s">
        <v>365</v>
      </c>
      <c r="I27" s="5" t="s">
        <v>162</v>
      </c>
      <c r="J27" s="4" t="s">
        <v>162</v>
      </c>
      <c r="K27" s="4" t="s">
        <v>366</v>
      </c>
      <c r="L27" s="4" t="s">
        <v>162</v>
      </c>
      <c r="M27" s="10" t="s">
        <v>367</v>
      </c>
      <c r="N27" s="10"/>
      <c r="O27" s="11">
        <v>0</v>
      </c>
      <c r="P27" s="11">
        <v>0</v>
      </c>
      <c r="Q27" s="13">
        <v>0</v>
      </c>
      <c r="R27" s="14">
        <f>IF(OR($M27="Yes",$M27="Owner"),$C27*Cost!$B$6,0)</f>
        <v>0</v>
      </c>
      <c r="S27" s="16">
        <f t="shared" si="0"/>
        <v>0</v>
      </c>
      <c r="T27" s="4" t="s">
        <v>162</v>
      </c>
      <c r="U27" s="19"/>
      <c r="V27" s="14">
        <f>IF($M27="Owner",$R27,IF($M27&lt;&gt;"Yes",0,MAX(IF(LEFT($T27,7)="Passive",$R27+MAX(Cost!$B$8,ROUNDUP(Cost!$B$7*$R27,0)),$R27+Cost!$B$9),N($U27))))</f>
        <v>0</v>
      </c>
      <c r="W27" s="16">
        <f t="shared" si="1"/>
        <v>0</v>
      </c>
      <c r="X27" s="20"/>
      <c r="Y27" s="4" t="s">
        <v>373</v>
      </c>
      <c r="Z27" s="21" t="s">
        <v>374</v>
      </c>
      <c r="AA27" s="22">
        <f t="shared" si="2"/>
        <v>1</v>
      </c>
      <c r="AB27" s="22">
        <f>IF(OR($M27="Yes",$M27="Owner"),IF(COUNTIFS($H$4:$H27,$H27,$M$4:$M27,"Yes")+COUNTIFS($H$4:$H27,$H27,$M$4:$M27,"Owner")=1,1,0),0)</f>
        <v>0</v>
      </c>
      <c r="AC27" s="21"/>
      <c r="AD27" s="21"/>
      <c r="AE27" s="23"/>
      <c r="AF27" s="23"/>
      <c r="AG27" s="24"/>
    </row>
    <row r="28" spans="1:33" ht="27.75" customHeight="1" x14ac:dyDescent="0.2">
      <c r="A28" s="6" t="s">
        <v>313</v>
      </c>
      <c r="B28" s="4" t="s">
        <v>375</v>
      </c>
      <c r="C28" s="8">
        <v>1</v>
      </c>
      <c r="D28" s="4" t="s">
        <v>376</v>
      </c>
      <c r="E28" s="5" t="s">
        <v>377</v>
      </c>
      <c r="F28" s="5" t="s">
        <v>378</v>
      </c>
      <c r="G28" s="5" t="s">
        <v>379</v>
      </c>
      <c r="H28" s="4" t="s">
        <v>380</v>
      </c>
      <c r="I28" s="5" t="s">
        <v>381</v>
      </c>
      <c r="J28" s="4" t="s">
        <v>158</v>
      </c>
      <c r="K28" s="4" t="s">
        <v>175</v>
      </c>
      <c r="L28" s="4" t="s">
        <v>382</v>
      </c>
      <c r="M28" s="10" t="s">
        <v>177</v>
      </c>
      <c r="N28" s="10"/>
      <c r="O28" s="11">
        <v>3</v>
      </c>
      <c r="P28" s="11">
        <v>0</v>
      </c>
      <c r="Q28" s="13">
        <v>5.2400000000000002E-2</v>
      </c>
      <c r="R28" s="14">
        <f>IF(OR($M28="Yes",$M28="Owner"),$C28*Cost!$B$6,0)</f>
        <v>5</v>
      </c>
      <c r="S28" s="16">
        <f t="shared" si="0"/>
        <v>0.26200000000000001</v>
      </c>
      <c r="T28" s="4" t="s">
        <v>222</v>
      </c>
      <c r="U28" s="19"/>
      <c r="V28" s="14">
        <f>IF($M28="Owner",$R28,IF($M28&lt;&gt;"Yes",0,MAX(IF(LEFT($T28,7)="Passive",$R28+MAX(Cost!$B$8,ROUNDUP(Cost!$B$7*$R28,0)),$R28+Cost!$B$9),N($U28))))</f>
        <v>6</v>
      </c>
      <c r="W28" s="16">
        <f t="shared" si="1"/>
        <v>0.31440000000000001</v>
      </c>
      <c r="X28" s="20" t="s">
        <v>383</v>
      </c>
      <c r="Y28" s="4" t="s">
        <v>384</v>
      </c>
      <c r="Z28" s="21" t="s">
        <v>385</v>
      </c>
      <c r="AA28" s="22">
        <f t="shared" si="2"/>
        <v>1</v>
      </c>
      <c r="AB28" s="22">
        <f>IF(OR($M28="Yes",$M28="Owner"),IF(COUNTIFS($H$4:$H28,$H28,$M$4:$M28,"Yes")+COUNTIFS($H$4:$H28,$H28,$M$4:$M28,"Owner")=1,1,0),0)</f>
        <v>1</v>
      </c>
      <c r="AC28" s="21"/>
      <c r="AD28" s="21"/>
      <c r="AE28" s="23"/>
      <c r="AF28" s="23"/>
      <c r="AG28" s="24"/>
    </row>
    <row r="29" spans="1:33" ht="66" customHeight="1" x14ac:dyDescent="0.2">
      <c r="A29" s="6" t="s">
        <v>313</v>
      </c>
      <c r="B29" s="4" t="s">
        <v>386</v>
      </c>
      <c r="C29" s="8">
        <v>16</v>
      </c>
      <c r="D29" s="4" t="s">
        <v>387</v>
      </c>
      <c r="E29" s="5" t="s">
        <v>237</v>
      </c>
      <c r="F29" s="5" t="s">
        <v>154</v>
      </c>
      <c r="G29" s="5" t="s">
        <v>229</v>
      </c>
      <c r="H29" s="4" t="s">
        <v>238</v>
      </c>
      <c r="I29" s="5" t="s">
        <v>239</v>
      </c>
      <c r="J29" s="4" t="s">
        <v>158</v>
      </c>
      <c r="K29" s="4" t="s">
        <v>175</v>
      </c>
      <c r="L29" s="4" t="s">
        <v>188</v>
      </c>
      <c r="M29" s="10" t="s">
        <v>177</v>
      </c>
      <c r="N29" s="10"/>
      <c r="O29" s="11">
        <v>2</v>
      </c>
      <c r="P29" s="11">
        <v>0</v>
      </c>
      <c r="Q29" s="13">
        <v>2E-3</v>
      </c>
      <c r="R29" s="14">
        <f>IF(OR($M29="Yes",$M29="Owner"),$C29*Cost!$B$6,0)</f>
        <v>80</v>
      </c>
      <c r="S29" s="16">
        <f t="shared" si="0"/>
        <v>0.16</v>
      </c>
      <c r="T29" s="4" t="s">
        <v>178</v>
      </c>
      <c r="U29" s="19"/>
      <c r="V29" s="14">
        <f>IF($M29="Owner",$R29,IF($M29&lt;&gt;"Yes",0,MAX(IF(LEFT($T29,7)="Passive",$R29+MAX(Cost!$B$8,ROUNDUP(Cost!$B$7*$R29,0)),$R29+Cost!$B$9),N($U29))))</f>
        <v>84</v>
      </c>
      <c r="W29" s="16">
        <f t="shared" si="1"/>
        <v>0.16800000000000001</v>
      </c>
      <c r="X29" s="20" t="s">
        <v>240</v>
      </c>
      <c r="Y29" s="4" t="s">
        <v>388</v>
      </c>
      <c r="Z29" s="21" t="s">
        <v>389</v>
      </c>
      <c r="AA29" s="22">
        <f t="shared" si="2"/>
        <v>16</v>
      </c>
      <c r="AB29" s="22">
        <f>IF(OR($M29="Yes",$M29="Owner"),IF(COUNTIFS($H$4:$H29,$H29,$M$4:$M29,"Yes")+COUNTIFS($H$4:$H29,$H29,$M$4:$M29,"Owner")=1,1,0),0)</f>
        <v>0</v>
      </c>
      <c r="AC29" s="21" t="s">
        <v>234</v>
      </c>
      <c r="AD29" s="21" t="str">
        <f t="shared" ref="AD29:AD34" si="5">MID($H29,18,4)</f>
        <v>1002</v>
      </c>
      <c r="AE29" s="23">
        <f t="shared" ref="AE29:AE34" si="6">LEFT($AD29,3)*IF(ISNUMBER(--RIGHT($AD29,1)),10^RIGHT($AD29,1),10^(0-FIND(RIGHT($AD29,1),"JKLM")))</f>
        <v>10000</v>
      </c>
      <c r="AF29" s="23" cm="1">
        <f t="array" ref="AF29">LEFT($E29,FIND(" ",$E29)-1)*IFERROR(INDEX({1000,1000000,0.000000000001,0.000000001,0.000001},MATCH(MID($E29,FIND(" ",$E29)+1,1),{"k","M","p","n","µ"},0)),1)</f>
        <v>10000</v>
      </c>
      <c r="AG29" s="24" t="str">
        <f>IF(AND(RIGHT($E29,1)="Ω",ABS($AF29-$AE29)&lt;=Checks!$C$6*$AE29),"OK","CHECK")</f>
        <v>OK</v>
      </c>
    </row>
    <row r="30" spans="1:33" ht="27.75" customHeight="1" x14ac:dyDescent="0.2">
      <c r="A30" s="6" t="s">
        <v>313</v>
      </c>
      <c r="B30" s="4" t="s">
        <v>390</v>
      </c>
      <c r="C30" s="8">
        <v>9</v>
      </c>
      <c r="D30" s="4" t="s">
        <v>391</v>
      </c>
      <c r="E30" s="5" t="s">
        <v>392</v>
      </c>
      <c r="F30" s="5" t="s">
        <v>154</v>
      </c>
      <c r="G30" s="5" t="s">
        <v>268</v>
      </c>
      <c r="H30" s="4" t="s">
        <v>393</v>
      </c>
      <c r="I30" s="5" t="s">
        <v>394</v>
      </c>
      <c r="J30" s="4" t="s">
        <v>158</v>
      </c>
      <c r="K30" s="4" t="s">
        <v>175</v>
      </c>
      <c r="L30" s="4" t="s">
        <v>188</v>
      </c>
      <c r="M30" s="10" t="s">
        <v>177</v>
      </c>
      <c r="N30" s="10"/>
      <c r="O30" s="11">
        <v>2</v>
      </c>
      <c r="P30" s="11">
        <v>0</v>
      </c>
      <c r="Q30" s="13">
        <v>2E-3</v>
      </c>
      <c r="R30" s="14">
        <f>IF(OR($M30="Yes",$M30="Owner"),$C30*Cost!$B$6,0)</f>
        <v>45</v>
      </c>
      <c r="S30" s="16">
        <f t="shared" si="0"/>
        <v>0.09</v>
      </c>
      <c r="T30" s="4" t="s">
        <v>178</v>
      </c>
      <c r="U30" s="19"/>
      <c r="V30" s="14">
        <f>IF($M30="Owner",$R30,IF($M30&lt;&gt;"Yes",0,MAX(IF(LEFT($T30,7)="Passive",$R30+MAX(Cost!$B$8,ROUNDUP(Cost!$B$7*$R30,0)),$R30+Cost!$B$9),N($U30))))</f>
        <v>48</v>
      </c>
      <c r="W30" s="16">
        <f t="shared" si="1"/>
        <v>9.6000000000000002E-2</v>
      </c>
      <c r="X30" s="20" t="s">
        <v>395</v>
      </c>
      <c r="Y30" s="4" t="s">
        <v>396</v>
      </c>
      <c r="Z30" s="21" t="s">
        <v>397</v>
      </c>
      <c r="AA30" s="22">
        <f t="shared" si="2"/>
        <v>9</v>
      </c>
      <c r="AB30" s="22">
        <f>IF(OR($M30="Yes",$M30="Owner"),IF(COUNTIFS($H$4:$H30,$H30,$M$4:$M30,"Yes")+COUNTIFS($H$4:$H30,$H30,$M$4:$M30,"Owner")=1,1,0),0)</f>
        <v>1</v>
      </c>
      <c r="AC30" s="21" t="s">
        <v>234</v>
      </c>
      <c r="AD30" s="21" t="str">
        <f t="shared" si="5"/>
        <v>330J</v>
      </c>
      <c r="AE30" s="23">
        <f t="shared" si="6"/>
        <v>33</v>
      </c>
      <c r="AF30" s="23" cm="1">
        <f t="array" ref="AF30">LEFT($E30,FIND(" ",$E30)-1)*IFERROR(INDEX({1000,1000000,0.000000000001,0.000000001,0.000001},MATCH(MID($E30,FIND(" ",$E30)+1,1),{"k","M","p","n","µ"},0)),1)</f>
        <v>33</v>
      </c>
      <c r="AG30" s="24" t="str">
        <f>IF(AND(RIGHT($E30,1)="Ω",ABS($AF30-$AE30)&lt;=Checks!$C$6*$AE30),"OK","CHECK")</f>
        <v>OK</v>
      </c>
    </row>
    <row r="31" spans="1:33" ht="27.75" customHeight="1" x14ac:dyDescent="0.2">
      <c r="A31" s="6" t="s">
        <v>313</v>
      </c>
      <c r="B31" s="4" t="s">
        <v>398</v>
      </c>
      <c r="C31" s="8">
        <v>8</v>
      </c>
      <c r="D31" s="4" t="s">
        <v>399</v>
      </c>
      <c r="E31" s="5" t="s">
        <v>400</v>
      </c>
      <c r="F31" s="5" t="s">
        <v>154</v>
      </c>
      <c r="G31" s="5" t="s">
        <v>268</v>
      </c>
      <c r="H31" s="4" t="s">
        <v>401</v>
      </c>
      <c r="I31" s="5" t="s">
        <v>402</v>
      </c>
      <c r="J31" s="4" t="s">
        <v>158</v>
      </c>
      <c r="K31" s="4" t="s">
        <v>175</v>
      </c>
      <c r="L31" s="4" t="s">
        <v>188</v>
      </c>
      <c r="M31" s="10" t="s">
        <v>177</v>
      </c>
      <c r="N31" s="10"/>
      <c r="O31" s="11">
        <v>2</v>
      </c>
      <c r="P31" s="11">
        <v>0</v>
      </c>
      <c r="Q31" s="13">
        <v>2E-3</v>
      </c>
      <c r="R31" s="14">
        <f>IF(OR($M31="Yes",$M31="Owner"),$C31*Cost!$B$6,0)</f>
        <v>40</v>
      </c>
      <c r="S31" s="16">
        <f t="shared" si="0"/>
        <v>0.08</v>
      </c>
      <c r="T31" s="4" t="s">
        <v>178</v>
      </c>
      <c r="U31" s="19"/>
      <c r="V31" s="14">
        <f>IF($M31="Owner",$R31,IF($M31&lt;&gt;"Yes",0,MAX(IF(LEFT($T31,7)="Passive",$R31+MAX(Cost!$B$8,ROUNDUP(Cost!$B$7*$R31,0)),$R31+Cost!$B$9),N($U31))))</f>
        <v>42</v>
      </c>
      <c r="W31" s="16">
        <f t="shared" si="1"/>
        <v>8.4000000000000005E-2</v>
      </c>
      <c r="X31" s="20" t="s">
        <v>403</v>
      </c>
      <c r="Y31" s="4" t="s">
        <v>404</v>
      </c>
      <c r="Z31" s="21" t="s">
        <v>405</v>
      </c>
      <c r="AA31" s="22">
        <f t="shared" si="2"/>
        <v>8</v>
      </c>
      <c r="AB31" s="22">
        <f>IF(OR($M31="Yes",$M31="Owner"),IF(COUNTIFS($H$4:$H31,$H31,$M$4:$M31,"Yes")+COUNTIFS($H$4:$H31,$H31,$M$4:$M31,"Owner")=1,1,0),0)</f>
        <v>1</v>
      </c>
      <c r="AC31" s="21" t="s">
        <v>234</v>
      </c>
      <c r="AD31" s="21" t="str">
        <f t="shared" si="5"/>
        <v>3300</v>
      </c>
      <c r="AE31" s="23">
        <f t="shared" si="6"/>
        <v>330</v>
      </c>
      <c r="AF31" s="23" cm="1">
        <f t="array" ref="AF31">LEFT($E31,FIND(" ",$E31)-1)*IFERROR(INDEX({1000,1000000,0.000000000001,0.000000001,0.000001},MATCH(MID($E31,FIND(" ",$E31)+1,1),{"k","M","p","n","µ"},0)),1)</f>
        <v>330</v>
      </c>
      <c r="AG31" s="24" t="str">
        <f>IF(AND(RIGHT($E31,1)="Ω",ABS($AF31-$AE31)&lt;=Checks!$C$6*$AE31),"OK","CHECK")</f>
        <v>OK</v>
      </c>
    </row>
    <row r="32" spans="1:33" ht="27.75" customHeight="1" x14ac:dyDescent="0.2">
      <c r="A32" s="6" t="s">
        <v>313</v>
      </c>
      <c r="B32" s="4" t="s">
        <v>406</v>
      </c>
      <c r="C32" s="8">
        <v>2</v>
      </c>
      <c r="D32" s="4" t="s">
        <v>407</v>
      </c>
      <c r="E32" s="5" t="s">
        <v>244</v>
      </c>
      <c r="F32" s="5" t="s">
        <v>154</v>
      </c>
      <c r="G32" s="5" t="s">
        <v>229</v>
      </c>
      <c r="H32" s="4" t="s">
        <v>245</v>
      </c>
      <c r="I32" s="5" t="s">
        <v>246</v>
      </c>
      <c r="J32" s="4" t="s">
        <v>158</v>
      </c>
      <c r="K32" s="4" t="s">
        <v>175</v>
      </c>
      <c r="L32" s="4" t="s">
        <v>188</v>
      </c>
      <c r="M32" s="10" t="s">
        <v>177</v>
      </c>
      <c r="N32" s="10"/>
      <c r="O32" s="11">
        <v>2</v>
      </c>
      <c r="P32" s="11">
        <v>0</v>
      </c>
      <c r="Q32" s="13">
        <v>2E-3</v>
      </c>
      <c r="R32" s="14">
        <f>IF(OR($M32="Yes",$M32="Owner"),$C32*Cost!$B$6,0)</f>
        <v>10</v>
      </c>
      <c r="S32" s="16">
        <f t="shared" si="0"/>
        <v>0.02</v>
      </c>
      <c r="T32" s="4" t="s">
        <v>178</v>
      </c>
      <c r="U32" s="19"/>
      <c r="V32" s="14">
        <f>IF($M32="Owner",$R32,IF($M32&lt;&gt;"Yes",0,MAX(IF(LEFT($T32,7)="Passive",$R32+MAX(Cost!$B$8,ROUNDUP(Cost!$B$7*$R32,0)),$R32+Cost!$B$9),N($U32))))</f>
        <v>12</v>
      </c>
      <c r="W32" s="16">
        <f t="shared" si="1"/>
        <v>2.4E-2</v>
      </c>
      <c r="X32" s="20" t="s">
        <v>247</v>
      </c>
      <c r="Y32" s="4" t="s">
        <v>408</v>
      </c>
      <c r="Z32" s="21" t="s">
        <v>409</v>
      </c>
      <c r="AA32" s="22">
        <f t="shared" si="2"/>
        <v>2</v>
      </c>
      <c r="AB32" s="22">
        <f>IF(OR($M32="Yes",$M32="Owner"),IF(COUNTIFS($H$4:$H32,$H32,$M$4:$M32,"Yes")+COUNTIFS($H$4:$H32,$H32,$M$4:$M32,"Owner")=1,1,0),0)</f>
        <v>0</v>
      </c>
      <c r="AC32" s="21" t="s">
        <v>234</v>
      </c>
      <c r="AD32" s="21" t="str">
        <f t="shared" si="5"/>
        <v>1003</v>
      </c>
      <c r="AE32" s="23">
        <f t="shared" si="6"/>
        <v>100000</v>
      </c>
      <c r="AF32" s="23" cm="1">
        <f t="array" ref="AF32">LEFT($E32,FIND(" ",$E32)-1)*IFERROR(INDEX({1000,1000000,0.000000000001,0.000000001,0.000001},MATCH(MID($E32,FIND(" ",$E32)+1,1),{"k","M","p","n","µ"},0)),1)</f>
        <v>100000</v>
      </c>
      <c r="AG32" s="24" t="str">
        <f>IF(AND(RIGHT($E32,1)="Ω",ABS($AF32-$AE32)&lt;=Checks!$C$6*$AE32),"OK","CHECK")</f>
        <v>OK</v>
      </c>
    </row>
    <row r="33" spans="1:33" ht="27.75" customHeight="1" x14ac:dyDescent="0.2">
      <c r="A33" s="6" t="s">
        <v>313</v>
      </c>
      <c r="B33" s="4" t="s">
        <v>410</v>
      </c>
      <c r="C33" s="8">
        <v>1</v>
      </c>
      <c r="D33" s="4" t="s">
        <v>411</v>
      </c>
      <c r="E33" s="5" t="s">
        <v>412</v>
      </c>
      <c r="F33" s="5" t="s">
        <v>154</v>
      </c>
      <c r="G33" s="5" t="s">
        <v>229</v>
      </c>
      <c r="H33" s="4" t="s">
        <v>413</v>
      </c>
      <c r="I33" s="5" t="s">
        <v>414</v>
      </c>
      <c r="J33" s="4" t="s">
        <v>158</v>
      </c>
      <c r="K33" s="4" t="s">
        <v>175</v>
      </c>
      <c r="L33" s="4" t="s">
        <v>188</v>
      </c>
      <c r="M33" s="10" t="s">
        <v>177</v>
      </c>
      <c r="N33" s="10"/>
      <c r="O33" s="11">
        <v>2</v>
      </c>
      <c r="P33" s="11">
        <v>0</v>
      </c>
      <c r="Q33" s="13">
        <v>2E-3</v>
      </c>
      <c r="R33" s="14">
        <f>IF(OR($M33="Yes",$M33="Owner"),$C33*Cost!$B$6,0)</f>
        <v>5</v>
      </c>
      <c r="S33" s="16">
        <f t="shared" si="0"/>
        <v>0.01</v>
      </c>
      <c r="T33" s="4" t="s">
        <v>178</v>
      </c>
      <c r="U33" s="19"/>
      <c r="V33" s="14">
        <f>IF($M33="Owner",$R33,IF($M33&lt;&gt;"Yes",0,MAX(IF(LEFT($T33,7)="Passive",$R33+MAX(Cost!$B$8,ROUNDUP(Cost!$B$7*$R33,0)),$R33+Cost!$B$9),N($U33))))</f>
        <v>7</v>
      </c>
      <c r="W33" s="16">
        <f t="shared" si="1"/>
        <v>1.4E-2</v>
      </c>
      <c r="X33" s="20" t="s">
        <v>415</v>
      </c>
      <c r="Y33" s="4" t="s">
        <v>416</v>
      </c>
      <c r="Z33" s="21" t="s">
        <v>417</v>
      </c>
      <c r="AA33" s="22">
        <f t="shared" si="2"/>
        <v>1</v>
      </c>
      <c r="AB33" s="22">
        <f>IF(OR($M33="Yes",$M33="Owner"),IF(COUNTIFS($H$4:$H33,$H33,$M$4:$M33,"Yes")+COUNTIFS($H$4:$H33,$H33,$M$4:$M33,"Owner")=1,1,0),0)</f>
        <v>1</v>
      </c>
      <c r="AC33" s="21" t="s">
        <v>234</v>
      </c>
      <c r="AD33" s="21" t="str">
        <f t="shared" si="5"/>
        <v>4701</v>
      </c>
      <c r="AE33" s="23">
        <f t="shared" si="6"/>
        <v>4700</v>
      </c>
      <c r="AF33" s="23" cm="1">
        <f t="array" ref="AF33">LEFT($E33,FIND(" ",$E33)-1)*IFERROR(INDEX({1000,1000000,0.000000000001,0.000000001,0.000001},MATCH(MID($E33,FIND(" ",$E33)+1,1),{"k","M","p","n","µ"},0)),1)</f>
        <v>4700</v>
      </c>
      <c r="AG33" s="24" t="str">
        <f>IF(AND(RIGHT($E33,1)="Ω",ABS($AF33-$AE33)&lt;=Checks!$C$6*$AE33),"OK","CHECK")</f>
        <v>OK</v>
      </c>
    </row>
    <row r="34" spans="1:33" ht="27.75" customHeight="1" x14ac:dyDescent="0.2">
      <c r="A34" s="6" t="s">
        <v>313</v>
      </c>
      <c r="B34" s="4" t="s">
        <v>418</v>
      </c>
      <c r="C34" s="8">
        <v>1</v>
      </c>
      <c r="D34" s="4" t="s">
        <v>419</v>
      </c>
      <c r="E34" s="5" t="s">
        <v>260</v>
      </c>
      <c r="F34" s="5" t="s">
        <v>154</v>
      </c>
      <c r="G34" s="5" t="s">
        <v>261</v>
      </c>
      <c r="H34" s="4" t="s">
        <v>262</v>
      </c>
      <c r="I34" s="5" t="s">
        <v>263</v>
      </c>
      <c r="J34" s="4" t="s">
        <v>158</v>
      </c>
      <c r="K34" s="4" t="s">
        <v>159</v>
      </c>
      <c r="L34" s="4" t="s">
        <v>188</v>
      </c>
      <c r="M34" s="10" t="s">
        <v>161</v>
      </c>
      <c r="N34" s="10"/>
      <c r="O34" s="11">
        <v>2</v>
      </c>
      <c r="P34" s="11">
        <v>0</v>
      </c>
      <c r="Q34" s="13">
        <v>2E-3</v>
      </c>
      <c r="R34" s="14">
        <f>IF(OR($M34="Yes",$M34="Owner"),$C34*Cost!$B$6,0)</f>
        <v>0</v>
      </c>
      <c r="S34" s="16">
        <f t="shared" si="0"/>
        <v>0</v>
      </c>
      <c r="T34" s="4" t="s">
        <v>162</v>
      </c>
      <c r="U34" s="19"/>
      <c r="V34" s="14">
        <f>IF($M34="Owner",$R34,IF($M34&lt;&gt;"Yes",0,MAX(IF(LEFT($T34,7)="Passive",$R34+MAX(Cost!$B$8,ROUNDUP(Cost!$B$7*$R34,0)),$R34+Cost!$B$9),N($U34))))</f>
        <v>0</v>
      </c>
      <c r="W34" s="16">
        <f t="shared" si="1"/>
        <v>0</v>
      </c>
      <c r="X34" s="20" t="s">
        <v>264</v>
      </c>
      <c r="Y34" s="4" t="s">
        <v>420</v>
      </c>
      <c r="Z34" s="21" t="s">
        <v>421</v>
      </c>
      <c r="AA34" s="22">
        <f t="shared" si="2"/>
        <v>1</v>
      </c>
      <c r="AB34" s="22">
        <f>IF(OR($M34="Yes",$M34="Owner"),IF(COUNTIFS($H$4:$H34,$H34,$M$4:$M34,"Yes")+COUNTIFS($H$4:$H34,$H34,$M$4:$M34,"Owner")=1,1,0),0)</f>
        <v>0</v>
      </c>
      <c r="AC34" s="21" t="s">
        <v>234</v>
      </c>
      <c r="AD34" s="21" t="str">
        <f t="shared" si="5"/>
        <v>0000</v>
      </c>
      <c r="AE34" s="23">
        <f t="shared" si="6"/>
        <v>0</v>
      </c>
      <c r="AF34" s="23" cm="1">
        <f t="array" ref="AF34">LEFT($E34,FIND(" ",$E34)-1)*IFERROR(INDEX({1000,1000000,0.000000000001,0.000000001,0.000001},MATCH(MID($E34,FIND(" ",$E34)+1,1),{"k","M","p","n","µ"},0)),1)</f>
        <v>0</v>
      </c>
      <c r="AG34" s="24" t="str">
        <f>IF(AND(RIGHT($E34,1)="Ω",ABS($AF34-$AE34)&lt;=Checks!$C$6*$AE34),"OK","CHECK")</f>
        <v>OK</v>
      </c>
    </row>
    <row r="35" spans="1:33" ht="40.5" customHeight="1" x14ac:dyDescent="0.2">
      <c r="A35" s="6" t="s">
        <v>313</v>
      </c>
      <c r="B35" s="4" t="s">
        <v>422</v>
      </c>
      <c r="C35" s="8">
        <v>1</v>
      </c>
      <c r="D35" s="4" t="s">
        <v>423</v>
      </c>
      <c r="E35" s="5" t="s">
        <v>424</v>
      </c>
      <c r="F35" s="5" t="s">
        <v>425</v>
      </c>
      <c r="G35" s="5" t="s">
        <v>426</v>
      </c>
      <c r="H35" s="4" t="s">
        <v>427</v>
      </c>
      <c r="I35" s="5" t="s">
        <v>428</v>
      </c>
      <c r="J35" s="4" t="s">
        <v>174</v>
      </c>
      <c r="K35" s="4" t="s">
        <v>175</v>
      </c>
      <c r="L35" s="4" t="s">
        <v>429</v>
      </c>
      <c r="M35" s="10" t="s">
        <v>177</v>
      </c>
      <c r="N35" s="10"/>
      <c r="O35" s="11">
        <v>64</v>
      </c>
      <c r="P35" s="11">
        <v>0</v>
      </c>
      <c r="Q35" s="13">
        <v>3.47</v>
      </c>
      <c r="R35" s="14">
        <f>IF(OR($M35="Yes",$M35="Owner"),$C35*Cost!$B$6,0)</f>
        <v>5</v>
      </c>
      <c r="S35" s="16">
        <f t="shared" si="0"/>
        <v>17.350000000000001</v>
      </c>
      <c r="T35" s="4" t="s">
        <v>222</v>
      </c>
      <c r="U35" s="19"/>
      <c r="V35" s="14">
        <f>IF($M35="Owner",$R35,IF($M35&lt;&gt;"Yes",0,MAX(IF(LEFT($T35,7)="Passive",$R35+MAX(Cost!$B$8,ROUNDUP(Cost!$B$7*$R35,0)),$R35+Cost!$B$9),N($U35))))</f>
        <v>6</v>
      </c>
      <c r="W35" s="16">
        <f t="shared" si="1"/>
        <v>20.82</v>
      </c>
      <c r="X35" s="20" t="s">
        <v>430</v>
      </c>
      <c r="Y35" s="4" t="s">
        <v>431</v>
      </c>
      <c r="Z35" s="21" t="s">
        <v>432</v>
      </c>
      <c r="AA35" s="22">
        <f t="shared" si="2"/>
        <v>1</v>
      </c>
      <c r="AB35" s="22">
        <f>IF(OR($M35="Yes",$M35="Owner"),IF(COUNTIFS($H$4:$H35,$H35,$M$4:$M35,"Yes")+COUNTIFS($H$4:$H35,$H35,$M$4:$M35,"Owner")=1,1,0),0)</f>
        <v>1</v>
      </c>
      <c r="AC35" s="21"/>
      <c r="AD35" s="21"/>
      <c r="AE35" s="23"/>
      <c r="AF35" s="23"/>
      <c r="AG35" s="24"/>
    </row>
    <row r="36" spans="1:33" ht="53.25" customHeight="1" x14ac:dyDescent="0.2">
      <c r="A36" s="6" t="s">
        <v>313</v>
      </c>
      <c r="B36" s="4" t="s">
        <v>433</v>
      </c>
      <c r="C36" s="8">
        <v>1</v>
      </c>
      <c r="D36" s="4" t="s">
        <v>434</v>
      </c>
      <c r="E36" s="5" t="s">
        <v>435</v>
      </c>
      <c r="F36" s="5" t="s">
        <v>436</v>
      </c>
      <c r="G36" s="5" t="s">
        <v>437</v>
      </c>
      <c r="H36" s="4" t="s">
        <v>438</v>
      </c>
      <c r="I36" s="5" t="s">
        <v>439</v>
      </c>
      <c r="J36" s="4" t="s">
        <v>174</v>
      </c>
      <c r="K36" s="4" t="s">
        <v>175</v>
      </c>
      <c r="L36" s="4" t="s">
        <v>440</v>
      </c>
      <c r="M36" s="10" t="s">
        <v>177</v>
      </c>
      <c r="N36" s="10" t="s">
        <v>177</v>
      </c>
      <c r="O36" s="11">
        <v>33</v>
      </c>
      <c r="P36" s="11">
        <v>0</v>
      </c>
      <c r="Q36" s="13">
        <v>1.6503000000000001</v>
      </c>
      <c r="R36" s="14">
        <f>IF(OR($M36="Yes",$M36="Owner"),$C36*Cost!$B$6,0)</f>
        <v>5</v>
      </c>
      <c r="S36" s="16">
        <f t="shared" ref="S36:S67" si="7">$R36*$Q36</f>
        <v>8.2515000000000001</v>
      </c>
      <c r="T36" s="4" t="s">
        <v>222</v>
      </c>
      <c r="U36" s="19"/>
      <c r="V36" s="14">
        <f>IF($M36="Owner",$R36,IF($M36&lt;&gt;"Yes",0,MAX(IF(LEFT($T36,7)="Passive",$R36+MAX(Cost!$B$8,ROUNDUP(Cost!$B$7*$R36,0)),$R36+Cost!$B$9),N($U36))))</f>
        <v>6</v>
      </c>
      <c r="W36" s="16">
        <f t="shared" ref="W36:W67" si="8">$V36*$Q36</f>
        <v>9.9018000000000015</v>
      </c>
      <c r="X36" s="20" t="s">
        <v>441</v>
      </c>
      <c r="Y36" s="4" t="s">
        <v>442</v>
      </c>
      <c r="Z36" s="21" t="s">
        <v>443</v>
      </c>
      <c r="AA36" s="22">
        <f t="shared" ref="AA36:AA67" si="9">IF($Z36="",0,LEN($Z36)-LEN(SUBSTITUTE($Z36,",",""))-1)</f>
        <v>1</v>
      </c>
      <c r="AB36" s="22">
        <f>IF(OR($M36="Yes",$M36="Owner"),IF(COUNTIFS($H$4:$H36,$H36,$M$4:$M36,"Yes")+COUNTIFS($H$4:$H36,$H36,$M$4:$M36,"Owner")=1,1,0),0)</f>
        <v>1</v>
      </c>
      <c r="AC36" s="21"/>
      <c r="AD36" s="21"/>
      <c r="AE36" s="23"/>
      <c r="AF36" s="23"/>
      <c r="AG36" s="24"/>
    </row>
    <row r="37" spans="1:33" ht="27.75" customHeight="1" x14ac:dyDescent="0.2">
      <c r="A37" s="6" t="s">
        <v>313</v>
      </c>
      <c r="B37" s="4" t="s">
        <v>444</v>
      </c>
      <c r="C37" s="8">
        <v>1</v>
      </c>
      <c r="D37" s="4" t="s">
        <v>445</v>
      </c>
      <c r="E37" s="5" t="s">
        <v>446</v>
      </c>
      <c r="F37" s="5" t="s">
        <v>447</v>
      </c>
      <c r="G37" s="5" t="s">
        <v>448</v>
      </c>
      <c r="H37" s="4" t="s">
        <v>449</v>
      </c>
      <c r="I37" s="5" t="s">
        <v>450</v>
      </c>
      <c r="J37" s="4" t="s">
        <v>174</v>
      </c>
      <c r="K37" s="4" t="s">
        <v>175</v>
      </c>
      <c r="L37" s="4" t="s">
        <v>451</v>
      </c>
      <c r="M37" s="10" t="s">
        <v>177</v>
      </c>
      <c r="N37" s="10"/>
      <c r="O37" s="11">
        <v>6</v>
      </c>
      <c r="P37" s="11">
        <v>0</v>
      </c>
      <c r="Q37" s="13">
        <v>0.21060000000000001</v>
      </c>
      <c r="R37" s="14">
        <f>IF(OR($M37="Yes",$M37="Owner"),$C37*Cost!$B$6,0)</f>
        <v>5</v>
      </c>
      <c r="S37" s="16">
        <f t="shared" si="7"/>
        <v>1.0529999999999999</v>
      </c>
      <c r="T37" s="4" t="s">
        <v>222</v>
      </c>
      <c r="U37" s="19"/>
      <c r="V37" s="14">
        <f>IF($M37="Owner",$R37,IF($M37&lt;&gt;"Yes",0,MAX(IF(LEFT($T37,7)="Passive",$R37+MAX(Cost!$B$8,ROUNDUP(Cost!$B$7*$R37,0)),$R37+Cost!$B$9),N($U37))))</f>
        <v>6</v>
      </c>
      <c r="W37" s="16">
        <f t="shared" si="8"/>
        <v>1.2636000000000001</v>
      </c>
      <c r="X37" s="20" t="s">
        <v>452</v>
      </c>
      <c r="Y37" s="4" t="s">
        <v>453</v>
      </c>
      <c r="Z37" s="21" t="s">
        <v>454</v>
      </c>
      <c r="AA37" s="22">
        <f t="shared" si="9"/>
        <v>1</v>
      </c>
      <c r="AB37" s="22">
        <f>IF(OR($M37="Yes",$M37="Owner"),IF(COUNTIFS($H$4:$H37,$H37,$M$4:$M37,"Yes")+COUNTIFS($H$4:$H37,$H37,$M$4:$M37,"Owner")=1,1,0),0)</f>
        <v>1</v>
      </c>
      <c r="AC37" s="21"/>
      <c r="AD37" s="21"/>
      <c r="AE37" s="23"/>
      <c r="AF37" s="23"/>
      <c r="AG37" s="24"/>
    </row>
    <row r="38" spans="1:33" ht="53.25" customHeight="1" x14ac:dyDescent="0.2">
      <c r="A38" s="6" t="s">
        <v>313</v>
      </c>
      <c r="B38" s="4" t="s">
        <v>455</v>
      </c>
      <c r="C38" s="8">
        <v>1</v>
      </c>
      <c r="D38" s="4" t="s">
        <v>456</v>
      </c>
      <c r="E38" s="5" t="s">
        <v>457</v>
      </c>
      <c r="F38" s="5" t="s">
        <v>447</v>
      </c>
      <c r="G38" s="5" t="s">
        <v>458</v>
      </c>
      <c r="H38" s="4" t="s">
        <v>459</v>
      </c>
      <c r="I38" s="5" t="s">
        <v>460</v>
      </c>
      <c r="J38" s="4" t="s">
        <v>174</v>
      </c>
      <c r="K38" s="4" t="s">
        <v>175</v>
      </c>
      <c r="L38" s="4" t="s">
        <v>461</v>
      </c>
      <c r="M38" s="10" t="s">
        <v>177</v>
      </c>
      <c r="N38" s="10"/>
      <c r="O38" s="11">
        <v>6</v>
      </c>
      <c r="P38" s="11">
        <v>0</v>
      </c>
      <c r="Q38" s="13">
        <v>7.6799999999999993E-2</v>
      </c>
      <c r="R38" s="14">
        <f>IF(OR($M38="Yes",$M38="Owner"),$C38*Cost!$B$6,0)</f>
        <v>5</v>
      </c>
      <c r="S38" s="16">
        <f t="shared" si="7"/>
        <v>0.38399999999999995</v>
      </c>
      <c r="T38" s="4" t="s">
        <v>222</v>
      </c>
      <c r="U38" s="19"/>
      <c r="V38" s="14">
        <f>IF($M38="Owner",$R38,IF($M38&lt;&gt;"Yes",0,MAX(IF(LEFT($T38,7)="Passive",$R38+MAX(Cost!$B$8,ROUNDUP(Cost!$B$7*$R38,0)),$R38+Cost!$B$9),N($U38))))</f>
        <v>6</v>
      </c>
      <c r="W38" s="16">
        <f t="shared" si="8"/>
        <v>0.46079999999999999</v>
      </c>
      <c r="X38" s="20" t="s">
        <v>462</v>
      </c>
      <c r="Y38" s="4" t="s">
        <v>463</v>
      </c>
      <c r="Z38" s="21" t="s">
        <v>464</v>
      </c>
      <c r="AA38" s="22">
        <f t="shared" si="9"/>
        <v>1</v>
      </c>
      <c r="AB38" s="22">
        <f>IF(OR($M38="Yes",$M38="Owner"),IF(COUNTIFS($H$4:$H38,$H38,$M$4:$M38,"Yes")+COUNTIFS($H$4:$H38,$H38,$M$4:$M38,"Owner")=1,1,0),0)</f>
        <v>1</v>
      </c>
      <c r="AC38" s="21"/>
      <c r="AD38" s="21"/>
      <c r="AE38" s="23"/>
      <c r="AF38" s="23"/>
      <c r="AG38" s="24"/>
    </row>
    <row r="39" spans="1:33" ht="66" customHeight="1" x14ac:dyDescent="0.2">
      <c r="A39" s="6" t="s">
        <v>313</v>
      </c>
      <c r="B39" s="4" t="s">
        <v>465</v>
      </c>
      <c r="C39" s="8">
        <v>1</v>
      </c>
      <c r="D39" s="4" t="s">
        <v>466</v>
      </c>
      <c r="E39" s="5" t="s">
        <v>467</v>
      </c>
      <c r="F39" s="5" t="s">
        <v>468</v>
      </c>
      <c r="G39" s="5" t="s">
        <v>469</v>
      </c>
      <c r="H39" s="4" t="s">
        <v>470</v>
      </c>
      <c r="I39" s="5" t="s">
        <v>471</v>
      </c>
      <c r="J39" s="4" t="s">
        <v>174</v>
      </c>
      <c r="K39" s="4" t="s">
        <v>175</v>
      </c>
      <c r="L39" s="4" t="s">
        <v>472</v>
      </c>
      <c r="M39" s="10" t="s">
        <v>177</v>
      </c>
      <c r="N39" s="10"/>
      <c r="O39" s="11">
        <v>8</v>
      </c>
      <c r="P39" s="11">
        <v>0</v>
      </c>
      <c r="Q39" s="13">
        <v>0.20119999999999999</v>
      </c>
      <c r="R39" s="14">
        <f>IF(OR($M39="Yes",$M39="Owner"),$C39*Cost!$B$6,0)</f>
        <v>5</v>
      </c>
      <c r="S39" s="16">
        <f t="shared" si="7"/>
        <v>1.006</v>
      </c>
      <c r="T39" s="4" t="s">
        <v>222</v>
      </c>
      <c r="U39" s="19">
        <v>10</v>
      </c>
      <c r="V39" s="14">
        <f>IF($M39="Owner",$R39,IF($M39&lt;&gt;"Yes",0,MAX(IF(LEFT($T39,7)="Passive",$R39+MAX(Cost!$B$8,ROUNDUP(Cost!$B$7*$R39,0)),$R39+Cost!$B$9),N($U39))))</f>
        <v>10</v>
      </c>
      <c r="W39" s="16">
        <f t="shared" si="8"/>
        <v>2.012</v>
      </c>
      <c r="X39" s="20" t="s">
        <v>473</v>
      </c>
      <c r="Y39" s="4" t="s">
        <v>474</v>
      </c>
      <c r="Z39" s="21" t="s">
        <v>475</v>
      </c>
      <c r="AA39" s="22">
        <f t="shared" si="9"/>
        <v>1</v>
      </c>
      <c r="AB39" s="22">
        <f>IF(OR($M39="Yes",$M39="Owner"),IF(COUNTIFS($H$4:$H39,$H39,$M$4:$M39,"Yes")+COUNTIFS($H$4:$H39,$H39,$M$4:$M39,"Owner")=1,1,0),0)</f>
        <v>1</v>
      </c>
      <c r="AC39" s="21"/>
      <c r="AD39" s="21"/>
      <c r="AE39" s="23"/>
      <c r="AF39" s="23"/>
      <c r="AG39" s="24"/>
    </row>
    <row r="40" spans="1:33" ht="117" customHeight="1" x14ac:dyDescent="0.2">
      <c r="A40" s="6" t="s">
        <v>313</v>
      </c>
      <c r="B40" s="4" t="s">
        <v>476</v>
      </c>
      <c r="C40" s="8">
        <v>1</v>
      </c>
      <c r="D40" s="4" t="s">
        <v>477</v>
      </c>
      <c r="E40" s="5" t="s">
        <v>478</v>
      </c>
      <c r="F40" s="5" t="s">
        <v>479</v>
      </c>
      <c r="G40" s="5" t="s">
        <v>480</v>
      </c>
      <c r="H40" s="4" t="s">
        <v>481</v>
      </c>
      <c r="I40" s="5" t="s">
        <v>482</v>
      </c>
      <c r="J40" s="4" t="s">
        <v>174</v>
      </c>
      <c r="K40" s="4" t="s">
        <v>220</v>
      </c>
      <c r="L40" s="4" t="s">
        <v>483</v>
      </c>
      <c r="M40" s="10" t="s">
        <v>177</v>
      </c>
      <c r="N40" s="10" t="s">
        <v>177</v>
      </c>
      <c r="O40" s="11">
        <v>4</v>
      </c>
      <c r="P40" s="11">
        <v>0</v>
      </c>
      <c r="Q40" s="13">
        <v>1.39</v>
      </c>
      <c r="R40" s="14">
        <f>IF(OR($M40="Yes",$M40="Owner"),$C40*Cost!$B$6,0)</f>
        <v>5</v>
      </c>
      <c r="S40" s="16">
        <f t="shared" si="7"/>
        <v>6.9499999999999993</v>
      </c>
      <c r="T40" s="4" t="s">
        <v>222</v>
      </c>
      <c r="U40" s="19"/>
      <c r="V40" s="14">
        <f>IF($M40="Owner",$R40,IF($M40&lt;&gt;"Yes",0,MAX(IF(LEFT($T40,7)="Passive",$R40+MAX(Cost!$B$8,ROUNDUP(Cost!$B$7*$R40,0)),$R40+Cost!$B$9),N($U40))))</f>
        <v>6</v>
      </c>
      <c r="W40" s="16">
        <f t="shared" si="8"/>
        <v>8.34</v>
      </c>
      <c r="X40" s="20" t="s">
        <v>484</v>
      </c>
      <c r="Y40" s="4" t="s">
        <v>485</v>
      </c>
      <c r="Z40" s="21" t="s">
        <v>486</v>
      </c>
      <c r="AA40" s="22">
        <f t="shared" si="9"/>
        <v>1</v>
      </c>
      <c r="AB40" s="22">
        <f>IF(OR($M40="Yes",$M40="Owner"),IF(COUNTIFS($H$4:$H40,$H40,$M$4:$M40,"Yes")+COUNTIFS($H$4:$H40,$H40,$M$4:$M40,"Owner")=1,1,0),0)</f>
        <v>1</v>
      </c>
      <c r="AC40" s="21"/>
      <c r="AD40" s="21"/>
      <c r="AE40" s="23"/>
      <c r="AF40" s="23"/>
      <c r="AG40" s="24"/>
    </row>
    <row r="41" spans="1:33" ht="78.75" customHeight="1" x14ac:dyDescent="0.2">
      <c r="A41" s="6" t="s">
        <v>313</v>
      </c>
      <c r="B41" s="4" t="s">
        <v>487</v>
      </c>
      <c r="C41" s="8">
        <v>1</v>
      </c>
      <c r="D41" s="4" t="s">
        <v>488</v>
      </c>
      <c r="E41" s="5" t="s">
        <v>489</v>
      </c>
      <c r="F41" s="5" t="s">
        <v>490</v>
      </c>
      <c r="G41" s="5" t="s">
        <v>491</v>
      </c>
      <c r="H41" s="4" t="s">
        <v>492</v>
      </c>
      <c r="I41" s="5" t="s">
        <v>162</v>
      </c>
      <c r="J41" s="4" t="s">
        <v>174</v>
      </c>
      <c r="K41" s="4" t="s">
        <v>220</v>
      </c>
      <c r="L41" s="4" t="s">
        <v>493</v>
      </c>
      <c r="M41" s="10" t="s">
        <v>177</v>
      </c>
      <c r="N41" s="10" t="s">
        <v>177</v>
      </c>
      <c r="O41" s="11">
        <v>4</v>
      </c>
      <c r="P41" s="11">
        <v>0</v>
      </c>
      <c r="Q41" s="13">
        <v>2</v>
      </c>
      <c r="R41" s="14">
        <f>IF(OR($M41="Yes",$M41="Owner"),$C41*Cost!$B$6,0)</f>
        <v>5</v>
      </c>
      <c r="S41" s="16">
        <f t="shared" si="7"/>
        <v>10</v>
      </c>
      <c r="T41" s="4" t="s">
        <v>222</v>
      </c>
      <c r="U41" s="19"/>
      <c r="V41" s="14">
        <f>IF($M41="Owner",$R41,IF($M41&lt;&gt;"Yes",0,MAX(IF(LEFT($T41,7)="Passive",$R41+MAX(Cost!$B$8,ROUNDUP(Cost!$B$7*$R41,0)),$R41+Cost!$B$9),N($U41))))</f>
        <v>6</v>
      </c>
      <c r="W41" s="16">
        <f t="shared" si="8"/>
        <v>12</v>
      </c>
      <c r="X41" s="20" t="s">
        <v>494</v>
      </c>
      <c r="Y41" s="4" t="s">
        <v>495</v>
      </c>
      <c r="Z41" s="21" t="s">
        <v>496</v>
      </c>
      <c r="AA41" s="22">
        <f t="shared" si="9"/>
        <v>1</v>
      </c>
      <c r="AB41" s="22">
        <f>IF(OR($M41="Yes",$M41="Owner"),IF(COUNTIFS($H$4:$H41,$H41,$M$4:$M41,"Yes")+COUNTIFS($H$4:$H41,$H41,$M$4:$M41,"Owner")=1,1,0),0)</f>
        <v>1</v>
      </c>
      <c r="AC41" s="21"/>
      <c r="AD41" s="21"/>
      <c r="AE41" s="23"/>
      <c r="AF41" s="23"/>
      <c r="AG41" s="24"/>
    </row>
    <row r="42" spans="1:33" ht="66" customHeight="1" x14ac:dyDescent="0.2">
      <c r="A42" s="6" t="s">
        <v>313</v>
      </c>
      <c r="B42" s="4" t="s">
        <v>497</v>
      </c>
      <c r="C42" s="8">
        <v>1</v>
      </c>
      <c r="D42" s="4" t="s">
        <v>498</v>
      </c>
      <c r="E42" s="5" t="s">
        <v>499</v>
      </c>
      <c r="F42" s="5" t="s">
        <v>490</v>
      </c>
      <c r="G42" s="5" t="s">
        <v>491</v>
      </c>
      <c r="H42" s="4" t="s">
        <v>500</v>
      </c>
      <c r="I42" s="5" t="s">
        <v>162</v>
      </c>
      <c r="J42" s="4" t="s">
        <v>174</v>
      </c>
      <c r="K42" s="4" t="s">
        <v>220</v>
      </c>
      <c r="L42" s="4" t="s">
        <v>501</v>
      </c>
      <c r="M42" s="10" t="s">
        <v>177</v>
      </c>
      <c r="N42" s="10" t="s">
        <v>177</v>
      </c>
      <c r="O42" s="11">
        <v>4</v>
      </c>
      <c r="P42" s="11">
        <v>0</v>
      </c>
      <c r="Q42" s="13">
        <v>2</v>
      </c>
      <c r="R42" s="14">
        <f>IF(OR($M42="Yes",$M42="Owner"),$C42*Cost!$B$6,0)</f>
        <v>5</v>
      </c>
      <c r="S42" s="16">
        <f t="shared" si="7"/>
        <v>10</v>
      </c>
      <c r="T42" s="4" t="s">
        <v>222</v>
      </c>
      <c r="U42" s="19"/>
      <c r="V42" s="14">
        <f>IF($M42="Owner",$R42,IF($M42&lt;&gt;"Yes",0,MAX(IF(LEFT($T42,7)="Passive",$R42+MAX(Cost!$B$8,ROUNDUP(Cost!$B$7*$R42,0)),$R42+Cost!$B$9),N($U42))))</f>
        <v>6</v>
      </c>
      <c r="W42" s="16">
        <f t="shared" si="8"/>
        <v>12</v>
      </c>
      <c r="X42" s="20" t="s">
        <v>494</v>
      </c>
      <c r="Y42" s="4" t="s">
        <v>502</v>
      </c>
      <c r="Z42" s="21" t="s">
        <v>503</v>
      </c>
      <c r="AA42" s="22">
        <f t="shared" si="9"/>
        <v>1</v>
      </c>
      <c r="AB42" s="22">
        <f>IF(OR($M42="Yes",$M42="Owner"),IF(COUNTIFS($H$4:$H42,$H42,$M$4:$M42,"Yes")+COUNTIFS($H$4:$H42,$H42,$M$4:$M42,"Owner")=1,1,0),0)</f>
        <v>1</v>
      </c>
      <c r="AC42" s="21"/>
      <c r="AD42" s="21"/>
      <c r="AE42" s="23"/>
      <c r="AF42" s="23"/>
      <c r="AG42" s="24"/>
    </row>
    <row r="43" spans="1:33" ht="27.75" customHeight="1" x14ac:dyDescent="0.2">
      <c r="A43" s="6" t="s">
        <v>313</v>
      </c>
      <c r="B43" s="4" t="s">
        <v>504</v>
      </c>
      <c r="C43" s="8">
        <v>1</v>
      </c>
      <c r="D43" s="4" t="s">
        <v>505</v>
      </c>
      <c r="E43" s="5" t="s">
        <v>506</v>
      </c>
      <c r="F43" s="5" t="s">
        <v>507</v>
      </c>
      <c r="G43" s="5" t="s">
        <v>508</v>
      </c>
      <c r="H43" s="4" t="s">
        <v>509</v>
      </c>
      <c r="I43" s="5" t="s">
        <v>510</v>
      </c>
      <c r="J43" s="4" t="s">
        <v>158</v>
      </c>
      <c r="K43" s="4" t="s">
        <v>175</v>
      </c>
      <c r="L43" s="4" t="s">
        <v>188</v>
      </c>
      <c r="M43" s="10" t="s">
        <v>177</v>
      </c>
      <c r="N43" s="10"/>
      <c r="O43" s="11">
        <v>2</v>
      </c>
      <c r="P43" s="11">
        <v>0</v>
      </c>
      <c r="Q43" s="13">
        <v>0.2452</v>
      </c>
      <c r="R43" s="14">
        <f>IF(OR($M43="Yes",$M43="Owner"),$C43*Cost!$B$6,0)</f>
        <v>5</v>
      </c>
      <c r="S43" s="16">
        <f t="shared" si="7"/>
        <v>1.226</v>
      </c>
      <c r="T43" s="4" t="s">
        <v>222</v>
      </c>
      <c r="U43" s="19"/>
      <c r="V43" s="14">
        <f>IF($M43="Owner",$R43,IF($M43&lt;&gt;"Yes",0,MAX(IF(LEFT($T43,7)="Passive",$R43+MAX(Cost!$B$8,ROUNDUP(Cost!$B$7*$R43,0)),$R43+Cost!$B$9),N($U43))))</f>
        <v>6</v>
      </c>
      <c r="W43" s="16">
        <f t="shared" si="8"/>
        <v>1.4712000000000001</v>
      </c>
      <c r="X43" s="20" t="s">
        <v>511</v>
      </c>
      <c r="Y43" s="4" t="s">
        <v>512</v>
      </c>
      <c r="Z43" s="21" t="s">
        <v>513</v>
      </c>
      <c r="AA43" s="22">
        <f t="shared" si="9"/>
        <v>1</v>
      </c>
      <c r="AB43" s="22">
        <f>IF(OR($M43="Yes",$M43="Owner"),IF(COUNTIFS($H$4:$H43,$H43,$M$4:$M43,"Yes")+COUNTIFS($H$4:$H43,$H43,$M$4:$M43,"Owner")=1,1,0),0)</f>
        <v>1</v>
      </c>
      <c r="AC43" s="21"/>
      <c r="AD43" s="21"/>
      <c r="AE43" s="23"/>
      <c r="AF43" s="23"/>
      <c r="AG43" s="24"/>
    </row>
    <row r="44" spans="1:33" ht="27.75" customHeight="1" x14ac:dyDescent="0.2">
      <c r="A44" s="7" t="s">
        <v>514</v>
      </c>
      <c r="B44" s="4" t="s">
        <v>515</v>
      </c>
      <c r="C44" s="8">
        <v>1</v>
      </c>
      <c r="D44" s="4" t="s">
        <v>516</v>
      </c>
      <c r="E44" s="5" t="s">
        <v>169</v>
      </c>
      <c r="F44" s="5" t="s">
        <v>347</v>
      </c>
      <c r="G44" s="5" t="s">
        <v>517</v>
      </c>
      <c r="H44" s="4" t="s">
        <v>518</v>
      </c>
      <c r="I44" s="5" t="s">
        <v>519</v>
      </c>
      <c r="J44" s="4" t="s">
        <v>158</v>
      </c>
      <c r="K44" s="4" t="s">
        <v>175</v>
      </c>
      <c r="L44" s="4" t="s">
        <v>188</v>
      </c>
      <c r="M44" s="10" t="s">
        <v>177</v>
      </c>
      <c r="N44" s="10"/>
      <c r="O44" s="11">
        <v>2</v>
      </c>
      <c r="P44" s="11">
        <v>0</v>
      </c>
      <c r="Q44" s="13">
        <v>1.2E-2</v>
      </c>
      <c r="R44" s="14">
        <f>IF(OR($M44="Yes",$M44="Owner"),$C44*Cost!$B$6,0)</f>
        <v>5</v>
      </c>
      <c r="S44" s="16">
        <f t="shared" si="7"/>
        <v>0.06</v>
      </c>
      <c r="T44" s="4" t="s">
        <v>178</v>
      </c>
      <c r="U44" s="19"/>
      <c r="V44" s="14">
        <f>IF($M44="Owner",$R44,IF($M44&lt;&gt;"Yes",0,MAX(IF(LEFT($T44,7)="Passive",$R44+MAX(Cost!$B$8,ROUNDUP(Cost!$B$7*$R44,0)),$R44+Cost!$B$9),N($U44))))</f>
        <v>7</v>
      </c>
      <c r="W44" s="16">
        <f t="shared" si="8"/>
        <v>8.4000000000000005E-2</v>
      </c>
      <c r="X44" s="20" t="s">
        <v>520</v>
      </c>
      <c r="Y44" s="4" t="s">
        <v>521</v>
      </c>
      <c r="Z44" s="21" t="s">
        <v>522</v>
      </c>
      <c r="AA44" s="22">
        <f t="shared" si="9"/>
        <v>1</v>
      </c>
      <c r="AB44" s="22">
        <f>IF(OR($M44="Yes",$M44="Owner"),IF(COUNTIFS($H$4:$H44,$H44,$M$4:$M44,"Yes")+COUNTIFS($H$4:$H44,$H44,$M$4:$M44,"Owner")=1,1,0),0)</f>
        <v>1</v>
      </c>
      <c r="AC44" s="21" t="s">
        <v>181</v>
      </c>
      <c r="AD44" s="21" t="str">
        <f t="shared" ref="AD44:AD50" si="10">MID($H44,FIND("CL",$H44)+5,3)</f>
        <v>225</v>
      </c>
      <c r="AE44" s="23">
        <f t="shared" ref="AE44:AE50" si="11">IF(ISNUMBER(FIND("R",$AD44)),SUBSTITUTE($AD44,"R",".")*1,LEFT($AD44,2)*10^RIGHT($AD44,1))*10^-12</f>
        <v>2.2000000000000001E-6</v>
      </c>
      <c r="AF44" s="23" cm="1">
        <f t="array" ref="AF44">LEFT($E44,FIND(" ",$E44)-1)*IFERROR(INDEX({1000,1000000,0.000000000001,0.000000001,0.000001},MATCH(MID($E44,FIND(" ",$E44)+1,1),{"k","M","p","n","µ"},0)),1)</f>
        <v>2.2000000000000001E-6</v>
      </c>
      <c r="AG44" s="24" t="str">
        <f>IF(AND(RIGHT($E44,1)="F",ABS($AF44-$AE44)&lt;=Checks!$C$6*$AE44),"OK","CHECK")</f>
        <v>OK</v>
      </c>
    </row>
    <row r="45" spans="1:33" ht="27.75" customHeight="1" x14ac:dyDescent="0.2">
      <c r="A45" s="6" t="s">
        <v>514</v>
      </c>
      <c r="B45" s="4" t="s">
        <v>523</v>
      </c>
      <c r="C45" s="8">
        <v>1</v>
      </c>
      <c r="D45" s="4" t="s">
        <v>524</v>
      </c>
      <c r="E45" s="5" t="s">
        <v>169</v>
      </c>
      <c r="F45" s="5" t="s">
        <v>347</v>
      </c>
      <c r="G45" s="5" t="s">
        <v>517</v>
      </c>
      <c r="H45" s="4" t="s">
        <v>518</v>
      </c>
      <c r="I45" s="5" t="s">
        <v>519</v>
      </c>
      <c r="J45" s="4" t="s">
        <v>158</v>
      </c>
      <c r="K45" s="4" t="s">
        <v>175</v>
      </c>
      <c r="L45" s="4" t="s">
        <v>188</v>
      </c>
      <c r="M45" s="10" t="s">
        <v>177</v>
      </c>
      <c r="N45" s="10"/>
      <c r="O45" s="11">
        <v>2</v>
      </c>
      <c r="P45" s="11">
        <v>0</v>
      </c>
      <c r="Q45" s="13">
        <v>1.2E-2</v>
      </c>
      <c r="R45" s="14">
        <f>IF(OR($M45="Yes",$M45="Owner"),$C45*Cost!$B$6,0)</f>
        <v>5</v>
      </c>
      <c r="S45" s="16">
        <f t="shared" si="7"/>
        <v>0.06</v>
      </c>
      <c r="T45" s="4" t="s">
        <v>178</v>
      </c>
      <c r="U45" s="19"/>
      <c r="V45" s="14">
        <f>IF($M45="Owner",$R45,IF($M45&lt;&gt;"Yes",0,MAX(IF(LEFT($T45,7)="Passive",$R45+MAX(Cost!$B$8,ROUNDUP(Cost!$B$7*$R45,0)),$R45+Cost!$B$9),N($U45))))</f>
        <v>7</v>
      </c>
      <c r="W45" s="16">
        <f t="shared" si="8"/>
        <v>8.4000000000000005E-2</v>
      </c>
      <c r="X45" s="20" t="s">
        <v>520</v>
      </c>
      <c r="Y45" s="4" t="s">
        <v>521</v>
      </c>
      <c r="Z45" s="21" t="s">
        <v>525</v>
      </c>
      <c r="AA45" s="22">
        <f t="shared" si="9"/>
        <v>1</v>
      </c>
      <c r="AB45" s="22">
        <f>IF(OR($M45="Yes",$M45="Owner"),IF(COUNTIFS($H$4:$H45,$H45,$M$4:$M45,"Yes")+COUNTIFS($H$4:$H45,$H45,$M$4:$M45,"Owner")=1,1,0),0)</f>
        <v>0</v>
      </c>
      <c r="AC45" s="21" t="s">
        <v>181</v>
      </c>
      <c r="AD45" s="21" t="str">
        <f t="shared" si="10"/>
        <v>225</v>
      </c>
      <c r="AE45" s="23">
        <f t="shared" si="11"/>
        <v>2.2000000000000001E-6</v>
      </c>
      <c r="AF45" s="23" cm="1">
        <f t="array" ref="AF45">LEFT($E45,FIND(" ",$E45)-1)*IFERROR(INDEX({1000,1000000,0.000000000001,0.000000001,0.000001},MATCH(MID($E45,FIND(" ",$E45)+1,1),{"k","M","p","n","µ"},0)),1)</f>
        <v>2.2000000000000001E-6</v>
      </c>
      <c r="AG45" s="24" t="str">
        <f>IF(AND(RIGHT($E45,1)="F",ABS($AF45-$AE45)&lt;=Checks!$C$6*$AE45),"OK","CHECK")</f>
        <v>OK</v>
      </c>
    </row>
    <row r="46" spans="1:33" ht="27.75" customHeight="1" x14ac:dyDescent="0.2">
      <c r="A46" s="6" t="s">
        <v>514</v>
      </c>
      <c r="B46" s="4" t="s">
        <v>526</v>
      </c>
      <c r="C46" s="8">
        <v>5</v>
      </c>
      <c r="D46" s="4" t="s">
        <v>527</v>
      </c>
      <c r="E46" s="5" t="s">
        <v>169</v>
      </c>
      <c r="F46" s="5" t="s">
        <v>347</v>
      </c>
      <c r="G46" s="5" t="s">
        <v>517</v>
      </c>
      <c r="H46" s="4" t="s">
        <v>518</v>
      </c>
      <c r="I46" s="5" t="s">
        <v>519</v>
      </c>
      <c r="J46" s="4" t="s">
        <v>158</v>
      </c>
      <c r="K46" s="4" t="s">
        <v>175</v>
      </c>
      <c r="L46" s="4" t="s">
        <v>528</v>
      </c>
      <c r="M46" s="10" t="s">
        <v>177</v>
      </c>
      <c r="N46" s="10"/>
      <c r="O46" s="11">
        <v>2</v>
      </c>
      <c r="P46" s="11">
        <v>0</v>
      </c>
      <c r="Q46" s="13">
        <v>1.9099999999999999E-2</v>
      </c>
      <c r="R46" s="14">
        <f>IF(OR($M46="Yes",$M46="Owner"),$C46*Cost!$B$6,0)</f>
        <v>25</v>
      </c>
      <c r="S46" s="16">
        <f t="shared" si="7"/>
        <v>0.47749999999999998</v>
      </c>
      <c r="T46" s="4" t="s">
        <v>178</v>
      </c>
      <c r="U46" s="19"/>
      <c r="V46" s="14">
        <f>IF($M46="Owner",$R46,IF($M46&lt;&gt;"Yes",0,MAX(IF(LEFT($T46,7)="Passive",$R46+MAX(Cost!$B$8,ROUNDUP(Cost!$B$7*$R46,0)),$R46+Cost!$B$9),N($U46))))</f>
        <v>27</v>
      </c>
      <c r="W46" s="16">
        <f t="shared" si="8"/>
        <v>0.51569999999999994</v>
      </c>
      <c r="X46" s="20" t="s">
        <v>520</v>
      </c>
      <c r="Y46" s="4" t="s">
        <v>529</v>
      </c>
      <c r="Z46" s="21" t="s">
        <v>530</v>
      </c>
      <c r="AA46" s="22">
        <f t="shared" si="9"/>
        <v>5</v>
      </c>
      <c r="AB46" s="22">
        <f>IF(OR($M46="Yes",$M46="Owner"),IF(COUNTIFS($H$4:$H46,$H46,$M$4:$M46,"Yes")+COUNTIFS($H$4:$H46,$H46,$M$4:$M46,"Owner")=1,1,0),0)</f>
        <v>0</v>
      </c>
      <c r="AC46" s="21" t="s">
        <v>181</v>
      </c>
      <c r="AD46" s="21" t="str">
        <f t="shared" si="10"/>
        <v>225</v>
      </c>
      <c r="AE46" s="23">
        <f t="shared" si="11"/>
        <v>2.2000000000000001E-6</v>
      </c>
      <c r="AF46" s="23" cm="1">
        <f t="array" ref="AF46">LEFT($E46,FIND(" ",$E46)-1)*IFERROR(INDEX({1000,1000000,0.000000000001,0.000000001,0.000001},MATCH(MID($E46,FIND(" ",$E46)+1,1),{"k","M","p","n","µ"},0)),1)</f>
        <v>2.2000000000000001E-6</v>
      </c>
      <c r="AG46" s="24" t="str">
        <f>IF(AND(RIGHT($E46,1)="F",ABS($AF46-$AE46)&lt;=Checks!$C$6*$AE46),"OK","CHECK")</f>
        <v>OK</v>
      </c>
    </row>
    <row r="47" spans="1:33" ht="27.75" customHeight="1" x14ac:dyDescent="0.2">
      <c r="A47" s="6" t="s">
        <v>514</v>
      </c>
      <c r="B47" s="4" t="s">
        <v>531</v>
      </c>
      <c r="C47" s="8">
        <v>5</v>
      </c>
      <c r="D47" s="4" t="s">
        <v>532</v>
      </c>
      <c r="E47" s="5" t="s">
        <v>194</v>
      </c>
      <c r="F47" s="5" t="s">
        <v>154</v>
      </c>
      <c r="G47" s="5" t="s">
        <v>195</v>
      </c>
      <c r="H47" s="4" t="s">
        <v>196</v>
      </c>
      <c r="I47" s="5" t="s">
        <v>197</v>
      </c>
      <c r="J47" s="4" t="s">
        <v>158</v>
      </c>
      <c r="K47" s="4" t="s">
        <v>175</v>
      </c>
      <c r="L47" s="4" t="s">
        <v>533</v>
      </c>
      <c r="M47" s="10" t="s">
        <v>177</v>
      </c>
      <c r="N47" s="10"/>
      <c r="O47" s="11">
        <v>2</v>
      </c>
      <c r="P47" s="11">
        <v>0</v>
      </c>
      <c r="Q47" s="13">
        <v>4.4999999999999997E-3</v>
      </c>
      <c r="R47" s="14">
        <f>IF(OR($M47="Yes",$M47="Owner"),$C47*Cost!$B$6,0)</f>
        <v>25</v>
      </c>
      <c r="S47" s="16">
        <f t="shared" si="7"/>
        <v>0.11249999999999999</v>
      </c>
      <c r="T47" s="4" t="s">
        <v>178</v>
      </c>
      <c r="U47" s="19"/>
      <c r="V47" s="14">
        <f>IF($M47="Owner",$R47,IF($M47&lt;&gt;"Yes",0,MAX(IF(LEFT($T47,7)="Passive",$R47+MAX(Cost!$B$8,ROUNDUP(Cost!$B$7*$R47,0)),$R47+Cost!$B$9),N($U47))))</f>
        <v>27</v>
      </c>
      <c r="W47" s="16">
        <f t="shared" si="8"/>
        <v>0.1215</v>
      </c>
      <c r="X47" s="20" t="s">
        <v>198</v>
      </c>
      <c r="Y47" s="4"/>
      <c r="Z47" s="21" t="s">
        <v>534</v>
      </c>
      <c r="AA47" s="22">
        <f t="shared" si="9"/>
        <v>5</v>
      </c>
      <c r="AB47" s="22">
        <f>IF(OR($M47="Yes",$M47="Owner"),IF(COUNTIFS($H$4:$H47,$H47,$M$4:$M47,"Yes")+COUNTIFS($H$4:$H47,$H47,$M$4:$M47,"Owner")=1,1,0),0)</f>
        <v>0</v>
      </c>
      <c r="AC47" s="21" t="s">
        <v>181</v>
      </c>
      <c r="AD47" s="21" t="str">
        <f t="shared" si="10"/>
        <v>104</v>
      </c>
      <c r="AE47" s="23">
        <f t="shared" si="11"/>
        <v>9.9999999999999995E-8</v>
      </c>
      <c r="AF47" s="23" cm="1">
        <f t="array" ref="AF47">LEFT($E47,FIND(" ",$E47)-1)*IFERROR(INDEX({1000,1000000,0.000000000001,0.000000001,0.000001},MATCH(MID($E47,FIND(" ",$E47)+1,1),{"k","M","p","n","µ"},0)),1)</f>
        <v>1.0000000000000001E-7</v>
      </c>
      <c r="AG47" s="24" t="str">
        <f>IF(AND(RIGHT($E47,1)="F",ABS($AF47-$AE47)&lt;=Checks!$C$6*$AE47),"OK","CHECK")</f>
        <v>OK</v>
      </c>
    </row>
    <row r="48" spans="1:33" ht="27.75" customHeight="1" x14ac:dyDescent="0.2">
      <c r="A48" s="6" t="s">
        <v>514</v>
      </c>
      <c r="B48" s="4" t="s">
        <v>535</v>
      </c>
      <c r="C48" s="8">
        <v>1</v>
      </c>
      <c r="D48" s="4" t="s">
        <v>536</v>
      </c>
      <c r="E48" s="5" t="s">
        <v>346</v>
      </c>
      <c r="F48" s="5" t="s">
        <v>347</v>
      </c>
      <c r="G48" s="5" t="s">
        <v>537</v>
      </c>
      <c r="H48" s="4" t="s">
        <v>349</v>
      </c>
      <c r="I48" s="5" t="s">
        <v>350</v>
      </c>
      <c r="J48" s="4" t="s">
        <v>158</v>
      </c>
      <c r="K48" s="4" t="s">
        <v>175</v>
      </c>
      <c r="L48" s="4" t="s">
        <v>160</v>
      </c>
      <c r="M48" s="10" t="s">
        <v>177</v>
      </c>
      <c r="N48" s="10"/>
      <c r="O48" s="11">
        <v>2</v>
      </c>
      <c r="P48" s="11">
        <v>0</v>
      </c>
      <c r="Q48" s="13">
        <v>6.0000000000000001E-3</v>
      </c>
      <c r="R48" s="14">
        <f>IF(OR($M48="Yes",$M48="Owner"),$C48*Cost!$B$6,0)</f>
        <v>5</v>
      </c>
      <c r="S48" s="16">
        <f t="shared" si="7"/>
        <v>0.03</v>
      </c>
      <c r="T48" s="4" t="s">
        <v>178</v>
      </c>
      <c r="U48" s="19"/>
      <c r="V48" s="14">
        <f>IF($M48="Owner",$R48,IF($M48&lt;&gt;"Yes",0,MAX(IF(LEFT($T48,7)="Passive",$R48+MAX(Cost!$B$8,ROUNDUP(Cost!$B$7*$R48,0)),$R48+Cost!$B$9),N($U48))))</f>
        <v>7</v>
      </c>
      <c r="W48" s="16">
        <f t="shared" si="8"/>
        <v>4.2000000000000003E-2</v>
      </c>
      <c r="X48" s="20" t="s">
        <v>351</v>
      </c>
      <c r="Y48" s="4" t="s">
        <v>538</v>
      </c>
      <c r="Z48" s="21" t="s">
        <v>539</v>
      </c>
      <c r="AA48" s="22">
        <f t="shared" si="9"/>
        <v>1</v>
      </c>
      <c r="AB48" s="22">
        <f>IF(OR($M48="Yes",$M48="Owner"),IF(COUNTIFS($H$4:$H48,$H48,$M$4:$M48,"Yes")+COUNTIFS($H$4:$H48,$H48,$M$4:$M48,"Owner")=1,1,0),0)</f>
        <v>0</v>
      </c>
      <c r="AC48" s="21" t="s">
        <v>181</v>
      </c>
      <c r="AD48" s="21" t="str">
        <f t="shared" si="10"/>
        <v>105</v>
      </c>
      <c r="AE48" s="23">
        <f t="shared" si="11"/>
        <v>9.9999999999999995E-7</v>
      </c>
      <c r="AF48" s="23" cm="1">
        <f t="array" ref="AF48">LEFT($E48,FIND(" ",$E48)-1)*IFERROR(INDEX({1000,1000000,0.000000000001,0.000000001,0.000001},MATCH(MID($E48,FIND(" ",$E48)+1,1),{"k","M","p","n","µ"},0)),1)</f>
        <v>9.9999999999999995E-7</v>
      </c>
      <c r="AG48" s="24" t="str">
        <f>IF(AND(RIGHT($E48,1)="F",ABS($AF48-$AE48)&lt;=Checks!$C$6*$AE48),"OK","CHECK")</f>
        <v>OK</v>
      </c>
    </row>
    <row r="49" spans="1:33" ht="27.75" customHeight="1" x14ac:dyDescent="0.2">
      <c r="A49" s="6" t="s">
        <v>514</v>
      </c>
      <c r="B49" s="4" t="s">
        <v>540</v>
      </c>
      <c r="C49" s="8">
        <v>1</v>
      </c>
      <c r="D49" s="4" t="s">
        <v>541</v>
      </c>
      <c r="E49" s="5" t="s">
        <v>346</v>
      </c>
      <c r="F49" s="5" t="s">
        <v>347</v>
      </c>
      <c r="G49" s="5" t="s">
        <v>537</v>
      </c>
      <c r="H49" s="4" t="s">
        <v>349</v>
      </c>
      <c r="I49" s="5" t="s">
        <v>350</v>
      </c>
      <c r="J49" s="4" t="s">
        <v>158</v>
      </c>
      <c r="K49" s="4" t="s">
        <v>175</v>
      </c>
      <c r="L49" s="4" t="s">
        <v>160</v>
      </c>
      <c r="M49" s="10" t="s">
        <v>177</v>
      </c>
      <c r="N49" s="10"/>
      <c r="O49" s="11">
        <v>2</v>
      </c>
      <c r="P49" s="11">
        <v>0</v>
      </c>
      <c r="Q49" s="13">
        <v>6.0000000000000001E-3</v>
      </c>
      <c r="R49" s="14">
        <f>IF(OR($M49="Yes",$M49="Owner"),$C49*Cost!$B$6,0)</f>
        <v>5</v>
      </c>
      <c r="S49" s="16">
        <f t="shared" si="7"/>
        <v>0.03</v>
      </c>
      <c r="T49" s="4" t="s">
        <v>178</v>
      </c>
      <c r="U49" s="19"/>
      <c r="V49" s="14">
        <f>IF($M49="Owner",$R49,IF($M49&lt;&gt;"Yes",0,MAX(IF(LEFT($T49,7)="Passive",$R49+MAX(Cost!$B$8,ROUNDUP(Cost!$B$7*$R49,0)),$R49+Cost!$B$9),N($U49))))</f>
        <v>7</v>
      </c>
      <c r="W49" s="16">
        <f t="shared" si="8"/>
        <v>4.2000000000000003E-2</v>
      </c>
      <c r="X49" s="20" t="s">
        <v>351</v>
      </c>
      <c r="Y49" s="4" t="s">
        <v>538</v>
      </c>
      <c r="Z49" s="21" t="s">
        <v>542</v>
      </c>
      <c r="AA49" s="22">
        <f t="shared" si="9"/>
        <v>1</v>
      </c>
      <c r="AB49" s="22">
        <f>IF(OR($M49="Yes",$M49="Owner"),IF(COUNTIFS($H$4:$H49,$H49,$M$4:$M49,"Yes")+COUNTIFS($H$4:$H49,$H49,$M$4:$M49,"Owner")=1,1,0),0)</f>
        <v>0</v>
      </c>
      <c r="AC49" s="21" t="s">
        <v>181</v>
      </c>
      <c r="AD49" s="21" t="str">
        <f t="shared" si="10"/>
        <v>105</v>
      </c>
      <c r="AE49" s="23">
        <f t="shared" si="11"/>
        <v>9.9999999999999995E-7</v>
      </c>
      <c r="AF49" s="23" cm="1">
        <f t="array" ref="AF49">LEFT($E49,FIND(" ",$E49)-1)*IFERROR(INDEX({1000,1000000,0.000000000001,0.000000001,0.000001},MATCH(MID($E49,FIND(" ",$E49)+1,1),{"k","M","p","n","µ"},0)),1)</f>
        <v>9.9999999999999995E-7</v>
      </c>
      <c r="AG49" s="24" t="str">
        <f>IF(AND(RIGHT($E49,1)="F",ABS($AF49-$AE49)&lt;=Checks!$C$6*$AE49),"OK","CHECK")</f>
        <v>OK</v>
      </c>
    </row>
    <row r="50" spans="1:33" ht="53.25" customHeight="1" x14ac:dyDescent="0.2">
      <c r="A50" s="6" t="s">
        <v>514</v>
      </c>
      <c r="B50" s="4" t="s">
        <v>543</v>
      </c>
      <c r="C50" s="8">
        <v>1</v>
      </c>
      <c r="D50" s="4" t="s">
        <v>544</v>
      </c>
      <c r="E50" s="5" t="s">
        <v>346</v>
      </c>
      <c r="F50" s="5" t="s">
        <v>347</v>
      </c>
      <c r="G50" s="5" t="s">
        <v>537</v>
      </c>
      <c r="H50" s="4" t="s">
        <v>349</v>
      </c>
      <c r="I50" s="5" t="s">
        <v>350</v>
      </c>
      <c r="J50" s="4" t="s">
        <v>158</v>
      </c>
      <c r="K50" s="4" t="s">
        <v>159</v>
      </c>
      <c r="L50" s="4" t="s">
        <v>545</v>
      </c>
      <c r="M50" s="10" t="s">
        <v>161</v>
      </c>
      <c r="N50" s="10"/>
      <c r="O50" s="11">
        <v>2</v>
      </c>
      <c r="P50" s="11">
        <v>0</v>
      </c>
      <c r="Q50" s="13">
        <v>0</v>
      </c>
      <c r="R50" s="14">
        <f>IF(OR($M50="Yes",$M50="Owner"),$C50*Cost!$B$6,0)</f>
        <v>0</v>
      </c>
      <c r="S50" s="16">
        <f t="shared" si="7"/>
        <v>0</v>
      </c>
      <c r="T50" s="4" t="s">
        <v>162</v>
      </c>
      <c r="U50" s="19"/>
      <c r="V50" s="14">
        <f>IF($M50="Owner",$R50,IF($M50&lt;&gt;"Yes",0,MAX(IF(LEFT($T50,7)="Passive",$R50+MAX(Cost!$B$8,ROUNDUP(Cost!$B$7*$R50,0)),$R50+Cost!$B$9),N($U50))))</f>
        <v>0</v>
      </c>
      <c r="W50" s="16">
        <f t="shared" si="8"/>
        <v>0</v>
      </c>
      <c r="X50" s="20" t="s">
        <v>351</v>
      </c>
      <c r="Y50" s="4" t="s">
        <v>546</v>
      </c>
      <c r="Z50" s="21" t="s">
        <v>547</v>
      </c>
      <c r="AA50" s="22">
        <f t="shared" si="9"/>
        <v>1</v>
      </c>
      <c r="AB50" s="22">
        <f>IF(OR($M50="Yes",$M50="Owner"),IF(COUNTIFS($H$4:$H50,$H50,$M$4:$M50,"Yes")+COUNTIFS($H$4:$H50,$H50,$M$4:$M50,"Owner")=1,1,0),0)</f>
        <v>0</v>
      </c>
      <c r="AC50" s="21" t="s">
        <v>181</v>
      </c>
      <c r="AD50" s="21" t="str">
        <f t="shared" si="10"/>
        <v>105</v>
      </c>
      <c r="AE50" s="23">
        <f t="shared" si="11"/>
        <v>9.9999999999999995E-7</v>
      </c>
      <c r="AF50" s="23" cm="1">
        <f t="array" ref="AF50">LEFT($E50,FIND(" ",$E50)-1)*IFERROR(INDEX({1000,1000000,0.000000000001,0.000000001,0.000001},MATCH(MID($E50,FIND(" ",$E50)+1,1),{"k","M","p","n","µ"},0)),1)</f>
        <v>9.9999999999999995E-7</v>
      </c>
      <c r="AG50" s="24" t="str">
        <f>IF(AND(RIGHT($E50,1)="F",ABS($AF50-$AE50)&lt;=Checks!$C$6*$AE50),"OK","CHECK")</f>
        <v>OK</v>
      </c>
    </row>
    <row r="51" spans="1:33" ht="40.5" customHeight="1" x14ac:dyDescent="0.2">
      <c r="A51" s="6" t="s">
        <v>514</v>
      </c>
      <c r="B51" s="4" t="s">
        <v>548</v>
      </c>
      <c r="C51" s="8">
        <v>2</v>
      </c>
      <c r="D51" s="4" t="s">
        <v>549</v>
      </c>
      <c r="E51" s="5" t="s">
        <v>355</v>
      </c>
      <c r="F51" s="5" t="s">
        <v>347</v>
      </c>
      <c r="G51" s="5" t="s">
        <v>550</v>
      </c>
      <c r="H51" s="4" t="s">
        <v>357</v>
      </c>
      <c r="I51" s="5" t="s">
        <v>358</v>
      </c>
      <c r="J51" s="4" t="s">
        <v>158</v>
      </c>
      <c r="K51" s="4" t="s">
        <v>175</v>
      </c>
      <c r="L51" s="4" t="s">
        <v>533</v>
      </c>
      <c r="M51" s="10" t="s">
        <v>177</v>
      </c>
      <c r="N51" s="10"/>
      <c r="O51" s="11">
        <v>2</v>
      </c>
      <c r="P51" s="11">
        <v>0</v>
      </c>
      <c r="Q51" s="13">
        <v>1.2699999999999999E-2</v>
      </c>
      <c r="R51" s="14">
        <f>IF(OR($M51="Yes",$M51="Owner"),$C51*Cost!$B$6,0)</f>
        <v>10</v>
      </c>
      <c r="S51" s="16">
        <f t="shared" si="7"/>
        <v>0.127</v>
      </c>
      <c r="T51" s="4" t="s">
        <v>178</v>
      </c>
      <c r="U51" s="19"/>
      <c r="V51" s="14">
        <f>IF($M51="Owner",$R51,IF($M51&lt;&gt;"Yes",0,MAX(IF(LEFT($T51,7)="Passive",$R51+MAX(Cost!$B$8,ROUNDUP(Cost!$B$7*$R51,0)),$R51+Cost!$B$9),N($U51))))</f>
        <v>12</v>
      </c>
      <c r="W51" s="16">
        <f t="shared" si="8"/>
        <v>0.15239999999999998</v>
      </c>
      <c r="X51" s="20" t="s">
        <v>359</v>
      </c>
      <c r="Y51" s="4" t="s">
        <v>551</v>
      </c>
      <c r="Z51" s="21" t="s">
        <v>552</v>
      </c>
      <c r="AA51" s="22">
        <f t="shared" si="9"/>
        <v>2</v>
      </c>
      <c r="AB51" s="22">
        <f>IF(OR($M51="Yes",$M51="Owner"),IF(COUNTIFS($H$4:$H51,$H51,$M$4:$M51,"Yes")+COUNTIFS($H$4:$H51,$H51,$M$4:$M51,"Owner")=1,1,0),0)</f>
        <v>0</v>
      </c>
      <c r="AC51" s="21"/>
      <c r="AD51" s="21"/>
      <c r="AE51" s="23"/>
      <c r="AF51" s="23"/>
      <c r="AG51" s="24"/>
    </row>
    <row r="52" spans="1:33" ht="27.75" customHeight="1" x14ac:dyDescent="0.2">
      <c r="A52" s="6" t="s">
        <v>514</v>
      </c>
      <c r="B52" s="4" t="s">
        <v>553</v>
      </c>
      <c r="C52" s="8">
        <v>2</v>
      </c>
      <c r="D52" s="4" t="s">
        <v>554</v>
      </c>
      <c r="E52" s="5" t="s">
        <v>555</v>
      </c>
      <c r="F52" s="5" t="s">
        <v>170</v>
      </c>
      <c r="G52" s="5" t="s">
        <v>556</v>
      </c>
      <c r="H52" s="4" t="s">
        <v>557</v>
      </c>
      <c r="I52" s="5" t="s">
        <v>558</v>
      </c>
      <c r="J52" s="4" t="s">
        <v>158</v>
      </c>
      <c r="K52" s="4" t="s">
        <v>175</v>
      </c>
      <c r="L52" s="4" t="s">
        <v>533</v>
      </c>
      <c r="M52" s="10" t="s">
        <v>177</v>
      </c>
      <c r="N52" s="10"/>
      <c r="O52" s="11">
        <v>2</v>
      </c>
      <c r="P52" s="11">
        <v>0</v>
      </c>
      <c r="Q52" s="13">
        <v>3.0000000000000001E-3</v>
      </c>
      <c r="R52" s="14">
        <f>IF(OR($M52="Yes",$M52="Owner"),$C52*Cost!$B$6,0)</f>
        <v>10</v>
      </c>
      <c r="S52" s="16">
        <f t="shared" si="7"/>
        <v>0.03</v>
      </c>
      <c r="T52" s="4" t="s">
        <v>178</v>
      </c>
      <c r="U52" s="19"/>
      <c r="V52" s="14">
        <f>IF($M52="Owner",$R52,IF($M52&lt;&gt;"Yes",0,MAX(IF(LEFT($T52,7)="Passive",$R52+MAX(Cost!$B$8,ROUNDUP(Cost!$B$7*$R52,0)),$R52+Cost!$B$9),N($U52))))</f>
        <v>12</v>
      </c>
      <c r="W52" s="16">
        <f t="shared" si="8"/>
        <v>3.6000000000000004E-2</v>
      </c>
      <c r="X52" s="20" t="s">
        <v>559</v>
      </c>
      <c r="Y52" s="4"/>
      <c r="Z52" s="21" t="s">
        <v>560</v>
      </c>
      <c r="AA52" s="22">
        <f t="shared" si="9"/>
        <v>2</v>
      </c>
      <c r="AB52" s="22">
        <f>IF(OR($M52="Yes",$M52="Owner"),IF(COUNTIFS($H$4:$H52,$H52,$M$4:$M52,"Yes")+COUNTIFS($H$4:$H52,$H52,$M$4:$M52,"Owner")=1,1,0),0)</f>
        <v>1</v>
      </c>
      <c r="AC52" s="21" t="s">
        <v>234</v>
      </c>
      <c r="AD52" s="21" t="str">
        <f>MID($H52,18,4)</f>
        <v>220K</v>
      </c>
      <c r="AE52" s="23">
        <f>LEFT($AD52,3)*IF(ISNUMBER(--RIGHT($AD52,1)),10^RIGHT($AD52,1),10^(0-FIND(RIGHT($AD52,1),"JKLM")))</f>
        <v>2.2000000000000002</v>
      </c>
      <c r="AF52" s="23" cm="1">
        <f t="array" ref="AF52">LEFT($E52,FIND(" ",$E52)-1)*IFERROR(INDEX({1000,1000000,0.000000000001,0.000000001,0.000001},MATCH(MID($E52,FIND(" ",$E52)+1,1),{"k","M","p","n","µ"},0)),1)</f>
        <v>2.2000000000000002</v>
      </c>
      <c r="AG52" s="24" t="str">
        <f>IF(AND(RIGHT($E52,1)="Ω",ABS($AF52-$AE52)&lt;=Checks!$C$6*$AE52),"OK","CHECK")</f>
        <v>OK</v>
      </c>
    </row>
    <row r="53" spans="1:33" ht="27.75" customHeight="1" x14ac:dyDescent="0.2">
      <c r="A53" s="6" t="s">
        <v>514</v>
      </c>
      <c r="B53" s="4" t="s">
        <v>561</v>
      </c>
      <c r="C53" s="8">
        <v>1</v>
      </c>
      <c r="D53" s="4" t="s">
        <v>562</v>
      </c>
      <c r="E53" s="5" t="s">
        <v>244</v>
      </c>
      <c r="F53" s="5" t="s">
        <v>154</v>
      </c>
      <c r="G53" s="5" t="s">
        <v>229</v>
      </c>
      <c r="H53" s="4" t="s">
        <v>245</v>
      </c>
      <c r="I53" s="5" t="s">
        <v>246</v>
      </c>
      <c r="J53" s="4" t="s">
        <v>158</v>
      </c>
      <c r="K53" s="4" t="s">
        <v>175</v>
      </c>
      <c r="L53" s="4" t="s">
        <v>160</v>
      </c>
      <c r="M53" s="10" t="s">
        <v>177</v>
      </c>
      <c r="N53" s="10"/>
      <c r="O53" s="11">
        <v>2</v>
      </c>
      <c r="P53" s="11">
        <v>0</v>
      </c>
      <c r="Q53" s="13">
        <v>3.3E-3</v>
      </c>
      <c r="R53" s="14">
        <f>IF(OR($M53="Yes",$M53="Owner"),$C53*Cost!$B$6,0)</f>
        <v>5</v>
      </c>
      <c r="S53" s="16">
        <f t="shared" si="7"/>
        <v>1.6500000000000001E-2</v>
      </c>
      <c r="T53" s="4" t="s">
        <v>178</v>
      </c>
      <c r="U53" s="19"/>
      <c r="V53" s="14">
        <f>IF($M53="Owner",$R53,IF($M53&lt;&gt;"Yes",0,MAX(IF(LEFT($T53,7)="Passive",$R53+MAX(Cost!$B$8,ROUNDUP(Cost!$B$7*$R53,0)),$R53+Cost!$B$9),N($U53))))</f>
        <v>7</v>
      </c>
      <c r="W53" s="16">
        <f t="shared" si="8"/>
        <v>2.3099999999999999E-2</v>
      </c>
      <c r="X53" s="20" t="s">
        <v>247</v>
      </c>
      <c r="Y53" s="4" t="s">
        <v>563</v>
      </c>
      <c r="Z53" s="21" t="s">
        <v>564</v>
      </c>
      <c r="AA53" s="22">
        <f t="shared" si="9"/>
        <v>1</v>
      </c>
      <c r="AB53" s="22">
        <f>IF(OR($M53="Yes",$M53="Owner"),IF(COUNTIFS($H$4:$H53,$H53,$M$4:$M53,"Yes")+COUNTIFS($H$4:$H53,$H53,$M$4:$M53,"Owner")=1,1,0),0)</f>
        <v>0</v>
      </c>
      <c r="AC53" s="21" t="s">
        <v>234</v>
      </c>
      <c r="AD53" s="21" t="str">
        <f>MID($H53,18,4)</f>
        <v>1003</v>
      </c>
      <c r="AE53" s="23">
        <f>LEFT($AD53,3)*IF(ISNUMBER(--RIGHT($AD53,1)),10^RIGHT($AD53,1),10^(0-FIND(RIGHT($AD53,1),"JKLM")))</f>
        <v>100000</v>
      </c>
      <c r="AF53" s="23" cm="1">
        <f t="array" ref="AF53">LEFT($E53,FIND(" ",$E53)-1)*IFERROR(INDEX({1000,1000000,0.000000000001,0.000000001,0.000001},MATCH(MID($E53,FIND(" ",$E53)+1,1),{"k","M","p","n","µ"},0)),1)</f>
        <v>100000</v>
      </c>
      <c r="AG53" s="24" t="str">
        <f>IF(AND(RIGHT($E53,1)="Ω",ABS($AF53-$AE53)&lt;=Checks!$C$6*$AE53),"OK","CHECK")</f>
        <v>OK</v>
      </c>
    </row>
    <row r="54" spans="1:33" ht="40.5" customHeight="1" x14ac:dyDescent="0.2">
      <c r="A54" s="6" t="s">
        <v>514</v>
      </c>
      <c r="B54" s="4" t="s">
        <v>565</v>
      </c>
      <c r="C54" s="8">
        <v>1</v>
      </c>
      <c r="D54" s="4" t="s">
        <v>566</v>
      </c>
      <c r="E54" s="5" t="s">
        <v>237</v>
      </c>
      <c r="F54" s="5" t="s">
        <v>154</v>
      </c>
      <c r="G54" s="5" t="s">
        <v>229</v>
      </c>
      <c r="H54" s="4" t="s">
        <v>238</v>
      </c>
      <c r="I54" s="5" t="s">
        <v>239</v>
      </c>
      <c r="J54" s="4" t="s">
        <v>158</v>
      </c>
      <c r="K54" s="4" t="s">
        <v>175</v>
      </c>
      <c r="L54" s="4" t="s">
        <v>533</v>
      </c>
      <c r="M54" s="10" t="s">
        <v>177</v>
      </c>
      <c r="N54" s="10"/>
      <c r="O54" s="11">
        <v>2</v>
      </c>
      <c r="P54" s="11">
        <v>0</v>
      </c>
      <c r="Q54" s="13">
        <v>3.3E-3</v>
      </c>
      <c r="R54" s="14">
        <f>IF(OR($M54="Yes",$M54="Owner"),$C54*Cost!$B$6,0)</f>
        <v>5</v>
      </c>
      <c r="S54" s="16">
        <f t="shared" si="7"/>
        <v>1.6500000000000001E-2</v>
      </c>
      <c r="T54" s="4" t="s">
        <v>178</v>
      </c>
      <c r="U54" s="19"/>
      <c r="V54" s="14">
        <f>IF($M54="Owner",$R54,IF($M54&lt;&gt;"Yes",0,MAX(IF(LEFT($T54,7)="Passive",$R54+MAX(Cost!$B$8,ROUNDUP(Cost!$B$7*$R54,0)),$R54+Cost!$B$9),N($U54))))</f>
        <v>7</v>
      </c>
      <c r="W54" s="16">
        <f t="shared" si="8"/>
        <v>2.3099999999999999E-2</v>
      </c>
      <c r="X54" s="20" t="s">
        <v>240</v>
      </c>
      <c r="Y54" s="4" t="s">
        <v>567</v>
      </c>
      <c r="Z54" s="21" t="s">
        <v>568</v>
      </c>
      <c r="AA54" s="22">
        <f t="shared" si="9"/>
        <v>1</v>
      </c>
      <c r="AB54" s="22">
        <f>IF(OR($M54="Yes",$M54="Owner"),IF(COUNTIFS($H$4:$H54,$H54,$M$4:$M54,"Yes")+COUNTIFS($H$4:$H54,$H54,$M$4:$M54,"Owner")=1,1,0),0)</f>
        <v>0</v>
      </c>
      <c r="AC54" s="21" t="s">
        <v>234</v>
      </c>
      <c r="AD54" s="21" t="str">
        <f>MID($H54,18,4)</f>
        <v>1002</v>
      </c>
      <c r="AE54" s="23">
        <f>LEFT($AD54,3)*IF(ISNUMBER(--RIGHT($AD54,1)),10^RIGHT($AD54,1),10^(0-FIND(RIGHT($AD54,1),"JKLM")))</f>
        <v>10000</v>
      </c>
      <c r="AF54" s="23" cm="1">
        <f t="array" ref="AF54">LEFT($E54,FIND(" ",$E54)-1)*IFERROR(INDEX({1000,1000000,0.000000000001,0.000000001,0.000001},MATCH(MID($E54,FIND(" ",$E54)+1,1),{"k","M","p","n","µ"},0)),1)</f>
        <v>10000</v>
      </c>
      <c r="AG54" s="24" t="str">
        <f>IF(AND(RIGHT($E54,1)="Ω",ABS($AF54-$AE54)&lt;=Checks!$C$6*$AE54),"OK","CHECK")</f>
        <v>OK</v>
      </c>
    </row>
    <row r="55" spans="1:33" ht="27.75" customHeight="1" x14ac:dyDescent="0.2">
      <c r="A55" s="6" t="s">
        <v>514</v>
      </c>
      <c r="B55" s="4" t="s">
        <v>569</v>
      </c>
      <c r="C55" s="8">
        <v>1</v>
      </c>
      <c r="D55" s="4" t="s">
        <v>570</v>
      </c>
      <c r="E55" s="5" t="s">
        <v>571</v>
      </c>
      <c r="F55" s="5" t="s">
        <v>347</v>
      </c>
      <c r="G55" s="5" t="s">
        <v>572</v>
      </c>
      <c r="H55" s="4" t="s">
        <v>573</v>
      </c>
      <c r="I55" s="5" t="s">
        <v>574</v>
      </c>
      <c r="J55" s="4" t="s">
        <v>308</v>
      </c>
      <c r="K55" s="4" t="s">
        <v>175</v>
      </c>
      <c r="L55" s="4" t="s">
        <v>575</v>
      </c>
      <c r="M55" s="10" t="s">
        <v>177</v>
      </c>
      <c r="N55" s="10"/>
      <c r="O55" s="11">
        <v>2</v>
      </c>
      <c r="P55" s="11">
        <v>0</v>
      </c>
      <c r="Q55" s="13">
        <v>2.9600000000000001E-2</v>
      </c>
      <c r="R55" s="14">
        <f>IF(OR($M55="Yes",$M55="Owner"),$C55*Cost!$B$6,0)</f>
        <v>5</v>
      </c>
      <c r="S55" s="16">
        <f t="shared" si="7"/>
        <v>0.14800000000000002</v>
      </c>
      <c r="T55" s="4" t="s">
        <v>178</v>
      </c>
      <c r="U55" s="19"/>
      <c r="V55" s="14">
        <f>IF($M55="Owner",$R55,IF($M55&lt;&gt;"Yes",0,MAX(IF(LEFT($T55,7)="Passive",$R55+MAX(Cost!$B$8,ROUNDUP(Cost!$B$7*$R55,0)),$R55+Cost!$B$9),N($U55))))</f>
        <v>7</v>
      </c>
      <c r="W55" s="16">
        <f t="shared" si="8"/>
        <v>0.2072</v>
      </c>
      <c r="X55" s="20" t="s">
        <v>576</v>
      </c>
      <c r="Y55" s="4" t="s">
        <v>577</v>
      </c>
      <c r="Z55" s="21" t="s">
        <v>578</v>
      </c>
      <c r="AA55" s="22">
        <f t="shared" si="9"/>
        <v>1</v>
      </c>
      <c r="AB55" s="22">
        <f>IF(OR($M55="Yes",$M55="Owner"),IF(COUNTIFS($H$4:$H55,$H55,$M$4:$M55,"Yes")+COUNTIFS($H$4:$H55,$H55,$M$4:$M55,"Owner")=1,1,0),0)</f>
        <v>1</v>
      </c>
      <c r="AC55" s="21" t="s">
        <v>579</v>
      </c>
      <c r="AD55" s="21" t="str">
        <f>MID($H55,18,FIND("L",$H55,18)-18)</f>
        <v>15K</v>
      </c>
      <c r="AE55" s="23">
        <f>(SUBSTITUTE(SUBSTITUTE(SUBSTITUTE($AD55,"R","."),"K","."),"M",".")&amp;"0")*IF(ISNUMBER(FIND("K",$AD55)),1000,IF(ISNUMBER(FIND("M",$AD55)),10^6,1))</f>
        <v>15000</v>
      </c>
      <c r="AF55" s="23" cm="1">
        <f t="array" ref="AF55">LEFT($E55,FIND(" ",$E55)-1)*IFERROR(INDEX({1000,1000000,0.000000000001,0.000000001,0.000001},MATCH(MID($E55,FIND(" ",$E55)+1,1),{"k","M","p","n","µ"},0)),1)</f>
        <v>15000</v>
      </c>
      <c r="AG55" s="24" t="str">
        <f>IF(AND(RIGHT($E55,1)="Ω",ABS($AF55-$AE55)&lt;=Checks!$C$6*$AE55),"OK","CHECK")</f>
        <v>OK</v>
      </c>
    </row>
    <row r="56" spans="1:33" ht="27.75" customHeight="1" x14ac:dyDescent="0.2">
      <c r="A56" s="6" t="s">
        <v>514</v>
      </c>
      <c r="B56" s="4" t="s">
        <v>580</v>
      </c>
      <c r="C56" s="8">
        <v>1</v>
      </c>
      <c r="D56" s="4" t="s">
        <v>581</v>
      </c>
      <c r="E56" s="5" t="s">
        <v>582</v>
      </c>
      <c r="F56" s="5" t="s">
        <v>347</v>
      </c>
      <c r="G56" s="5" t="s">
        <v>572</v>
      </c>
      <c r="H56" s="4" t="s">
        <v>583</v>
      </c>
      <c r="I56" s="5" t="s">
        <v>584</v>
      </c>
      <c r="J56" s="4" t="s">
        <v>308</v>
      </c>
      <c r="K56" s="4" t="s">
        <v>175</v>
      </c>
      <c r="L56" s="4" t="s">
        <v>585</v>
      </c>
      <c r="M56" s="10" t="s">
        <v>177</v>
      </c>
      <c r="N56" s="10"/>
      <c r="O56" s="11">
        <v>2</v>
      </c>
      <c r="P56" s="11">
        <v>0</v>
      </c>
      <c r="Q56" s="13">
        <v>4.99E-2</v>
      </c>
      <c r="R56" s="14">
        <f>IF(OR($M56="Yes",$M56="Owner"),$C56*Cost!$B$6,0)</f>
        <v>5</v>
      </c>
      <c r="S56" s="16">
        <f t="shared" si="7"/>
        <v>0.2495</v>
      </c>
      <c r="T56" s="4" t="s">
        <v>178</v>
      </c>
      <c r="U56" s="19"/>
      <c r="V56" s="14">
        <f>IF($M56="Owner",$R56,IF($M56&lt;&gt;"Yes",0,MAX(IF(LEFT($T56,7)="Passive",$R56+MAX(Cost!$B$8,ROUNDUP(Cost!$B$7*$R56,0)),$R56+Cost!$B$9),N($U56))))</f>
        <v>7</v>
      </c>
      <c r="W56" s="16">
        <f t="shared" si="8"/>
        <v>0.3493</v>
      </c>
      <c r="X56" s="20" t="s">
        <v>586</v>
      </c>
      <c r="Y56" s="4" t="s">
        <v>577</v>
      </c>
      <c r="Z56" s="21" t="s">
        <v>587</v>
      </c>
      <c r="AA56" s="22">
        <f t="shared" si="9"/>
        <v>1</v>
      </c>
      <c r="AB56" s="22">
        <f>IF(OR($M56="Yes",$M56="Owner"),IF(COUNTIFS($H$4:$H56,$H56,$M$4:$M56,"Yes")+COUNTIFS($H$4:$H56,$H56,$M$4:$M56,"Owner")=1,1,0),0)</f>
        <v>1</v>
      </c>
      <c r="AC56" s="21" t="s">
        <v>579</v>
      </c>
      <c r="AD56" s="21" t="str">
        <f>MID($H56,18,FIND("L",$H56,18)-18)</f>
        <v>11K</v>
      </c>
      <c r="AE56" s="23">
        <f>(SUBSTITUTE(SUBSTITUTE(SUBSTITUTE($AD56,"R","."),"K","."),"M",".")&amp;"0")*IF(ISNUMBER(FIND("K",$AD56)),1000,IF(ISNUMBER(FIND("M",$AD56)),10^6,1))</f>
        <v>11000</v>
      </c>
      <c r="AF56" s="23" cm="1">
        <f t="array" ref="AF56">LEFT($E56,FIND(" ",$E56)-1)*IFERROR(INDEX({1000,1000000,0.000000000001,0.000000001,0.000001},MATCH(MID($E56,FIND(" ",$E56)+1,1),{"k","M","p","n","µ"},0)),1)</f>
        <v>11000</v>
      </c>
      <c r="AG56" s="24" t="str">
        <f>IF(AND(RIGHT($E56,1)="Ω",ABS($AF56-$AE56)&lt;=Checks!$C$6*$AE56),"OK","CHECK")</f>
        <v>OK</v>
      </c>
    </row>
    <row r="57" spans="1:33" ht="40.5" customHeight="1" x14ac:dyDescent="0.2">
      <c r="A57" s="6" t="s">
        <v>514</v>
      </c>
      <c r="B57" s="4" t="s">
        <v>588</v>
      </c>
      <c r="C57" s="8">
        <v>1</v>
      </c>
      <c r="D57" s="4" t="s">
        <v>589</v>
      </c>
      <c r="E57" s="5" t="s">
        <v>590</v>
      </c>
      <c r="F57" s="5" t="s">
        <v>591</v>
      </c>
      <c r="G57" s="5" t="s">
        <v>592</v>
      </c>
      <c r="H57" s="4" t="s">
        <v>593</v>
      </c>
      <c r="I57" s="5" t="s">
        <v>594</v>
      </c>
      <c r="J57" s="4" t="s">
        <v>174</v>
      </c>
      <c r="K57" s="4" t="s">
        <v>175</v>
      </c>
      <c r="L57" s="4" t="s">
        <v>595</v>
      </c>
      <c r="M57" s="10" t="s">
        <v>177</v>
      </c>
      <c r="N57" s="10" t="s">
        <v>177</v>
      </c>
      <c r="O57" s="11">
        <v>29</v>
      </c>
      <c r="P57" s="11">
        <v>0</v>
      </c>
      <c r="Q57" s="13">
        <v>3.4678</v>
      </c>
      <c r="R57" s="14">
        <f>IF(OR($M57="Yes",$M57="Owner"),$C57*Cost!$B$6,0)</f>
        <v>5</v>
      </c>
      <c r="S57" s="16">
        <f t="shared" si="7"/>
        <v>17.338999999999999</v>
      </c>
      <c r="T57" s="4" t="s">
        <v>222</v>
      </c>
      <c r="U57" s="19"/>
      <c r="V57" s="14">
        <f>IF($M57="Owner",$R57,IF($M57&lt;&gt;"Yes",0,MAX(IF(LEFT($T57,7)="Passive",$R57+MAX(Cost!$B$8,ROUNDUP(Cost!$B$7*$R57,0)),$R57+Cost!$B$9),N($U57))))</f>
        <v>6</v>
      </c>
      <c r="W57" s="16">
        <f t="shared" si="8"/>
        <v>20.806799999999999</v>
      </c>
      <c r="X57" s="20" t="s">
        <v>596</v>
      </c>
      <c r="Y57" s="4" t="s">
        <v>597</v>
      </c>
      <c r="Z57" s="21" t="s">
        <v>598</v>
      </c>
      <c r="AA57" s="22">
        <f t="shared" si="9"/>
        <v>1</v>
      </c>
      <c r="AB57" s="22">
        <f>IF(OR($M57="Yes",$M57="Owner"),IF(COUNTIFS($H$4:$H57,$H57,$M$4:$M57,"Yes")+COUNTIFS($H$4:$H57,$H57,$M$4:$M57,"Owner")=1,1,0),0)</f>
        <v>1</v>
      </c>
      <c r="AC57" s="21"/>
      <c r="AD57" s="21"/>
      <c r="AE57" s="23"/>
      <c r="AF57" s="23"/>
      <c r="AG57" s="24"/>
    </row>
    <row r="58" spans="1:33" ht="27.75" customHeight="1" x14ac:dyDescent="0.2">
      <c r="A58" s="6" t="s">
        <v>514</v>
      </c>
      <c r="B58" s="4" t="s">
        <v>599</v>
      </c>
      <c r="C58" s="8">
        <v>1</v>
      </c>
      <c r="D58" s="4" t="s">
        <v>600</v>
      </c>
      <c r="E58" s="5" t="s">
        <v>601</v>
      </c>
      <c r="F58" s="5" t="s">
        <v>602</v>
      </c>
      <c r="G58" s="5" t="s">
        <v>603</v>
      </c>
      <c r="H58" s="4" t="s">
        <v>604</v>
      </c>
      <c r="I58" s="5" t="s">
        <v>605</v>
      </c>
      <c r="J58" s="4" t="s">
        <v>174</v>
      </c>
      <c r="K58" s="4" t="s">
        <v>175</v>
      </c>
      <c r="L58" s="4" t="s">
        <v>160</v>
      </c>
      <c r="M58" s="10" t="s">
        <v>177</v>
      </c>
      <c r="N58" s="10"/>
      <c r="O58" s="11">
        <v>5</v>
      </c>
      <c r="P58" s="11">
        <v>0</v>
      </c>
      <c r="Q58" s="13">
        <v>0.2104</v>
      </c>
      <c r="R58" s="14">
        <f>IF(OR($M58="Yes",$M58="Owner"),$C58*Cost!$B$6,0)</f>
        <v>5</v>
      </c>
      <c r="S58" s="16">
        <f t="shared" si="7"/>
        <v>1.052</v>
      </c>
      <c r="T58" s="4" t="s">
        <v>222</v>
      </c>
      <c r="U58" s="19"/>
      <c r="V58" s="14">
        <f>IF($M58="Owner",$R58,IF($M58&lt;&gt;"Yes",0,MAX(IF(LEFT($T58,7)="Passive",$R58+MAX(Cost!$B$8,ROUNDUP(Cost!$B$7*$R58,0)),$R58+Cost!$B$9),N($U58))))</f>
        <v>6</v>
      </c>
      <c r="W58" s="16">
        <f t="shared" si="8"/>
        <v>1.2624</v>
      </c>
      <c r="X58" s="20" t="s">
        <v>606</v>
      </c>
      <c r="Y58" s="4" t="s">
        <v>607</v>
      </c>
      <c r="Z58" s="21" t="s">
        <v>608</v>
      </c>
      <c r="AA58" s="22">
        <f t="shared" si="9"/>
        <v>1</v>
      </c>
      <c r="AB58" s="22">
        <f>IF(OR($M58="Yes",$M58="Owner"),IF(COUNTIFS($H$4:$H58,$H58,$M$4:$M58,"Yes")+COUNTIFS($H$4:$H58,$H58,$M$4:$M58,"Owner")=1,1,0),0)</f>
        <v>1</v>
      </c>
      <c r="AC58" s="21"/>
      <c r="AD58" s="21"/>
      <c r="AE58" s="23"/>
      <c r="AF58" s="23"/>
      <c r="AG58" s="24"/>
    </row>
    <row r="59" spans="1:33" ht="40.5" customHeight="1" x14ac:dyDescent="0.2">
      <c r="A59" s="6" t="s">
        <v>514</v>
      </c>
      <c r="B59" s="4" t="s">
        <v>609</v>
      </c>
      <c r="C59" s="8">
        <v>1</v>
      </c>
      <c r="D59" s="4" t="s">
        <v>610</v>
      </c>
      <c r="E59" s="5" t="s">
        <v>611</v>
      </c>
      <c r="F59" s="5" t="s">
        <v>612</v>
      </c>
      <c r="G59" s="5" t="s">
        <v>613</v>
      </c>
      <c r="H59" s="4" t="s">
        <v>614</v>
      </c>
      <c r="I59" s="5" t="s">
        <v>615</v>
      </c>
      <c r="J59" s="4" t="s">
        <v>174</v>
      </c>
      <c r="K59" s="4" t="s">
        <v>175</v>
      </c>
      <c r="L59" s="4" t="s">
        <v>616</v>
      </c>
      <c r="M59" s="10" t="s">
        <v>177</v>
      </c>
      <c r="N59" s="10"/>
      <c r="O59" s="11">
        <v>5</v>
      </c>
      <c r="P59" s="11">
        <v>0</v>
      </c>
      <c r="Q59" s="13">
        <v>0.18</v>
      </c>
      <c r="R59" s="14">
        <f>IF(OR($M59="Yes",$M59="Owner"),$C59*Cost!$B$6,0)</f>
        <v>5</v>
      </c>
      <c r="S59" s="16">
        <f t="shared" si="7"/>
        <v>0.89999999999999991</v>
      </c>
      <c r="T59" s="4" t="s">
        <v>222</v>
      </c>
      <c r="U59" s="19"/>
      <c r="V59" s="14">
        <f>IF($M59="Owner",$R59,IF($M59&lt;&gt;"Yes",0,MAX(IF(LEFT($T59,7)="Passive",$R59+MAX(Cost!$B$8,ROUNDUP(Cost!$B$7*$R59,0)),$R59+Cost!$B$9),N($U59))))</f>
        <v>6</v>
      </c>
      <c r="W59" s="16">
        <f t="shared" si="8"/>
        <v>1.08</v>
      </c>
      <c r="X59" s="20" t="s">
        <v>617</v>
      </c>
      <c r="Y59" s="4" t="s">
        <v>618</v>
      </c>
      <c r="Z59" s="21" t="s">
        <v>619</v>
      </c>
      <c r="AA59" s="22">
        <f t="shared" si="9"/>
        <v>1</v>
      </c>
      <c r="AB59" s="22">
        <f>IF(OR($M59="Yes",$M59="Owner"),IF(COUNTIFS($H$4:$H59,$H59,$M$4:$M59,"Yes")+COUNTIFS($H$4:$H59,$H59,$M$4:$M59,"Owner")=1,1,0),0)</f>
        <v>1</v>
      </c>
      <c r="AC59" s="21"/>
      <c r="AD59" s="21"/>
      <c r="AE59" s="23"/>
      <c r="AF59" s="23"/>
      <c r="AG59" s="24"/>
    </row>
    <row r="60" spans="1:33" ht="27.75" customHeight="1" x14ac:dyDescent="0.2">
      <c r="A60" s="7" t="s">
        <v>620</v>
      </c>
      <c r="B60" s="4" t="s">
        <v>621</v>
      </c>
      <c r="C60" s="8">
        <v>8</v>
      </c>
      <c r="D60" s="4" t="s">
        <v>622</v>
      </c>
      <c r="E60" s="5" t="s">
        <v>623</v>
      </c>
      <c r="F60" s="5" t="s">
        <v>347</v>
      </c>
      <c r="G60" s="5" t="s">
        <v>624</v>
      </c>
      <c r="H60" s="4" t="s">
        <v>625</v>
      </c>
      <c r="I60" s="5" t="s">
        <v>626</v>
      </c>
      <c r="J60" s="4" t="s">
        <v>158</v>
      </c>
      <c r="K60" s="4" t="s">
        <v>175</v>
      </c>
      <c r="L60" s="4" t="s">
        <v>627</v>
      </c>
      <c r="M60" s="10" t="s">
        <v>177</v>
      </c>
      <c r="N60" s="10"/>
      <c r="O60" s="11">
        <v>2</v>
      </c>
      <c r="P60" s="11">
        <v>0</v>
      </c>
      <c r="Q60" s="13">
        <v>7.6E-3</v>
      </c>
      <c r="R60" s="14">
        <f>IF(OR($M60="Yes",$M60="Owner"),$C60*Cost!$B$6,0)</f>
        <v>40</v>
      </c>
      <c r="S60" s="16">
        <f t="shared" si="7"/>
        <v>0.30399999999999999</v>
      </c>
      <c r="T60" s="4" t="s">
        <v>178</v>
      </c>
      <c r="U60" s="19"/>
      <c r="V60" s="14">
        <f>IF($M60="Owner",$R60,IF($M60&lt;&gt;"Yes",0,MAX(IF(LEFT($T60,7)="Passive",$R60+MAX(Cost!$B$8,ROUNDUP(Cost!$B$7*$R60,0)),$R60+Cost!$B$9),N($U60))))</f>
        <v>42</v>
      </c>
      <c r="W60" s="16">
        <f t="shared" si="8"/>
        <v>0.31919999999999998</v>
      </c>
      <c r="X60" s="20" t="s">
        <v>628</v>
      </c>
      <c r="Y60" s="4" t="s">
        <v>629</v>
      </c>
      <c r="Z60" s="21" t="s">
        <v>630</v>
      </c>
      <c r="AA60" s="22">
        <f t="shared" si="9"/>
        <v>8</v>
      </c>
      <c r="AB60" s="22">
        <f>IF(OR($M60="Yes",$M60="Owner"),IF(COUNTIFS($H$4:$H60,$H60,$M$4:$M60,"Yes")+COUNTIFS($H$4:$H60,$H60,$M$4:$M60,"Owner")=1,1,0),0)</f>
        <v>1</v>
      </c>
      <c r="AC60" s="21" t="s">
        <v>181</v>
      </c>
      <c r="AD60" s="21" t="str">
        <f>MID($H60,FIND("CL",$H60)+5,3)</f>
        <v>100</v>
      </c>
      <c r="AE60" s="23">
        <f>IF(ISNUMBER(FIND("R",$AD60)),SUBSTITUTE($AD60,"R",".")*1,LEFT($AD60,2)*10^RIGHT($AD60,1))*10^-12</f>
        <v>9.9999999999999994E-12</v>
      </c>
      <c r="AF60" s="23" cm="1">
        <f t="array" ref="AF60">LEFT($E60,FIND(" ",$E60)-1)*IFERROR(INDEX({1000,1000000,0.000000000001,0.000000001,0.000001},MATCH(MID($E60,FIND(" ",$E60)+1,1),{"k","M","p","n","µ"},0)),1)</f>
        <v>9.9999999999999994E-12</v>
      </c>
      <c r="AG60" s="24" t="str">
        <f>IF(AND(RIGHT($E60,1)="F",ABS($AF60-$AE60)&lt;=Checks!$C$6*$AE60),"OK","CHECK")</f>
        <v>OK</v>
      </c>
    </row>
    <row r="61" spans="1:33" ht="27.75" customHeight="1" x14ac:dyDescent="0.2">
      <c r="A61" s="6" t="s">
        <v>620</v>
      </c>
      <c r="B61" s="4" t="s">
        <v>631</v>
      </c>
      <c r="C61" s="8">
        <v>4</v>
      </c>
      <c r="D61" s="4" t="s">
        <v>632</v>
      </c>
      <c r="E61" s="5" t="s">
        <v>194</v>
      </c>
      <c r="F61" s="5" t="s">
        <v>154</v>
      </c>
      <c r="G61" s="5" t="s">
        <v>195</v>
      </c>
      <c r="H61" s="4" t="s">
        <v>196</v>
      </c>
      <c r="I61" s="5" t="s">
        <v>197</v>
      </c>
      <c r="J61" s="4" t="s">
        <v>158</v>
      </c>
      <c r="K61" s="4" t="s">
        <v>175</v>
      </c>
      <c r="L61" s="4" t="s">
        <v>533</v>
      </c>
      <c r="M61" s="10" t="s">
        <v>177</v>
      </c>
      <c r="N61" s="10"/>
      <c r="O61" s="11">
        <v>2</v>
      </c>
      <c r="P61" s="11">
        <v>0</v>
      </c>
      <c r="Q61" s="13">
        <v>4.4999999999999997E-3</v>
      </c>
      <c r="R61" s="14">
        <f>IF(OR($M61="Yes",$M61="Owner"),$C61*Cost!$B$6,0)</f>
        <v>20</v>
      </c>
      <c r="S61" s="16">
        <f t="shared" si="7"/>
        <v>0.09</v>
      </c>
      <c r="T61" s="4" t="s">
        <v>178</v>
      </c>
      <c r="U61" s="19"/>
      <c r="V61" s="14">
        <f>IF($M61="Owner",$R61,IF($M61&lt;&gt;"Yes",0,MAX(IF(LEFT($T61,7)="Passive",$R61+MAX(Cost!$B$8,ROUNDUP(Cost!$B$7*$R61,0)),$R61+Cost!$B$9),N($U61))))</f>
        <v>22</v>
      </c>
      <c r="W61" s="16">
        <f t="shared" si="8"/>
        <v>9.8999999999999991E-2</v>
      </c>
      <c r="X61" s="20" t="s">
        <v>198</v>
      </c>
      <c r="Y61" s="4"/>
      <c r="Z61" s="21" t="s">
        <v>633</v>
      </c>
      <c r="AA61" s="22">
        <f t="shared" si="9"/>
        <v>4</v>
      </c>
      <c r="AB61" s="22">
        <f>IF(OR($M61="Yes",$M61="Owner"),IF(COUNTIFS($H$4:$H61,$H61,$M$4:$M61,"Yes")+COUNTIFS($H$4:$H61,$H61,$M$4:$M61,"Owner")=1,1,0),0)</f>
        <v>0</v>
      </c>
      <c r="AC61" s="21" t="s">
        <v>181</v>
      </c>
      <c r="AD61" s="21" t="str">
        <f>MID($H61,FIND("CL",$H61)+5,3)</f>
        <v>104</v>
      </c>
      <c r="AE61" s="23">
        <f>IF(ISNUMBER(FIND("R",$AD61)),SUBSTITUTE($AD61,"R",".")*1,LEFT($AD61,2)*10^RIGHT($AD61,1))*10^-12</f>
        <v>9.9999999999999995E-8</v>
      </c>
      <c r="AF61" s="23" cm="1">
        <f t="array" ref="AF61">LEFT($E61,FIND(" ",$E61)-1)*IFERROR(INDEX({1000,1000000,0.000000000001,0.000000001,0.000001},MATCH(MID($E61,FIND(" ",$E61)+1,1),{"k","M","p","n","µ"},0)),1)</f>
        <v>1.0000000000000001E-7</v>
      </c>
      <c r="AG61" s="24" t="str">
        <f>IF(AND(RIGHT($E61,1)="F",ABS($AF61-$AE61)&lt;=Checks!$C$6*$AE61),"OK","CHECK")</f>
        <v>OK</v>
      </c>
    </row>
    <row r="62" spans="1:33" ht="27.75" customHeight="1" x14ac:dyDescent="0.2">
      <c r="A62" s="6" t="s">
        <v>620</v>
      </c>
      <c r="B62" s="4" t="s">
        <v>634</v>
      </c>
      <c r="C62" s="8">
        <v>4</v>
      </c>
      <c r="D62" s="4" t="s">
        <v>635</v>
      </c>
      <c r="E62" s="5" t="s">
        <v>636</v>
      </c>
      <c r="F62" s="5" t="s">
        <v>170</v>
      </c>
      <c r="G62" s="5" t="s">
        <v>171</v>
      </c>
      <c r="H62" s="4" t="s">
        <v>637</v>
      </c>
      <c r="I62" s="5" t="s">
        <v>638</v>
      </c>
      <c r="J62" s="4" t="s">
        <v>158</v>
      </c>
      <c r="K62" s="4" t="s">
        <v>175</v>
      </c>
      <c r="L62" s="4" t="s">
        <v>533</v>
      </c>
      <c r="M62" s="10" t="s">
        <v>177</v>
      </c>
      <c r="N62" s="10"/>
      <c r="O62" s="11">
        <v>2</v>
      </c>
      <c r="P62" s="11">
        <v>0</v>
      </c>
      <c r="Q62" s="13">
        <v>8.5000000000000006E-2</v>
      </c>
      <c r="R62" s="14">
        <f>IF(OR($M62="Yes",$M62="Owner"),$C62*Cost!$B$6,0)</f>
        <v>20</v>
      </c>
      <c r="S62" s="16">
        <f t="shared" si="7"/>
        <v>1.7000000000000002</v>
      </c>
      <c r="T62" s="4" t="s">
        <v>178</v>
      </c>
      <c r="U62" s="19"/>
      <c r="V62" s="14">
        <f>IF($M62="Owner",$R62,IF($M62&lt;&gt;"Yes",0,MAX(IF(LEFT($T62,7)="Passive",$R62+MAX(Cost!$B$8,ROUNDUP(Cost!$B$7*$R62,0)),$R62+Cost!$B$9),N($U62))))</f>
        <v>22</v>
      </c>
      <c r="W62" s="16">
        <f t="shared" si="8"/>
        <v>1.87</v>
      </c>
      <c r="X62" s="20" t="s">
        <v>639</v>
      </c>
      <c r="Y62" s="4"/>
      <c r="Z62" s="21" t="s">
        <v>640</v>
      </c>
      <c r="AA62" s="22">
        <f t="shared" si="9"/>
        <v>4</v>
      </c>
      <c r="AB62" s="22">
        <f>IF(OR($M62="Yes",$M62="Owner"),IF(COUNTIFS($H$4:$H62,$H62,$M$4:$M62,"Yes")+COUNTIFS($H$4:$H62,$H62,$M$4:$M62,"Owner")=1,1,0),0)</f>
        <v>1</v>
      </c>
      <c r="AC62" s="21" t="s">
        <v>181</v>
      </c>
      <c r="AD62" s="21" t="str">
        <f>MID($H62,FIND("CL",$H62)+5,3)</f>
        <v>106</v>
      </c>
      <c r="AE62" s="23">
        <f>IF(ISNUMBER(FIND("R",$AD62)),SUBSTITUTE($AD62,"R",".")*1,LEFT($AD62,2)*10^RIGHT($AD62,1))*10^-12</f>
        <v>9.9999999999999991E-6</v>
      </c>
      <c r="AF62" s="23" cm="1">
        <f t="array" ref="AF62">LEFT($E62,FIND(" ",$E62)-1)*IFERROR(INDEX({1000,1000000,0.000000000001,0.000000001,0.000001},MATCH(MID($E62,FIND(" ",$E62)+1,1),{"k","M","p","n","µ"},0)),1)</f>
        <v>9.9999999999999991E-6</v>
      </c>
      <c r="AG62" s="24" t="str">
        <f>IF(AND(RIGHT($E62,1)="F",ABS($AF62-$AE62)&lt;=Checks!$C$6*$AE62),"OK","CHECK")</f>
        <v>OK</v>
      </c>
    </row>
    <row r="63" spans="1:33" ht="27.75" customHeight="1" x14ac:dyDescent="0.2">
      <c r="A63" s="6" t="s">
        <v>620</v>
      </c>
      <c r="B63" s="4" t="s">
        <v>641</v>
      </c>
      <c r="C63" s="8">
        <v>4</v>
      </c>
      <c r="D63" s="4" t="s">
        <v>642</v>
      </c>
      <c r="E63" s="5" t="s">
        <v>643</v>
      </c>
      <c r="F63" s="5" t="s">
        <v>347</v>
      </c>
      <c r="G63" s="5" t="s">
        <v>185</v>
      </c>
      <c r="H63" s="4" t="s">
        <v>644</v>
      </c>
      <c r="I63" s="5" t="s">
        <v>645</v>
      </c>
      <c r="J63" s="4" t="s">
        <v>174</v>
      </c>
      <c r="K63" s="4" t="s">
        <v>175</v>
      </c>
      <c r="L63" s="4" t="s">
        <v>646</v>
      </c>
      <c r="M63" s="10" t="s">
        <v>177</v>
      </c>
      <c r="N63" s="10"/>
      <c r="O63" s="11">
        <v>2</v>
      </c>
      <c r="P63" s="11">
        <v>0</v>
      </c>
      <c r="Q63" s="13">
        <v>1.11E-2</v>
      </c>
      <c r="R63" s="14">
        <f>IF(OR($M63="Yes",$M63="Owner"),$C63*Cost!$B$6,0)</f>
        <v>20</v>
      </c>
      <c r="S63" s="16">
        <f t="shared" si="7"/>
        <v>0.222</v>
      </c>
      <c r="T63" s="4" t="s">
        <v>178</v>
      </c>
      <c r="U63" s="19"/>
      <c r="V63" s="14">
        <f>IF($M63="Owner",$R63,IF($M63&lt;&gt;"Yes",0,MAX(IF(LEFT($T63,7)="Passive",$R63+MAX(Cost!$B$8,ROUNDUP(Cost!$B$7*$R63,0)),$R63+Cost!$B$9),N($U63))))</f>
        <v>22</v>
      </c>
      <c r="W63" s="16">
        <f t="shared" si="8"/>
        <v>0.2442</v>
      </c>
      <c r="X63" s="20" t="s">
        <v>647</v>
      </c>
      <c r="Y63" s="4"/>
      <c r="Z63" s="21" t="s">
        <v>648</v>
      </c>
      <c r="AA63" s="22">
        <f t="shared" si="9"/>
        <v>4</v>
      </c>
      <c r="AB63" s="22">
        <f>IF(OR($M63="Yes",$M63="Owner"),IF(COUNTIFS($H$4:$H63,$H63,$M$4:$M63,"Yes")+COUNTIFS($H$4:$H63,$H63,$M$4:$M63,"Owner")=1,1,0),0)</f>
        <v>1</v>
      </c>
      <c r="AC63" s="21"/>
      <c r="AD63" s="21"/>
      <c r="AE63" s="23"/>
      <c r="AF63" s="23"/>
      <c r="AG63" s="24"/>
    </row>
    <row r="64" spans="1:33" ht="27.75" customHeight="1" x14ac:dyDescent="0.2">
      <c r="A64" s="6" t="s">
        <v>620</v>
      </c>
      <c r="B64" s="4" t="s">
        <v>649</v>
      </c>
      <c r="C64" s="8">
        <v>1</v>
      </c>
      <c r="D64" s="4" t="s">
        <v>650</v>
      </c>
      <c r="E64" s="5" t="s">
        <v>316</v>
      </c>
      <c r="F64" s="5" t="s">
        <v>154</v>
      </c>
      <c r="G64" s="5" t="s">
        <v>185</v>
      </c>
      <c r="H64" s="4" t="s">
        <v>318</v>
      </c>
      <c r="I64" s="5" t="s">
        <v>319</v>
      </c>
      <c r="J64" s="4" t="s">
        <v>158</v>
      </c>
      <c r="K64" s="4" t="s">
        <v>175</v>
      </c>
      <c r="L64" s="4" t="s">
        <v>533</v>
      </c>
      <c r="M64" s="10" t="s">
        <v>177</v>
      </c>
      <c r="N64" s="10"/>
      <c r="O64" s="11">
        <v>2</v>
      </c>
      <c r="P64" s="11">
        <v>0</v>
      </c>
      <c r="Q64" s="13">
        <v>2E-3</v>
      </c>
      <c r="R64" s="14">
        <f>IF(OR($M64="Yes",$M64="Owner"),$C64*Cost!$B$6,0)</f>
        <v>5</v>
      </c>
      <c r="S64" s="16">
        <f t="shared" si="7"/>
        <v>0.01</v>
      </c>
      <c r="T64" s="4" t="s">
        <v>178</v>
      </c>
      <c r="U64" s="19"/>
      <c r="V64" s="14">
        <f>IF($M64="Owner",$R64,IF($M64&lt;&gt;"Yes",0,MAX(IF(LEFT($T64,7)="Passive",$R64+MAX(Cost!$B$8,ROUNDUP(Cost!$B$7*$R64,0)),$R64+Cost!$B$9),N($U64))))</f>
        <v>7</v>
      </c>
      <c r="W64" s="16">
        <f t="shared" si="8"/>
        <v>1.4E-2</v>
      </c>
      <c r="X64" s="20" t="s">
        <v>320</v>
      </c>
      <c r="Y64" s="4"/>
      <c r="Z64" s="21" t="s">
        <v>651</v>
      </c>
      <c r="AA64" s="22">
        <f t="shared" si="9"/>
        <v>1</v>
      </c>
      <c r="AB64" s="22">
        <f>IF(OR($M64="Yes",$M64="Owner"),IF(COUNTIFS($H$4:$H64,$H64,$M$4:$M64,"Yes")+COUNTIFS($H$4:$H64,$H64,$M$4:$M64,"Owner")=1,1,0),0)</f>
        <v>0</v>
      </c>
      <c r="AC64" s="21" t="s">
        <v>166</v>
      </c>
      <c r="AD64" s="21" t="str">
        <f>IF(ISNUMBER(FIND("CG",$H64)),MID($H64,FIND("CG",$H64)+2,3),MID($H64,FIND(" 0",$H64)+6,3))</f>
        <v>330</v>
      </c>
      <c r="AE64" s="23">
        <f>IF(ISNUMBER(FIND("R",$AD64)),SUBSTITUTE($AD64,"R",".")*1,LEFT($AD64,2)*10^RIGHT($AD64,1))*10^-12</f>
        <v>3.3000000000000002E-11</v>
      </c>
      <c r="AF64" s="23" cm="1">
        <f t="array" ref="AF64">LEFT($E64,FIND(" ",$E64)-1)*IFERROR(INDEX({1000,1000000,0.000000000001,0.000000001,0.000001},MATCH(MID($E64,FIND(" ",$E64)+1,1),{"k","M","p","n","µ"},0)),1)</f>
        <v>3.3000000000000002E-11</v>
      </c>
      <c r="AG64" s="24" t="str">
        <f>IF(AND(RIGHT($E64,1)="F",ABS($AF64-$AE64)&lt;=Checks!$C$6*$AE64),"OK","CHECK")</f>
        <v>OK</v>
      </c>
    </row>
    <row r="65" spans="1:33" ht="27.75" customHeight="1" x14ac:dyDescent="0.2">
      <c r="A65" s="6" t="s">
        <v>620</v>
      </c>
      <c r="B65" s="4" t="s">
        <v>652</v>
      </c>
      <c r="C65" s="8">
        <v>4</v>
      </c>
      <c r="D65" s="4" t="s">
        <v>653</v>
      </c>
      <c r="E65" s="5" t="s">
        <v>194</v>
      </c>
      <c r="F65" s="5" t="s">
        <v>154</v>
      </c>
      <c r="G65" s="5" t="s">
        <v>195</v>
      </c>
      <c r="H65" s="4" t="s">
        <v>196</v>
      </c>
      <c r="I65" s="5" t="s">
        <v>197</v>
      </c>
      <c r="J65" s="4" t="s">
        <v>158</v>
      </c>
      <c r="K65" s="4" t="s">
        <v>175</v>
      </c>
      <c r="L65" s="4" t="s">
        <v>533</v>
      </c>
      <c r="M65" s="10" t="s">
        <v>177</v>
      </c>
      <c r="N65" s="10"/>
      <c r="O65" s="11">
        <v>2</v>
      </c>
      <c r="P65" s="11">
        <v>0</v>
      </c>
      <c r="Q65" s="13">
        <v>4.4999999999999997E-3</v>
      </c>
      <c r="R65" s="14">
        <f>IF(OR($M65="Yes",$M65="Owner"),$C65*Cost!$B$6,0)</f>
        <v>20</v>
      </c>
      <c r="S65" s="16">
        <f t="shared" si="7"/>
        <v>0.09</v>
      </c>
      <c r="T65" s="4" t="s">
        <v>178</v>
      </c>
      <c r="U65" s="19"/>
      <c r="V65" s="14">
        <f>IF($M65="Owner",$R65,IF($M65&lt;&gt;"Yes",0,MAX(IF(LEFT($T65,7)="Passive",$R65+MAX(Cost!$B$8,ROUNDUP(Cost!$B$7*$R65,0)),$R65+Cost!$B$9),N($U65))))</f>
        <v>22</v>
      </c>
      <c r="W65" s="16">
        <f t="shared" si="8"/>
        <v>9.8999999999999991E-2</v>
      </c>
      <c r="X65" s="20" t="s">
        <v>198</v>
      </c>
      <c r="Y65" s="4"/>
      <c r="Z65" s="21" t="s">
        <v>654</v>
      </c>
      <c r="AA65" s="22">
        <f t="shared" si="9"/>
        <v>4</v>
      </c>
      <c r="AB65" s="22">
        <f>IF(OR($M65="Yes",$M65="Owner"),IF(COUNTIFS($H$4:$H65,$H65,$M$4:$M65,"Yes")+COUNTIFS($H$4:$H65,$H65,$M$4:$M65,"Owner")=1,1,0),0)</f>
        <v>0</v>
      </c>
      <c r="AC65" s="21" t="s">
        <v>181</v>
      </c>
      <c r="AD65" s="21" t="str">
        <f>MID($H65,FIND("CL",$H65)+5,3)</f>
        <v>104</v>
      </c>
      <c r="AE65" s="23">
        <f>IF(ISNUMBER(FIND("R",$AD65)),SUBSTITUTE($AD65,"R",".")*1,LEFT($AD65,2)*10^RIGHT($AD65,1))*10^-12</f>
        <v>9.9999999999999995E-8</v>
      </c>
      <c r="AF65" s="23" cm="1">
        <f t="array" ref="AF65">LEFT($E65,FIND(" ",$E65)-1)*IFERROR(INDEX({1000,1000000,0.000000000001,0.000000001,0.000001},MATCH(MID($E65,FIND(" ",$E65)+1,1),{"k","M","p","n","µ"},0)),1)</f>
        <v>1.0000000000000001E-7</v>
      </c>
      <c r="AG65" s="24" t="str">
        <f>IF(AND(RIGHT($E65,1)="F",ABS($AF65-$AE65)&lt;=Checks!$C$6*$AE65),"OK","CHECK")</f>
        <v>OK</v>
      </c>
    </row>
    <row r="66" spans="1:33" ht="27.75" customHeight="1" x14ac:dyDescent="0.2">
      <c r="A66" s="6" t="s">
        <v>620</v>
      </c>
      <c r="B66" s="4" t="s">
        <v>655</v>
      </c>
      <c r="C66" s="8">
        <v>8</v>
      </c>
      <c r="D66" s="4" t="s">
        <v>656</v>
      </c>
      <c r="E66" s="5" t="s">
        <v>657</v>
      </c>
      <c r="F66" s="5" t="s">
        <v>347</v>
      </c>
      <c r="G66" s="5" t="s">
        <v>185</v>
      </c>
      <c r="H66" s="4" t="s">
        <v>658</v>
      </c>
      <c r="I66" s="5" t="s">
        <v>659</v>
      </c>
      <c r="J66" s="4" t="s">
        <v>174</v>
      </c>
      <c r="K66" s="4" t="s">
        <v>175</v>
      </c>
      <c r="L66" s="4" t="s">
        <v>660</v>
      </c>
      <c r="M66" s="10" t="s">
        <v>177</v>
      </c>
      <c r="N66" s="10"/>
      <c r="O66" s="11">
        <v>2</v>
      </c>
      <c r="P66" s="11">
        <v>0</v>
      </c>
      <c r="Q66" s="13">
        <v>1.6299999999999999E-2</v>
      </c>
      <c r="R66" s="14">
        <f>IF(OR($M66="Yes",$M66="Owner"),$C66*Cost!$B$6,0)</f>
        <v>40</v>
      </c>
      <c r="S66" s="16">
        <f t="shared" si="7"/>
        <v>0.65199999999999991</v>
      </c>
      <c r="T66" s="4" t="s">
        <v>178</v>
      </c>
      <c r="U66" s="19"/>
      <c r="V66" s="14">
        <f>IF($M66="Owner",$R66,IF($M66&lt;&gt;"Yes",0,MAX(IF(LEFT($T66,7)="Passive",$R66+MAX(Cost!$B$8,ROUNDUP(Cost!$B$7*$R66,0)),$R66+Cost!$B$9),N($U66))))</f>
        <v>42</v>
      </c>
      <c r="W66" s="16">
        <f t="shared" si="8"/>
        <v>0.68459999999999999</v>
      </c>
      <c r="X66" s="20" t="s">
        <v>661</v>
      </c>
      <c r="Y66" s="4"/>
      <c r="Z66" s="21" t="s">
        <v>662</v>
      </c>
      <c r="AA66" s="22">
        <f t="shared" si="9"/>
        <v>8</v>
      </c>
      <c r="AB66" s="22">
        <f>IF(OR($M66="Yes",$M66="Owner"),IF(COUNTIFS($H$4:$H66,$H66,$M$4:$M66,"Yes")+COUNTIFS($H$4:$H66,$H66,$M$4:$M66,"Owner")=1,1,0),0)</f>
        <v>1</v>
      </c>
      <c r="AC66" s="21"/>
      <c r="AD66" s="21"/>
      <c r="AE66" s="23"/>
      <c r="AF66" s="23"/>
      <c r="AG66" s="24"/>
    </row>
    <row r="67" spans="1:33" ht="78.75" customHeight="1" x14ac:dyDescent="0.2">
      <c r="A67" s="6" t="s">
        <v>620</v>
      </c>
      <c r="B67" s="4" t="s">
        <v>663</v>
      </c>
      <c r="C67" s="8">
        <v>2</v>
      </c>
      <c r="D67" s="4" t="s">
        <v>664</v>
      </c>
      <c r="E67" s="5" t="s">
        <v>665</v>
      </c>
      <c r="F67" s="5" t="s">
        <v>666</v>
      </c>
      <c r="G67" s="5" t="s">
        <v>667</v>
      </c>
      <c r="H67" s="4" t="s">
        <v>668</v>
      </c>
      <c r="I67" s="5" t="s">
        <v>669</v>
      </c>
      <c r="J67" s="4" t="s">
        <v>174</v>
      </c>
      <c r="K67" s="4" t="s">
        <v>175</v>
      </c>
      <c r="L67" s="4" t="s">
        <v>670</v>
      </c>
      <c r="M67" s="10" t="s">
        <v>177</v>
      </c>
      <c r="N67" s="10"/>
      <c r="O67" s="11">
        <v>2</v>
      </c>
      <c r="P67" s="11">
        <v>0</v>
      </c>
      <c r="Q67" s="13">
        <v>0.52569999999999995</v>
      </c>
      <c r="R67" s="14">
        <f>IF(OR($M67="Yes",$M67="Owner"),$C67*Cost!$B$6,0)</f>
        <v>10</v>
      </c>
      <c r="S67" s="16">
        <f t="shared" si="7"/>
        <v>5.2569999999999997</v>
      </c>
      <c r="T67" s="4" t="s">
        <v>178</v>
      </c>
      <c r="U67" s="19"/>
      <c r="V67" s="14">
        <f>IF($M67="Owner",$R67,IF($M67&lt;&gt;"Yes",0,MAX(IF(LEFT($T67,7)="Passive",$R67+MAX(Cost!$B$8,ROUNDUP(Cost!$B$7*$R67,0)),$R67+Cost!$B$9),N($U67))))</f>
        <v>12</v>
      </c>
      <c r="W67" s="16">
        <f t="shared" si="8"/>
        <v>6.3083999999999989</v>
      </c>
      <c r="X67" s="20" t="s">
        <v>671</v>
      </c>
      <c r="Y67" s="4" t="s">
        <v>672</v>
      </c>
      <c r="Z67" s="21" t="s">
        <v>673</v>
      </c>
      <c r="AA67" s="22">
        <f t="shared" si="9"/>
        <v>2</v>
      </c>
      <c r="AB67" s="22">
        <f>IF(OR($M67="Yes",$M67="Owner"),IF(COUNTIFS($H$4:$H67,$H67,$M$4:$M67,"Yes")+COUNTIFS($H$4:$H67,$H67,$M$4:$M67,"Owner")=1,1,0),0)</f>
        <v>1</v>
      </c>
      <c r="AC67" s="21"/>
      <c r="AD67" s="21"/>
      <c r="AE67" s="23"/>
      <c r="AF67" s="23"/>
      <c r="AG67" s="24"/>
    </row>
    <row r="68" spans="1:33" ht="66" customHeight="1" x14ac:dyDescent="0.2">
      <c r="A68" s="6" t="s">
        <v>620</v>
      </c>
      <c r="B68" s="4" t="s">
        <v>674</v>
      </c>
      <c r="C68" s="8">
        <v>4</v>
      </c>
      <c r="D68" s="4" t="s">
        <v>675</v>
      </c>
      <c r="E68" s="5" t="s">
        <v>676</v>
      </c>
      <c r="F68" s="5" t="s">
        <v>378</v>
      </c>
      <c r="G68" s="5" t="s">
        <v>677</v>
      </c>
      <c r="H68" s="4" t="s">
        <v>678</v>
      </c>
      <c r="I68" s="5" t="s">
        <v>679</v>
      </c>
      <c r="J68" s="4" t="s">
        <v>174</v>
      </c>
      <c r="K68" s="4" t="s">
        <v>175</v>
      </c>
      <c r="L68" s="4" t="s">
        <v>680</v>
      </c>
      <c r="M68" s="10" t="s">
        <v>177</v>
      </c>
      <c r="N68" s="10"/>
      <c r="O68" s="11">
        <v>3</v>
      </c>
      <c r="P68" s="11">
        <v>0</v>
      </c>
      <c r="Q68" s="13">
        <v>2.4500000000000001E-2</v>
      </c>
      <c r="R68" s="14">
        <f>IF(OR($M68="Yes",$M68="Owner"),$C68*Cost!$B$6,0)</f>
        <v>20</v>
      </c>
      <c r="S68" s="16">
        <f t="shared" ref="S68:S99" si="12">$R68*$Q68</f>
        <v>0.49</v>
      </c>
      <c r="T68" s="4" t="s">
        <v>222</v>
      </c>
      <c r="U68" s="19"/>
      <c r="V68" s="14">
        <f>IF($M68="Owner",$R68,IF($M68&lt;&gt;"Yes",0,MAX(IF(LEFT($T68,7)="Passive",$R68+MAX(Cost!$B$8,ROUNDUP(Cost!$B$7*$R68,0)),$R68+Cost!$B$9),N($U68))))</f>
        <v>21</v>
      </c>
      <c r="W68" s="16">
        <f t="shared" ref="W68:W99" si="13">$V68*$Q68</f>
        <v>0.51450000000000007</v>
      </c>
      <c r="X68" s="20" t="s">
        <v>681</v>
      </c>
      <c r="Y68" s="4" t="s">
        <v>682</v>
      </c>
      <c r="Z68" s="21" t="s">
        <v>683</v>
      </c>
      <c r="AA68" s="22">
        <f t="shared" ref="AA68:AA99" si="14">IF($Z68="",0,LEN($Z68)-LEN(SUBSTITUTE($Z68,",",""))-1)</f>
        <v>4</v>
      </c>
      <c r="AB68" s="22">
        <f>IF(OR($M68="Yes",$M68="Owner"),IF(COUNTIFS($H$4:$H68,$H68,$M$4:$M68,"Yes")+COUNTIFS($H$4:$H68,$H68,$M$4:$M68,"Owner")=1,1,0),0)</f>
        <v>1</v>
      </c>
      <c r="AC68" s="21"/>
      <c r="AD68" s="21"/>
      <c r="AE68" s="23"/>
      <c r="AF68" s="23"/>
      <c r="AG68" s="24"/>
    </row>
    <row r="69" spans="1:33" ht="104.25" customHeight="1" x14ac:dyDescent="0.2">
      <c r="A69" s="6" t="s">
        <v>620</v>
      </c>
      <c r="B69" s="4" t="s">
        <v>684</v>
      </c>
      <c r="C69" s="8">
        <v>2</v>
      </c>
      <c r="D69" s="4" t="s">
        <v>685</v>
      </c>
      <c r="E69" s="5" t="s">
        <v>686</v>
      </c>
      <c r="F69" s="5" t="s">
        <v>687</v>
      </c>
      <c r="G69" s="5" t="s">
        <v>688</v>
      </c>
      <c r="H69" s="4" t="s">
        <v>689</v>
      </c>
      <c r="I69" s="5" t="s">
        <v>690</v>
      </c>
      <c r="J69" s="4" t="s">
        <v>174</v>
      </c>
      <c r="K69" s="4" t="s">
        <v>175</v>
      </c>
      <c r="L69" s="4" t="s">
        <v>691</v>
      </c>
      <c r="M69" s="10" t="s">
        <v>177</v>
      </c>
      <c r="N69" s="10"/>
      <c r="O69" s="11">
        <v>2</v>
      </c>
      <c r="P69" s="11">
        <v>0</v>
      </c>
      <c r="Q69" s="13">
        <v>0.32090000000000002</v>
      </c>
      <c r="R69" s="14">
        <f>IF(OR($M69="Yes",$M69="Owner"),$C69*Cost!$B$6,0)</f>
        <v>10</v>
      </c>
      <c r="S69" s="16">
        <f t="shared" si="12"/>
        <v>3.2090000000000001</v>
      </c>
      <c r="T69" s="4" t="s">
        <v>222</v>
      </c>
      <c r="U69" s="19"/>
      <c r="V69" s="14">
        <f>IF($M69="Owner",$R69,IF($M69&lt;&gt;"Yes",0,MAX(IF(LEFT($T69,7)="Passive",$R69+MAX(Cost!$B$8,ROUNDUP(Cost!$B$7*$R69,0)),$R69+Cost!$B$9),N($U69))))</f>
        <v>11</v>
      </c>
      <c r="W69" s="16">
        <f t="shared" si="13"/>
        <v>3.5299</v>
      </c>
      <c r="X69" s="20" t="s">
        <v>692</v>
      </c>
      <c r="Y69" s="4" t="s">
        <v>693</v>
      </c>
      <c r="Z69" s="21" t="s">
        <v>694</v>
      </c>
      <c r="AA69" s="22">
        <f t="shared" si="14"/>
        <v>2</v>
      </c>
      <c r="AB69" s="22">
        <f>IF(OR($M69="Yes",$M69="Owner"),IF(COUNTIFS($H$4:$H69,$H69,$M$4:$M69,"Yes")+COUNTIFS($H$4:$H69,$H69,$M$4:$M69,"Owner")=1,1,0),0)</f>
        <v>1</v>
      </c>
      <c r="AC69" s="21"/>
      <c r="AD69" s="21"/>
      <c r="AE69" s="23"/>
      <c r="AF69" s="23"/>
      <c r="AG69" s="24"/>
    </row>
    <row r="70" spans="1:33" ht="40.5" customHeight="1" x14ac:dyDescent="0.2">
      <c r="A70" s="6" t="s">
        <v>620</v>
      </c>
      <c r="B70" s="4" t="s">
        <v>695</v>
      </c>
      <c r="C70" s="8">
        <v>2</v>
      </c>
      <c r="D70" s="4" t="s">
        <v>696</v>
      </c>
      <c r="E70" s="5" t="s">
        <v>697</v>
      </c>
      <c r="F70" s="5" t="s">
        <v>378</v>
      </c>
      <c r="G70" s="5" t="s">
        <v>698</v>
      </c>
      <c r="H70" s="4" t="s">
        <v>699</v>
      </c>
      <c r="I70" s="5" t="s">
        <v>700</v>
      </c>
      <c r="J70" s="4" t="s">
        <v>174</v>
      </c>
      <c r="K70" s="4" t="s">
        <v>175</v>
      </c>
      <c r="L70" s="4" t="s">
        <v>701</v>
      </c>
      <c r="M70" s="10" t="s">
        <v>177</v>
      </c>
      <c r="N70" s="10"/>
      <c r="O70" s="11">
        <v>3</v>
      </c>
      <c r="P70" s="11">
        <v>0</v>
      </c>
      <c r="Q70" s="13">
        <v>0.02</v>
      </c>
      <c r="R70" s="14">
        <f>IF(OR($M70="Yes",$M70="Owner"),$C70*Cost!$B$6,0)</f>
        <v>10</v>
      </c>
      <c r="S70" s="16">
        <f t="shared" si="12"/>
        <v>0.2</v>
      </c>
      <c r="T70" s="4" t="s">
        <v>222</v>
      </c>
      <c r="U70" s="19"/>
      <c r="V70" s="14">
        <f>IF($M70="Owner",$R70,IF($M70&lt;&gt;"Yes",0,MAX(IF(LEFT($T70,7)="Passive",$R70+MAX(Cost!$B$8,ROUNDUP(Cost!$B$7*$R70,0)),$R70+Cost!$B$9),N($U70))))</f>
        <v>11</v>
      </c>
      <c r="W70" s="16">
        <f t="shared" si="13"/>
        <v>0.22</v>
      </c>
      <c r="X70" s="20" t="s">
        <v>702</v>
      </c>
      <c r="Y70" s="4" t="s">
        <v>703</v>
      </c>
      <c r="Z70" s="21" t="s">
        <v>704</v>
      </c>
      <c r="AA70" s="22">
        <f t="shared" si="14"/>
        <v>2</v>
      </c>
      <c r="AB70" s="22">
        <f>IF(OR($M70="Yes",$M70="Owner"),IF(COUNTIFS($H$4:$H70,$H70,$M$4:$M70,"Yes")+COUNTIFS($H$4:$H70,$H70,$M$4:$M70,"Owner")=1,1,0),0)</f>
        <v>1</v>
      </c>
      <c r="AC70" s="21"/>
      <c r="AD70" s="21"/>
      <c r="AE70" s="23"/>
      <c r="AF70" s="23"/>
      <c r="AG70" s="24"/>
    </row>
    <row r="71" spans="1:33" ht="104.25" customHeight="1" x14ac:dyDescent="0.2">
      <c r="A71" s="6" t="s">
        <v>620</v>
      </c>
      <c r="B71" s="4" t="s">
        <v>705</v>
      </c>
      <c r="C71" s="8">
        <v>8</v>
      </c>
      <c r="D71" s="4" t="s">
        <v>706</v>
      </c>
      <c r="E71" s="5" t="s">
        <v>707</v>
      </c>
      <c r="F71" s="5" t="s">
        <v>347</v>
      </c>
      <c r="G71" s="5" t="s">
        <v>708</v>
      </c>
      <c r="H71" s="4" t="s">
        <v>709</v>
      </c>
      <c r="I71" s="5" t="s">
        <v>710</v>
      </c>
      <c r="J71" s="4" t="s">
        <v>174</v>
      </c>
      <c r="K71" s="4" t="s">
        <v>175</v>
      </c>
      <c r="L71" s="4" t="s">
        <v>711</v>
      </c>
      <c r="M71" s="10" t="s">
        <v>177</v>
      </c>
      <c r="N71" s="10"/>
      <c r="O71" s="11">
        <v>2</v>
      </c>
      <c r="P71" s="11">
        <v>0</v>
      </c>
      <c r="Q71" s="13">
        <v>2.5899999999999999E-2</v>
      </c>
      <c r="R71" s="14">
        <f>IF(OR($M71="Yes",$M71="Owner"),$C71*Cost!$B$6,0)</f>
        <v>40</v>
      </c>
      <c r="S71" s="16">
        <f t="shared" si="12"/>
        <v>1.036</v>
      </c>
      <c r="T71" s="4" t="s">
        <v>178</v>
      </c>
      <c r="U71" s="19">
        <v>60</v>
      </c>
      <c r="V71" s="14">
        <f>IF($M71="Owner",$R71,IF($M71&lt;&gt;"Yes",0,MAX(IF(LEFT($T71,7)="Passive",$R71+MAX(Cost!$B$8,ROUNDUP(Cost!$B$7*$R71,0)),$R71+Cost!$B$9),N($U71))))</f>
        <v>60</v>
      </c>
      <c r="W71" s="16">
        <f t="shared" si="13"/>
        <v>1.554</v>
      </c>
      <c r="X71" s="20" t="s">
        <v>712</v>
      </c>
      <c r="Y71" s="4" t="s">
        <v>713</v>
      </c>
      <c r="Z71" s="21" t="s">
        <v>714</v>
      </c>
      <c r="AA71" s="22">
        <f t="shared" si="14"/>
        <v>8</v>
      </c>
      <c r="AB71" s="22">
        <f>IF(OR($M71="Yes",$M71="Owner"),IF(COUNTIFS($H$4:$H71,$H71,$M$4:$M71,"Yes")+COUNTIFS($H$4:$H71,$H71,$M$4:$M71,"Owner")=1,1,0),0)</f>
        <v>1</v>
      </c>
      <c r="AC71" s="21" t="s">
        <v>579</v>
      </c>
      <c r="AD71" s="21" t="str">
        <f>MID($H71,18,FIND("L",$H71,18)-18)</f>
        <v>1K3</v>
      </c>
      <c r="AE71" s="23">
        <f>(SUBSTITUTE(SUBSTITUTE(SUBSTITUTE($AD71,"R","."),"K","."),"M",".")&amp;"0")*IF(ISNUMBER(FIND("K",$AD71)),1000,IF(ISNUMBER(FIND("M",$AD71)),10^6,1))</f>
        <v>1300</v>
      </c>
      <c r="AF71" s="23" cm="1">
        <f t="array" ref="AF71">LEFT($E71,FIND(" ",$E71)-1)*IFERROR(INDEX({1000,1000000,0.000000000001,0.000000001,0.000001},MATCH(MID($E71,FIND(" ",$E71)+1,1),{"k","M","p","n","µ"},0)),1)</f>
        <v>1300</v>
      </c>
      <c r="AG71" s="24" t="str">
        <f>IF(AND(RIGHT($E71,1)="Ω",ABS($AF71-$AE71)&lt;=Checks!$C$6*$AE71),"OK","CHECK")</f>
        <v>OK</v>
      </c>
    </row>
    <row r="72" spans="1:33" ht="78.75" customHeight="1" x14ac:dyDescent="0.2">
      <c r="A72" s="6" t="s">
        <v>620</v>
      </c>
      <c r="B72" s="4" t="s">
        <v>715</v>
      </c>
      <c r="C72" s="8">
        <v>8</v>
      </c>
      <c r="D72" s="4" t="s">
        <v>716</v>
      </c>
      <c r="E72" s="5" t="s">
        <v>717</v>
      </c>
      <c r="F72" s="5" t="s">
        <v>347</v>
      </c>
      <c r="G72" s="5" t="s">
        <v>718</v>
      </c>
      <c r="H72" s="4" t="s">
        <v>719</v>
      </c>
      <c r="I72" s="5" t="s">
        <v>162</v>
      </c>
      <c r="J72" s="4" t="s">
        <v>174</v>
      </c>
      <c r="K72" s="4" t="s">
        <v>220</v>
      </c>
      <c r="L72" s="4" t="s">
        <v>720</v>
      </c>
      <c r="M72" s="10" t="s">
        <v>177</v>
      </c>
      <c r="N72" s="10"/>
      <c r="O72" s="11">
        <v>2</v>
      </c>
      <c r="P72" s="11">
        <v>0</v>
      </c>
      <c r="Q72" s="13">
        <v>0.6</v>
      </c>
      <c r="R72" s="14">
        <f>IF(OR($M72="Yes",$M72="Owner"),$C72*Cost!$B$6,0)</f>
        <v>40</v>
      </c>
      <c r="S72" s="16">
        <f t="shared" si="12"/>
        <v>24</v>
      </c>
      <c r="T72" s="4" t="s">
        <v>178</v>
      </c>
      <c r="U72" s="19"/>
      <c r="V72" s="14">
        <f>IF($M72="Owner",$R72,IF($M72&lt;&gt;"Yes",0,MAX(IF(LEFT($T72,7)="Passive",$R72+MAX(Cost!$B$8,ROUNDUP(Cost!$B$7*$R72,0)),$R72+Cost!$B$9),N($U72))))</f>
        <v>42</v>
      </c>
      <c r="W72" s="16">
        <f t="shared" si="13"/>
        <v>25.2</v>
      </c>
      <c r="X72" s="20" t="s">
        <v>721</v>
      </c>
      <c r="Y72" s="4" t="s">
        <v>722</v>
      </c>
      <c r="Z72" s="21" t="s">
        <v>723</v>
      </c>
      <c r="AA72" s="22">
        <f t="shared" si="14"/>
        <v>8</v>
      </c>
      <c r="AB72" s="22">
        <f>IF(OR($M72="Yes",$M72="Owner"),IF(COUNTIFS($H$4:$H72,$H72,$M$4:$M72,"Yes")+COUNTIFS($H$4:$H72,$H72,$M$4:$M72,"Owner")=1,1,0),0)</f>
        <v>1</v>
      </c>
      <c r="AC72" s="21"/>
      <c r="AD72" s="21"/>
      <c r="AE72" s="23"/>
      <c r="AF72" s="23"/>
      <c r="AG72" s="24"/>
    </row>
    <row r="73" spans="1:33" ht="53.25" customHeight="1" x14ac:dyDescent="0.2">
      <c r="A73" s="6" t="s">
        <v>620</v>
      </c>
      <c r="B73" s="4" t="s">
        <v>724</v>
      </c>
      <c r="C73" s="8">
        <v>4</v>
      </c>
      <c r="D73" s="4" t="s">
        <v>725</v>
      </c>
      <c r="E73" s="5" t="s">
        <v>260</v>
      </c>
      <c r="F73" s="5" t="s">
        <v>154</v>
      </c>
      <c r="G73" s="5" t="s">
        <v>726</v>
      </c>
      <c r="H73" s="4" t="s">
        <v>262</v>
      </c>
      <c r="I73" s="5" t="s">
        <v>263</v>
      </c>
      <c r="J73" s="4" t="s">
        <v>158</v>
      </c>
      <c r="K73" s="4" t="s">
        <v>175</v>
      </c>
      <c r="L73" s="4" t="s">
        <v>533</v>
      </c>
      <c r="M73" s="10" t="s">
        <v>177</v>
      </c>
      <c r="N73" s="10"/>
      <c r="O73" s="11">
        <v>2</v>
      </c>
      <c r="P73" s="11">
        <v>0</v>
      </c>
      <c r="Q73" s="13">
        <v>2E-3</v>
      </c>
      <c r="R73" s="14">
        <f>IF(OR($M73="Yes",$M73="Owner"),$C73*Cost!$B$6,0)</f>
        <v>20</v>
      </c>
      <c r="S73" s="16">
        <f t="shared" si="12"/>
        <v>0.04</v>
      </c>
      <c r="T73" s="4" t="s">
        <v>178</v>
      </c>
      <c r="U73" s="19"/>
      <c r="V73" s="14">
        <f>IF($M73="Owner",$R73,IF($M73&lt;&gt;"Yes",0,MAX(IF(LEFT($T73,7)="Passive",$R73+MAX(Cost!$B$8,ROUNDUP(Cost!$B$7*$R73,0)),$R73+Cost!$B$9),N($U73))))</f>
        <v>22</v>
      </c>
      <c r="W73" s="16">
        <f t="shared" si="13"/>
        <v>4.3999999999999997E-2</v>
      </c>
      <c r="X73" s="20" t="s">
        <v>264</v>
      </c>
      <c r="Y73" s="4" t="s">
        <v>727</v>
      </c>
      <c r="Z73" s="21" t="s">
        <v>728</v>
      </c>
      <c r="AA73" s="22">
        <f t="shared" si="14"/>
        <v>4</v>
      </c>
      <c r="AB73" s="22">
        <f>IF(OR($M73="Yes",$M73="Owner"),IF(COUNTIFS($H$4:$H73,$H73,$M$4:$M73,"Yes")+COUNTIFS($H$4:$H73,$H73,$M$4:$M73,"Owner")=1,1,0),0)</f>
        <v>0</v>
      </c>
      <c r="AC73" s="21" t="s">
        <v>234</v>
      </c>
      <c r="AD73" s="21" t="str">
        <f>MID($H73,18,4)</f>
        <v>0000</v>
      </c>
      <c r="AE73" s="23">
        <f>LEFT($AD73,3)*IF(ISNUMBER(--RIGHT($AD73,1)),10^RIGHT($AD73,1),10^(0-FIND(RIGHT($AD73,1),"JKLM")))</f>
        <v>0</v>
      </c>
      <c r="AF73" s="23" cm="1">
        <f t="array" ref="AF73">LEFT($E73,FIND(" ",$E73)-1)*IFERROR(INDEX({1000,1000000,0.000000000001,0.000000001,0.000001},MATCH(MID($E73,FIND(" ",$E73)+1,1),{"k","M","p","n","µ"},0)),1)</f>
        <v>0</v>
      </c>
      <c r="AG73" s="24" t="str">
        <f>IF(AND(RIGHT($E73,1)="Ω",ABS($AF73-$AE73)&lt;=Checks!$C$6*$AE73),"OK","CHECK")</f>
        <v>OK</v>
      </c>
    </row>
    <row r="74" spans="1:33" ht="40.5" customHeight="1" x14ac:dyDescent="0.2">
      <c r="A74" s="6" t="s">
        <v>620</v>
      </c>
      <c r="B74" s="4" t="s">
        <v>729</v>
      </c>
      <c r="C74" s="8">
        <v>4</v>
      </c>
      <c r="D74" s="4" t="s">
        <v>730</v>
      </c>
      <c r="E74" s="5" t="s">
        <v>731</v>
      </c>
      <c r="F74" s="5" t="s">
        <v>347</v>
      </c>
      <c r="G74" s="5" t="s">
        <v>732</v>
      </c>
      <c r="H74" s="4" t="s">
        <v>733</v>
      </c>
      <c r="I74" s="5" t="s">
        <v>734</v>
      </c>
      <c r="J74" s="4" t="s">
        <v>174</v>
      </c>
      <c r="K74" s="4" t="s">
        <v>175</v>
      </c>
      <c r="L74" s="4" t="s">
        <v>735</v>
      </c>
      <c r="M74" s="10" t="s">
        <v>177</v>
      </c>
      <c r="N74" s="10"/>
      <c r="O74" s="11">
        <v>2</v>
      </c>
      <c r="P74" s="11">
        <v>0</v>
      </c>
      <c r="Q74" s="13">
        <v>2.5399999999999999E-2</v>
      </c>
      <c r="R74" s="14">
        <f>IF(OR($M74="Yes",$M74="Owner"),$C74*Cost!$B$6,0)</f>
        <v>20</v>
      </c>
      <c r="S74" s="16">
        <f t="shared" si="12"/>
        <v>0.50800000000000001</v>
      </c>
      <c r="T74" s="4" t="s">
        <v>178</v>
      </c>
      <c r="U74" s="19">
        <v>40</v>
      </c>
      <c r="V74" s="14">
        <f>IF($M74="Owner",$R74,IF($M74&lt;&gt;"Yes",0,MAX(IF(LEFT($T74,7)="Passive",$R74+MAX(Cost!$B$8,ROUNDUP(Cost!$B$7*$R74,0)),$R74+Cost!$B$9),N($U74))))</f>
        <v>40</v>
      </c>
      <c r="W74" s="16">
        <f t="shared" si="13"/>
        <v>1.016</v>
      </c>
      <c r="X74" s="20" t="s">
        <v>736</v>
      </c>
      <c r="Y74" s="4" t="s">
        <v>737</v>
      </c>
      <c r="Z74" s="21" t="s">
        <v>738</v>
      </c>
      <c r="AA74" s="22">
        <f t="shared" si="14"/>
        <v>4</v>
      </c>
      <c r="AB74" s="22">
        <f>IF(OR($M74="Yes",$M74="Owner"),IF(COUNTIFS($H$4:$H74,$H74,$M$4:$M74,"Yes")+COUNTIFS($H$4:$H74,$H74,$M$4:$M74,"Owner")=1,1,0),0)</f>
        <v>1</v>
      </c>
      <c r="AC74" s="21" t="s">
        <v>579</v>
      </c>
      <c r="AD74" s="21" t="str">
        <f>MID($H74,18,FIND("L",$H74,18)-18)</f>
        <v>698R</v>
      </c>
      <c r="AE74" s="23">
        <f>(SUBSTITUTE(SUBSTITUTE(SUBSTITUTE($AD74,"R","."),"K","."),"M",".")&amp;"0")*IF(ISNUMBER(FIND("K",$AD74)),1000,IF(ISNUMBER(FIND("M",$AD74)),10^6,1))</f>
        <v>698</v>
      </c>
      <c r="AF74" s="23" cm="1">
        <f t="array" ref="AF74">LEFT($E74,FIND(" ",$E74)-1)*IFERROR(INDEX({1000,1000000,0.000000000001,0.000000001,0.000001},MATCH(MID($E74,FIND(" ",$E74)+1,1),{"k","M","p","n","µ"},0)),1)</f>
        <v>698</v>
      </c>
      <c r="AG74" s="24" t="str">
        <f>IF(AND(RIGHT($E74,1)="Ω",ABS($AF74-$AE74)&lt;=Checks!$C$6*$AE74),"OK","CHECK")</f>
        <v>OK</v>
      </c>
    </row>
    <row r="75" spans="1:33" ht="27.75" customHeight="1" x14ac:dyDescent="0.2">
      <c r="A75" s="6" t="s">
        <v>620</v>
      </c>
      <c r="B75" s="4" t="s">
        <v>739</v>
      </c>
      <c r="C75" s="8">
        <v>1</v>
      </c>
      <c r="D75" s="4" t="s">
        <v>740</v>
      </c>
      <c r="E75" s="5" t="s">
        <v>741</v>
      </c>
      <c r="F75" s="5" t="s">
        <v>347</v>
      </c>
      <c r="G75" s="5" t="s">
        <v>732</v>
      </c>
      <c r="H75" s="4" t="s">
        <v>742</v>
      </c>
      <c r="I75" s="5" t="s">
        <v>743</v>
      </c>
      <c r="J75" s="4" t="s">
        <v>174</v>
      </c>
      <c r="K75" s="4" t="s">
        <v>175</v>
      </c>
      <c r="L75" s="4" t="s">
        <v>744</v>
      </c>
      <c r="M75" s="10" t="s">
        <v>177</v>
      </c>
      <c r="N75" s="10"/>
      <c r="O75" s="11">
        <v>2</v>
      </c>
      <c r="P75" s="11">
        <v>0</v>
      </c>
      <c r="Q75" s="13">
        <v>3.5000000000000003E-2</v>
      </c>
      <c r="R75" s="14">
        <f>IF(OR($M75="Yes",$M75="Owner"),$C75*Cost!$B$6,0)</f>
        <v>5</v>
      </c>
      <c r="S75" s="16">
        <f t="shared" si="12"/>
        <v>0.17500000000000002</v>
      </c>
      <c r="T75" s="4" t="s">
        <v>178</v>
      </c>
      <c r="U75" s="19"/>
      <c r="V75" s="14">
        <f>IF($M75="Owner",$R75,IF($M75&lt;&gt;"Yes",0,MAX(IF(LEFT($T75,7)="Passive",$R75+MAX(Cost!$B$8,ROUNDUP(Cost!$B$7*$R75,0)),$R75+Cost!$B$9),N($U75))))</f>
        <v>7</v>
      </c>
      <c r="W75" s="16">
        <f t="shared" si="13"/>
        <v>0.24500000000000002</v>
      </c>
      <c r="X75" s="20" t="s">
        <v>745</v>
      </c>
      <c r="Y75" s="4" t="s">
        <v>746</v>
      </c>
      <c r="Z75" s="21" t="s">
        <v>747</v>
      </c>
      <c r="AA75" s="22">
        <f t="shared" si="14"/>
        <v>1</v>
      </c>
      <c r="AB75" s="22">
        <f>IF(OR($M75="Yes",$M75="Owner"),IF(COUNTIFS($H$4:$H75,$H75,$M$4:$M75,"Yes")+COUNTIFS($H$4:$H75,$H75,$M$4:$M75,"Owner")=1,1,0),0)</f>
        <v>1</v>
      </c>
      <c r="AC75" s="21" t="s">
        <v>579</v>
      </c>
      <c r="AD75" s="21" t="str">
        <f>MID($H75,18,FIND("L",$H75,18)-18)</f>
        <v>9K76</v>
      </c>
      <c r="AE75" s="23">
        <f>(SUBSTITUTE(SUBSTITUTE(SUBSTITUTE($AD75,"R","."),"K","."),"M",".")&amp;"0")*IF(ISNUMBER(FIND("K",$AD75)),1000,IF(ISNUMBER(FIND("M",$AD75)),10^6,1))</f>
        <v>9760</v>
      </c>
      <c r="AF75" s="23" cm="1">
        <f t="array" ref="AF75">LEFT($E75,FIND(" ",$E75)-1)*IFERROR(INDEX({1000,1000000,0.000000000001,0.000000001,0.000001},MATCH(MID($E75,FIND(" ",$E75)+1,1),{"k","M","p","n","µ"},0)),1)</f>
        <v>9760</v>
      </c>
      <c r="AG75" s="24" t="str">
        <f>IF(AND(RIGHT($E75,1)="Ω",ABS($AF75-$AE75)&lt;=Checks!$C$6*$AE75),"OK","CHECK")</f>
        <v>OK</v>
      </c>
    </row>
    <row r="76" spans="1:33" ht="27.75" customHeight="1" x14ac:dyDescent="0.2">
      <c r="A76" s="6" t="s">
        <v>620</v>
      </c>
      <c r="B76" s="4" t="s">
        <v>748</v>
      </c>
      <c r="C76" s="8">
        <v>1</v>
      </c>
      <c r="D76" s="4" t="s">
        <v>749</v>
      </c>
      <c r="E76" s="5" t="s">
        <v>750</v>
      </c>
      <c r="F76" s="5" t="s">
        <v>347</v>
      </c>
      <c r="G76" s="5" t="s">
        <v>732</v>
      </c>
      <c r="H76" s="4" t="s">
        <v>751</v>
      </c>
      <c r="I76" s="5" t="s">
        <v>752</v>
      </c>
      <c r="J76" s="4" t="s">
        <v>174</v>
      </c>
      <c r="K76" s="4" t="s">
        <v>175</v>
      </c>
      <c r="L76" s="4" t="s">
        <v>753</v>
      </c>
      <c r="M76" s="10" t="s">
        <v>177</v>
      </c>
      <c r="N76" s="10"/>
      <c r="O76" s="11">
        <v>2</v>
      </c>
      <c r="P76" s="11">
        <v>0</v>
      </c>
      <c r="Q76" s="13">
        <v>3.3099999999999997E-2</v>
      </c>
      <c r="R76" s="14">
        <f>IF(OR($M76="Yes",$M76="Owner"),$C76*Cost!$B$6,0)</f>
        <v>5</v>
      </c>
      <c r="S76" s="16">
        <f t="shared" si="12"/>
        <v>0.16549999999999998</v>
      </c>
      <c r="T76" s="4" t="s">
        <v>178</v>
      </c>
      <c r="U76" s="19"/>
      <c r="V76" s="14">
        <f>IF($M76="Owner",$R76,IF($M76&lt;&gt;"Yes",0,MAX(IF(LEFT($T76,7)="Passive",$R76+MAX(Cost!$B$8,ROUNDUP(Cost!$B$7*$R76,0)),$R76+Cost!$B$9),N($U76))))</f>
        <v>7</v>
      </c>
      <c r="W76" s="16">
        <f t="shared" si="13"/>
        <v>0.23169999999999999</v>
      </c>
      <c r="X76" s="20" t="s">
        <v>754</v>
      </c>
      <c r="Y76" s="4" t="s">
        <v>755</v>
      </c>
      <c r="Z76" s="21" t="s">
        <v>756</v>
      </c>
      <c r="AA76" s="22">
        <f t="shared" si="14"/>
        <v>1</v>
      </c>
      <c r="AB76" s="22">
        <f>IF(OR($M76="Yes",$M76="Owner"),IF(COUNTIFS($H$4:$H76,$H76,$M$4:$M76,"Yes")+COUNTIFS($H$4:$H76,$H76,$M$4:$M76,"Owner")=1,1,0),0)</f>
        <v>1</v>
      </c>
      <c r="AC76" s="21" t="s">
        <v>579</v>
      </c>
      <c r="AD76" s="21" t="str">
        <f>MID($H76,18,FIND("L",$H76,18)-18)</f>
        <v>10K</v>
      </c>
      <c r="AE76" s="23">
        <f>(SUBSTITUTE(SUBSTITUTE(SUBSTITUTE($AD76,"R","."),"K","."),"M",".")&amp;"0")*IF(ISNUMBER(FIND("K",$AD76)),1000,IF(ISNUMBER(FIND("M",$AD76)),10^6,1))</f>
        <v>10000</v>
      </c>
      <c r="AF76" s="23" cm="1">
        <f t="array" ref="AF76">LEFT($E76,FIND(" ",$E76)-1)*IFERROR(INDEX({1000,1000000,0.000000000001,0.000000001,0.000001},MATCH(MID($E76,FIND(" ",$E76)+1,1),{"k","M","p","n","µ"},0)),1)</f>
        <v>10000</v>
      </c>
      <c r="AG76" s="24" t="str">
        <f>IF(AND(RIGHT($E76,1)="Ω",ABS($AF76-$AE76)&lt;=Checks!$C$6*$AE76),"OK","CHECK")</f>
        <v>OK</v>
      </c>
    </row>
    <row r="77" spans="1:33" ht="40.5" customHeight="1" x14ac:dyDescent="0.2">
      <c r="A77" s="6" t="s">
        <v>620</v>
      </c>
      <c r="B77" s="4" t="s">
        <v>757</v>
      </c>
      <c r="C77" s="8">
        <v>8</v>
      </c>
      <c r="D77" s="4" t="s">
        <v>758</v>
      </c>
      <c r="E77" s="5" t="s">
        <v>759</v>
      </c>
      <c r="F77" s="5" t="s">
        <v>347</v>
      </c>
      <c r="G77" s="5" t="s">
        <v>708</v>
      </c>
      <c r="H77" s="4" t="s">
        <v>760</v>
      </c>
      <c r="I77" s="5" t="s">
        <v>761</v>
      </c>
      <c r="J77" s="4" t="s">
        <v>174</v>
      </c>
      <c r="K77" s="4" t="s">
        <v>175</v>
      </c>
      <c r="L77" s="4" t="s">
        <v>762</v>
      </c>
      <c r="M77" s="10" t="s">
        <v>177</v>
      </c>
      <c r="N77" s="10"/>
      <c r="O77" s="11">
        <v>2</v>
      </c>
      <c r="P77" s="11">
        <v>0</v>
      </c>
      <c r="Q77" s="13">
        <v>2.5600000000000001E-2</v>
      </c>
      <c r="R77" s="14">
        <f>IF(OR($M77="Yes",$M77="Owner"),$C77*Cost!$B$6,0)</f>
        <v>40</v>
      </c>
      <c r="S77" s="16">
        <f t="shared" si="12"/>
        <v>1.024</v>
      </c>
      <c r="T77" s="4" t="s">
        <v>178</v>
      </c>
      <c r="U77" s="19">
        <v>60</v>
      </c>
      <c r="V77" s="14">
        <f>IF($M77="Owner",$R77,IF($M77&lt;&gt;"Yes",0,MAX(IF(LEFT($T77,7)="Passive",$R77+MAX(Cost!$B$8,ROUNDUP(Cost!$B$7*$R77,0)),$R77+Cost!$B$9),N($U77))))</f>
        <v>60</v>
      </c>
      <c r="W77" s="16">
        <f t="shared" si="13"/>
        <v>1.536</v>
      </c>
      <c r="X77" s="20" t="s">
        <v>763</v>
      </c>
      <c r="Y77" s="4" t="s">
        <v>764</v>
      </c>
      <c r="Z77" s="21" t="s">
        <v>765</v>
      </c>
      <c r="AA77" s="22">
        <f t="shared" si="14"/>
        <v>8</v>
      </c>
      <c r="AB77" s="22">
        <f>IF(OR($M77="Yes",$M77="Owner"),IF(COUNTIFS($H$4:$H77,$H77,$M$4:$M77,"Yes")+COUNTIFS($H$4:$H77,$H77,$M$4:$M77,"Owner")=1,1,0),0)</f>
        <v>1</v>
      </c>
      <c r="AC77" s="21" t="s">
        <v>579</v>
      </c>
      <c r="AD77" s="21" t="str">
        <f>MID($H77,18,FIND("L",$H77,18)-18)</f>
        <v>680R</v>
      </c>
      <c r="AE77" s="23">
        <f>(SUBSTITUTE(SUBSTITUTE(SUBSTITUTE($AD77,"R","."),"K","."),"M",".")&amp;"0")*IF(ISNUMBER(FIND("K",$AD77)),1000,IF(ISNUMBER(FIND("M",$AD77)),10^6,1))</f>
        <v>680</v>
      </c>
      <c r="AF77" s="23" cm="1">
        <f t="array" ref="AF77">LEFT($E77,FIND(" ",$E77)-1)*IFERROR(INDEX({1000,1000000,0.000000000001,0.000000001,0.000001},MATCH(MID($E77,FIND(" ",$E77)+1,1),{"k","M","p","n","µ"},0)),1)</f>
        <v>680</v>
      </c>
      <c r="AG77" s="24" t="str">
        <f>IF(AND(RIGHT($E77,1)="Ω",ABS($AF77-$AE77)&lt;=Checks!$C$6*$AE77),"OK","CHECK")</f>
        <v>OK</v>
      </c>
    </row>
    <row r="78" spans="1:33" ht="40.5" customHeight="1" x14ac:dyDescent="0.2">
      <c r="A78" s="6" t="s">
        <v>620</v>
      </c>
      <c r="B78" s="4" t="s">
        <v>766</v>
      </c>
      <c r="C78" s="8">
        <v>2</v>
      </c>
      <c r="D78" s="4" t="s">
        <v>767</v>
      </c>
      <c r="E78" s="5" t="s">
        <v>768</v>
      </c>
      <c r="F78" s="5" t="s">
        <v>347</v>
      </c>
      <c r="G78" s="5" t="s">
        <v>769</v>
      </c>
      <c r="H78" s="4" t="s">
        <v>770</v>
      </c>
      <c r="I78" s="5" t="s">
        <v>162</v>
      </c>
      <c r="J78" s="4" t="s">
        <v>174</v>
      </c>
      <c r="K78" s="4" t="s">
        <v>159</v>
      </c>
      <c r="L78" s="4" t="s">
        <v>771</v>
      </c>
      <c r="M78" s="10" t="s">
        <v>161</v>
      </c>
      <c r="N78" s="10"/>
      <c r="O78" s="11">
        <v>2</v>
      </c>
      <c r="P78" s="11">
        <v>0</v>
      </c>
      <c r="Q78" s="13">
        <v>0</v>
      </c>
      <c r="R78" s="14">
        <f>IF(OR($M78="Yes",$M78="Owner"),$C78*Cost!$B$6,0)</f>
        <v>0</v>
      </c>
      <c r="S78" s="16">
        <f t="shared" si="12"/>
        <v>0</v>
      </c>
      <c r="T78" s="4" t="s">
        <v>162</v>
      </c>
      <c r="U78" s="19"/>
      <c r="V78" s="14">
        <f>IF($M78="Owner",$R78,IF($M78&lt;&gt;"Yes",0,MAX(IF(LEFT($T78,7)="Passive",$R78+MAX(Cost!$B$8,ROUNDUP(Cost!$B$7*$R78,0)),$R78+Cost!$B$9),N($U78))))</f>
        <v>0</v>
      </c>
      <c r="W78" s="16">
        <f t="shared" si="13"/>
        <v>0</v>
      </c>
      <c r="X78" s="20" t="s">
        <v>772</v>
      </c>
      <c r="Y78" s="4" t="s">
        <v>773</v>
      </c>
      <c r="Z78" s="21" t="s">
        <v>774</v>
      </c>
      <c r="AA78" s="22">
        <f t="shared" si="14"/>
        <v>2</v>
      </c>
      <c r="AB78" s="22">
        <f>IF(OR($M78="Yes",$M78="Owner"),IF(COUNTIFS($H$4:$H78,$H78,$M$4:$M78,"Yes")+COUNTIFS($H$4:$H78,$H78,$M$4:$M78,"Owner")=1,1,0),0)</f>
        <v>0</v>
      </c>
      <c r="AC78" s="21"/>
      <c r="AD78" s="21"/>
      <c r="AE78" s="23"/>
      <c r="AF78" s="23"/>
      <c r="AG78" s="24"/>
    </row>
    <row r="79" spans="1:33" ht="27.75" customHeight="1" x14ac:dyDescent="0.2">
      <c r="A79" s="6" t="s">
        <v>620</v>
      </c>
      <c r="B79" s="4" t="s">
        <v>775</v>
      </c>
      <c r="C79" s="8">
        <v>2</v>
      </c>
      <c r="D79" s="4" t="s">
        <v>776</v>
      </c>
      <c r="E79" s="5" t="s">
        <v>777</v>
      </c>
      <c r="F79" s="5" t="s">
        <v>778</v>
      </c>
      <c r="G79" s="5" t="s">
        <v>779</v>
      </c>
      <c r="H79" s="4" t="s">
        <v>780</v>
      </c>
      <c r="I79" s="5" t="s">
        <v>781</v>
      </c>
      <c r="J79" s="4" t="s">
        <v>174</v>
      </c>
      <c r="K79" s="4" t="s">
        <v>175</v>
      </c>
      <c r="L79" s="4" t="s">
        <v>533</v>
      </c>
      <c r="M79" s="10" t="s">
        <v>177</v>
      </c>
      <c r="N79" s="10" t="s">
        <v>177</v>
      </c>
      <c r="O79" s="11">
        <v>11</v>
      </c>
      <c r="P79" s="11">
        <v>0</v>
      </c>
      <c r="Q79" s="13">
        <v>1.7870999999999999</v>
      </c>
      <c r="R79" s="14">
        <f>IF(OR($M79="Yes",$M79="Owner"),$C79*Cost!$B$6,0)</f>
        <v>10</v>
      </c>
      <c r="S79" s="16">
        <f t="shared" si="12"/>
        <v>17.870999999999999</v>
      </c>
      <c r="T79" s="4" t="s">
        <v>222</v>
      </c>
      <c r="U79" s="19"/>
      <c r="V79" s="14">
        <f>IF($M79="Owner",$R79,IF($M79&lt;&gt;"Yes",0,MAX(IF(LEFT($T79,7)="Passive",$R79+MAX(Cost!$B$8,ROUNDUP(Cost!$B$7*$R79,0)),$R79+Cost!$B$9),N($U79))))</f>
        <v>11</v>
      </c>
      <c r="W79" s="16">
        <f t="shared" si="13"/>
        <v>19.658099999999997</v>
      </c>
      <c r="X79" s="20" t="s">
        <v>782</v>
      </c>
      <c r="Y79" s="4"/>
      <c r="Z79" s="21" t="s">
        <v>783</v>
      </c>
      <c r="AA79" s="22">
        <f t="shared" si="14"/>
        <v>2</v>
      </c>
      <c r="AB79" s="22">
        <f>IF(OR($M79="Yes",$M79="Owner"),IF(COUNTIFS($H$4:$H79,$H79,$M$4:$M79,"Yes")+COUNTIFS($H$4:$H79,$H79,$M$4:$M79,"Owner")=1,1,0),0)</f>
        <v>1</v>
      </c>
      <c r="AC79" s="21"/>
      <c r="AD79" s="21"/>
      <c r="AE79" s="23"/>
      <c r="AF79" s="23"/>
      <c r="AG79" s="24"/>
    </row>
    <row r="80" spans="1:33" ht="66" customHeight="1" x14ac:dyDescent="0.2">
      <c r="A80" s="6" t="s">
        <v>620</v>
      </c>
      <c r="B80" s="4" t="s">
        <v>784</v>
      </c>
      <c r="C80" s="8">
        <v>2</v>
      </c>
      <c r="D80" s="4" t="s">
        <v>785</v>
      </c>
      <c r="E80" s="5" t="s">
        <v>786</v>
      </c>
      <c r="F80" s="5" t="s">
        <v>787</v>
      </c>
      <c r="G80" s="5" t="s">
        <v>788</v>
      </c>
      <c r="H80" s="4" t="s">
        <v>789</v>
      </c>
      <c r="I80" s="5" t="s">
        <v>790</v>
      </c>
      <c r="J80" s="4" t="s">
        <v>174</v>
      </c>
      <c r="K80" s="4" t="s">
        <v>175</v>
      </c>
      <c r="L80" s="4" t="s">
        <v>791</v>
      </c>
      <c r="M80" s="10" t="s">
        <v>177</v>
      </c>
      <c r="N80" s="10"/>
      <c r="O80" s="11">
        <v>8</v>
      </c>
      <c r="P80" s="11">
        <v>0</v>
      </c>
      <c r="Q80" s="13">
        <v>2.6707999999999998</v>
      </c>
      <c r="R80" s="14">
        <f>IF(OR($M80="Yes",$M80="Owner"),$C80*Cost!$B$6,0)</f>
        <v>10</v>
      </c>
      <c r="S80" s="16">
        <f t="shared" si="12"/>
        <v>26.707999999999998</v>
      </c>
      <c r="T80" s="4" t="s">
        <v>222</v>
      </c>
      <c r="U80" s="19"/>
      <c r="V80" s="14">
        <f>IF($M80="Owner",$R80,IF($M80&lt;&gt;"Yes",0,MAX(IF(LEFT($T80,7)="Passive",$R80+MAX(Cost!$B$8,ROUNDUP(Cost!$B$7*$R80,0)),$R80+Cost!$B$9),N($U80))))</f>
        <v>11</v>
      </c>
      <c r="W80" s="16">
        <f t="shared" si="13"/>
        <v>29.378799999999998</v>
      </c>
      <c r="X80" s="20" t="s">
        <v>792</v>
      </c>
      <c r="Y80" s="4" t="s">
        <v>793</v>
      </c>
      <c r="Z80" s="21" t="s">
        <v>794</v>
      </c>
      <c r="AA80" s="22">
        <f t="shared" si="14"/>
        <v>2</v>
      </c>
      <c r="AB80" s="22">
        <f>IF(OR($M80="Yes",$M80="Owner"),IF(COUNTIFS($H$4:$H80,$H80,$M$4:$M80,"Yes")+COUNTIFS($H$4:$H80,$H80,$M$4:$M80,"Owner")=1,1,0),0)</f>
        <v>1</v>
      </c>
      <c r="AC80" s="21"/>
      <c r="AD80" s="21"/>
      <c r="AE80" s="23"/>
      <c r="AF80" s="23"/>
      <c r="AG80" s="24"/>
    </row>
    <row r="81" spans="1:33" ht="40.5" customHeight="1" x14ac:dyDescent="0.2">
      <c r="A81" s="7" t="s">
        <v>795</v>
      </c>
      <c r="B81" s="4" t="s">
        <v>796</v>
      </c>
      <c r="C81" s="8">
        <v>1</v>
      </c>
      <c r="D81" s="4" t="s">
        <v>797</v>
      </c>
      <c r="E81" s="5" t="s">
        <v>346</v>
      </c>
      <c r="F81" s="5" t="s">
        <v>347</v>
      </c>
      <c r="G81" s="5" t="s">
        <v>537</v>
      </c>
      <c r="H81" s="4" t="s">
        <v>349</v>
      </c>
      <c r="I81" s="5" t="s">
        <v>350</v>
      </c>
      <c r="J81" s="4" t="s">
        <v>158</v>
      </c>
      <c r="K81" s="4" t="s">
        <v>175</v>
      </c>
      <c r="L81" s="4" t="s">
        <v>160</v>
      </c>
      <c r="M81" s="10" t="s">
        <v>177</v>
      </c>
      <c r="N81" s="10"/>
      <c r="O81" s="11">
        <v>2</v>
      </c>
      <c r="P81" s="11">
        <v>0</v>
      </c>
      <c r="Q81" s="13">
        <v>6.0000000000000001E-3</v>
      </c>
      <c r="R81" s="14">
        <f>IF(OR($M81="Yes",$M81="Owner"),$C81*Cost!$B$6,0)</f>
        <v>5</v>
      </c>
      <c r="S81" s="16">
        <f t="shared" si="12"/>
        <v>0.03</v>
      </c>
      <c r="T81" s="4" t="s">
        <v>178</v>
      </c>
      <c r="U81" s="19"/>
      <c r="V81" s="14">
        <f>IF($M81="Owner",$R81,IF($M81&lt;&gt;"Yes",0,MAX(IF(LEFT($T81,7)="Passive",$R81+MAX(Cost!$B$8,ROUNDUP(Cost!$B$7*$R81,0)),$R81+Cost!$B$9),N($U81))))</f>
        <v>7</v>
      </c>
      <c r="W81" s="16">
        <f t="shared" si="13"/>
        <v>4.2000000000000003E-2</v>
      </c>
      <c r="X81" s="20" t="s">
        <v>351</v>
      </c>
      <c r="Y81" s="4" t="s">
        <v>798</v>
      </c>
      <c r="Z81" s="21" t="s">
        <v>799</v>
      </c>
      <c r="AA81" s="22">
        <f t="shared" si="14"/>
        <v>1</v>
      </c>
      <c r="AB81" s="22">
        <f>IF(OR($M81="Yes",$M81="Owner"),IF(COUNTIFS($H$4:$H81,$H81,$M$4:$M81,"Yes")+COUNTIFS($H$4:$H81,$H81,$M$4:$M81,"Owner")=1,1,0),0)</f>
        <v>0</v>
      </c>
      <c r="AC81" s="21" t="s">
        <v>181</v>
      </c>
      <c r="AD81" s="21" t="str">
        <f t="shared" ref="AD81:AD92" si="15">MID($H81,FIND("CL",$H81)+5,3)</f>
        <v>105</v>
      </c>
      <c r="AE81" s="23">
        <f t="shared" ref="AE81:AE92" si="16">IF(ISNUMBER(FIND("R",$AD81)),SUBSTITUTE($AD81,"R",".")*1,LEFT($AD81,2)*10^RIGHT($AD81,1))*10^-12</f>
        <v>9.9999999999999995E-7</v>
      </c>
      <c r="AF81" s="23" cm="1">
        <f t="array" ref="AF81">LEFT($E81,FIND(" ",$E81)-1)*IFERROR(INDEX({1000,1000000,0.000000000001,0.000000001,0.000001},MATCH(MID($E81,FIND(" ",$E81)+1,1),{"k","M","p","n","µ"},0)),1)</f>
        <v>9.9999999999999995E-7</v>
      </c>
      <c r="AG81" s="24" t="str">
        <f>IF(AND(RIGHT($E81,1)="F",ABS($AF81-$AE81)&lt;=Checks!$C$6*$AE81),"OK","CHECK")</f>
        <v>OK</v>
      </c>
    </row>
    <row r="82" spans="1:33" ht="27.75" customHeight="1" x14ac:dyDescent="0.2">
      <c r="A82" s="6" t="s">
        <v>795</v>
      </c>
      <c r="B82" s="4" t="s">
        <v>800</v>
      </c>
      <c r="C82" s="8">
        <v>1</v>
      </c>
      <c r="D82" s="4" t="s">
        <v>801</v>
      </c>
      <c r="E82" s="5" t="s">
        <v>169</v>
      </c>
      <c r="F82" s="5" t="s">
        <v>347</v>
      </c>
      <c r="G82" s="5" t="s">
        <v>517</v>
      </c>
      <c r="H82" s="4" t="s">
        <v>518</v>
      </c>
      <c r="I82" s="5" t="s">
        <v>519</v>
      </c>
      <c r="J82" s="4" t="s">
        <v>158</v>
      </c>
      <c r="K82" s="4" t="s">
        <v>175</v>
      </c>
      <c r="L82" s="4" t="s">
        <v>188</v>
      </c>
      <c r="M82" s="10" t="s">
        <v>177</v>
      </c>
      <c r="N82" s="10"/>
      <c r="O82" s="11">
        <v>2</v>
      </c>
      <c r="P82" s="11">
        <v>0</v>
      </c>
      <c r="Q82" s="13">
        <v>1.2E-2</v>
      </c>
      <c r="R82" s="14">
        <f>IF(OR($M82="Yes",$M82="Owner"),$C82*Cost!$B$6,0)</f>
        <v>5</v>
      </c>
      <c r="S82" s="16">
        <f t="shared" si="12"/>
        <v>0.06</v>
      </c>
      <c r="T82" s="4" t="s">
        <v>178</v>
      </c>
      <c r="U82" s="19"/>
      <c r="V82" s="14">
        <f>IF($M82="Owner",$R82,IF($M82&lt;&gt;"Yes",0,MAX(IF(LEFT($T82,7)="Passive",$R82+MAX(Cost!$B$8,ROUNDUP(Cost!$B$7*$R82,0)),$R82+Cost!$B$9),N($U82))))</f>
        <v>7</v>
      </c>
      <c r="W82" s="16">
        <f t="shared" si="13"/>
        <v>8.4000000000000005E-2</v>
      </c>
      <c r="X82" s="20" t="s">
        <v>520</v>
      </c>
      <c r="Y82" s="4" t="s">
        <v>802</v>
      </c>
      <c r="Z82" s="21" t="s">
        <v>803</v>
      </c>
      <c r="AA82" s="22">
        <f t="shared" si="14"/>
        <v>1</v>
      </c>
      <c r="AB82" s="22">
        <f>IF(OR($M82="Yes",$M82="Owner"),IF(COUNTIFS($H$4:$H82,$H82,$M$4:$M82,"Yes")+COUNTIFS($H$4:$H82,$H82,$M$4:$M82,"Owner")=1,1,0),0)</f>
        <v>0</v>
      </c>
      <c r="AC82" s="21" t="s">
        <v>181</v>
      </c>
      <c r="AD82" s="21" t="str">
        <f t="shared" si="15"/>
        <v>225</v>
      </c>
      <c r="AE82" s="23">
        <f t="shared" si="16"/>
        <v>2.2000000000000001E-6</v>
      </c>
      <c r="AF82" s="23" cm="1">
        <f t="array" ref="AF82">LEFT($E82,FIND(" ",$E82)-1)*IFERROR(INDEX({1000,1000000,0.000000000001,0.000000001,0.000001},MATCH(MID($E82,FIND(" ",$E82)+1,1),{"k","M","p","n","µ"},0)),1)</f>
        <v>2.2000000000000001E-6</v>
      </c>
      <c r="AG82" s="24" t="str">
        <f>IF(AND(RIGHT($E82,1)="F",ABS($AF82-$AE82)&lt;=Checks!$C$6*$AE82),"OK","CHECK")</f>
        <v>OK</v>
      </c>
    </row>
    <row r="83" spans="1:33" ht="27.75" customHeight="1" x14ac:dyDescent="0.2">
      <c r="A83" s="6" t="s">
        <v>795</v>
      </c>
      <c r="B83" s="4" t="s">
        <v>804</v>
      </c>
      <c r="C83" s="8">
        <v>1</v>
      </c>
      <c r="D83" s="4" t="s">
        <v>805</v>
      </c>
      <c r="E83" s="5" t="s">
        <v>194</v>
      </c>
      <c r="F83" s="5" t="s">
        <v>154</v>
      </c>
      <c r="G83" s="5" t="s">
        <v>325</v>
      </c>
      <c r="H83" s="4" t="s">
        <v>196</v>
      </c>
      <c r="I83" s="5" t="s">
        <v>197</v>
      </c>
      <c r="J83" s="4" t="s">
        <v>158</v>
      </c>
      <c r="K83" s="4" t="s">
        <v>175</v>
      </c>
      <c r="L83" s="4" t="s">
        <v>160</v>
      </c>
      <c r="M83" s="10" t="s">
        <v>177</v>
      </c>
      <c r="N83" s="10"/>
      <c r="O83" s="11">
        <v>2</v>
      </c>
      <c r="P83" s="11">
        <v>0</v>
      </c>
      <c r="Q83" s="13">
        <v>4.4999999999999997E-3</v>
      </c>
      <c r="R83" s="14">
        <f>IF(OR($M83="Yes",$M83="Owner"),$C83*Cost!$B$6,0)</f>
        <v>5</v>
      </c>
      <c r="S83" s="16">
        <f t="shared" si="12"/>
        <v>2.2499999999999999E-2</v>
      </c>
      <c r="T83" s="4" t="s">
        <v>178</v>
      </c>
      <c r="U83" s="19"/>
      <c r="V83" s="14">
        <f>IF($M83="Owner",$R83,IF($M83&lt;&gt;"Yes",0,MAX(IF(LEFT($T83,7)="Passive",$R83+MAX(Cost!$B$8,ROUNDUP(Cost!$B$7*$R83,0)),$R83+Cost!$B$9),N($U83))))</f>
        <v>7</v>
      </c>
      <c r="W83" s="16">
        <f t="shared" si="13"/>
        <v>3.15E-2</v>
      </c>
      <c r="X83" s="20" t="s">
        <v>198</v>
      </c>
      <c r="Y83" s="4" t="s">
        <v>538</v>
      </c>
      <c r="Z83" s="21" t="s">
        <v>806</v>
      </c>
      <c r="AA83" s="22">
        <f t="shared" si="14"/>
        <v>1</v>
      </c>
      <c r="AB83" s="22">
        <f>IF(OR($M83="Yes",$M83="Owner"),IF(COUNTIFS($H$4:$H83,$H83,$M$4:$M83,"Yes")+COUNTIFS($H$4:$H83,$H83,$M$4:$M83,"Owner")=1,1,0),0)</f>
        <v>0</v>
      </c>
      <c r="AC83" s="21" t="s">
        <v>181</v>
      </c>
      <c r="AD83" s="21" t="str">
        <f t="shared" si="15"/>
        <v>104</v>
      </c>
      <c r="AE83" s="23">
        <f t="shared" si="16"/>
        <v>9.9999999999999995E-8</v>
      </c>
      <c r="AF83" s="23" cm="1">
        <f t="array" ref="AF83">LEFT($E83,FIND(" ",$E83)-1)*IFERROR(INDEX({1000,1000000,0.000000000001,0.000000001,0.000001},MATCH(MID($E83,FIND(" ",$E83)+1,1),{"k","M","p","n","µ"},0)),1)</f>
        <v>1.0000000000000001E-7</v>
      </c>
      <c r="AG83" s="24" t="str">
        <f>IF(AND(RIGHT($E83,1)="F",ABS($AF83-$AE83)&lt;=Checks!$C$6*$AE83),"OK","CHECK")</f>
        <v>OK</v>
      </c>
    </row>
    <row r="84" spans="1:33" ht="27.75" customHeight="1" x14ac:dyDescent="0.2">
      <c r="A84" s="6" t="s">
        <v>795</v>
      </c>
      <c r="B84" s="4" t="s">
        <v>807</v>
      </c>
      <c r="C84" s="8">
        <v>1</v>
      </c>
      <c r="D84" s="4" t="s">
        <v>808</v>
      </c>
      <c r="E84" s="5" t="s">
        <v>346</v>
      </c>
      <c r="F84" s="5" t="s">
        <v>347</v>
      </c>
      <c r="G84" s="5" t="s">
        <v>537</v>
      </c>
      <c r="H84" s="4" t="s">
        <v>349</v>
      </c>
      <c r="I84" s="5" t="s">
        <v>350</v>
      </c>
      <c r="J84" s="4" t="s">
        <v>158</v>
      </c>
      <c r="K84" s="4" t="s">
        <v>175</v>
      </c>
      <c r="L84" s="4" t="s">
        <v>160</v>
      </c>
      <c r="M84" s="10" t="s">
        <v>177</v>
      </c>
      <c r="N84" s="10"/>
      <c r="O84" s="11">
        <v>2</v>
      </c>
      <c r="P84" s="11">
        <v>0</v>
      </c>
      <c r="Q84" s="13">
        <v>6.0000000000000001E-3</v>
      </c>
      <c r="R84" s="14">
        <f>IF(OR($M84="Yes",$M84="Owner"),$C84*Cost!$B$6,0)</f>
        <v>5</v>
      </c>
      <c r="S84" s="16">
        <f t="shared" si="12"/>
        <v>0.03</v>
      </c>
      <c r="T84" s="4" t="s">
        <v>178</v>
      </c>
      <c r="U84" s="19"/>
      <c r="V84" s="14">
        <f>IF($M84="Owner",$R84,IF($M84&lt;&gt;"Yes",0,MAX(IF(LEFT($T84,7)="Passive",$R84+MAX(Cost!$B$8,ROUNDUP(Cost!$B$7*$R84,0)),$R84+Cost!$B$9),N($U84))))</f>
        <v>7</v>
      </c>
      <c r="W84" s="16">
        <f t="shared" si="13"/>
        <v>4.2000000000000003E-2</v>
      </c>
      <c r="X84" s="20" t="s">
        <v>351</v>
      </c>
      <c r="Y84" s="4" t="s">
        <v>164</v>
      </c>
      <c r="Z84" s="21" t="s">
        <v>809</v>
      </c>
      <c r="AA84" s="22">
        <f t="shared" si="14"/>
        <v>1</v>
      </c>
      <c r="AB84" s="22">
        <f>IF(OR($M84="Yes",$M84="Owner"),IF(COUNTIFS($H$4:$H84,$H84,$M$4:$M84,"Yes")+COUNTIFS($H$4:$H84,$H84,$M$4:$M84,"Owner")=1,1,0),0)</f>
        <v>0</v>
      </c>
      <c r="AC84" s="21" t="s">
        <v>181</v>
      </c>
      <c r="AD84" s="21" t="str">
        <f t="shared" si="15"/>
        <v>105</v>
      </c>
      <c r="AE84" s="23">
        <f t="shared" si="16"/>
        <v>9.9999999999999995E-7</v>
      </c>
      <c r="AF84" s="23" cm="1">
        <f t="array" ref="AF84">LEFT($E84,FIND(" ",$E84)-1)*IFERROR(INDEX({1000,1000000,0.000000000001,0.000000001,0.000001},MATCH(MID($E84,FIND(" ",$E84)+1,1),{"k","M","p","n","µ"},0)),1)</f>
        <v>9.9999999999999995E-7</v>
      </c>
      <c r="AG84" s="24" t="str">
        <f>IF(AND(RIGHT($E84,1)="F",ABS($AF84-$AE84)&lt;=Checks!$C$6*$AE84),"OK","CHECK")</f>
        <v>OK</v>
      </c>
    </row>
    <row r="85" spans="1:33" ht="27.75" customHeight="1" x14ac:dyDescent="0.2">
      <c r="A85" s="6" t="s">
        <v>795</v>
      </c>
      <c r="B85" s="4" t="s">
        <v>810</v>
      </c>
      <c r="C85" s="8">
        <v>1</v>
      </c>
      <c r="D85" s="4" t="s">
        <v>811</v>
      </c>
      <c r="E85" s="5" t="s">
        <v>636</v>
      </c>
      <c r="F85" s="5" t="s">
        <v>170</v>
      </c>
      <c r="G85" s="5" t="s">
        <v>171</v>
      </c>
      <c r="H85" s="4" t="s">
        <v>637</v>
      </c>
      <c r="I85" s="5" t="s">
        <v>638</v>
      </c>
      <c r="J85" s="4" t="s">
        <v>158</v>
      </c>
      <c r="K85" s="4" t="s">
        <v>175</v>
      </c>
      <c r="L85" s="4" t="s">
        <v>160</v>
      </c>
      <c r="M85" s="10" t="s">
        <v>177</v>
      </c>
      <c r="N85" s="10"/>
      <c r="O85" s="11">
        <v>2</v>
      </c>
      <c r="P85" s="11">
        <v>0</v>
      </c>
      <c r="Q85" s="13">
        <v>8.5000000000000006E-2</v>
      </c>
      <c r="R85" s="14">
        <f>IF(OR($M85="Yes",$M85="Owner"),$C85*Cost!$B$6,0)</f>
        <v>5</v>
      </c>
      <c r="S85" s="16">
        <f t="shared" si="12"/>
        <v>0.42500000000000004</v>
      </c>
      <c r="T85" s="4" t="s">
        <v>178</v>
      </c>
      <c r="U85" s="19"/>
      <c r="V85" s="14">
        <f>IF($M85="Owner",$R85,IF($M85&lt;&gt;"Yes",0,MAX(IF(LEFT($T85,7)="Passive",$R85+MAX(Cost!$B$8,ROUNDUP(Cost!$B$7*$R85,0)),$R85+Cost!$B$9),N($U85))))</f>
        <v>7</v>
      </c>
      <c r="W85" s="16">
        <f t="shared" si="13"/>
        <v>0.59500000000000008</v>
      </c>
      <c r="X85" s="20" t="s">
        <v>639</v>
      </c>
      <c r="Y85" s="4" t="s">
        <v>164</v>
      </c>
      <c r="Z85" s="21" t="s">
        <v>812</v>
      </c>
      <c r="AA85" s="22">
        <f t="shared" si="14"/>
        <v>1</v>
      </c>
      <c r="AB85" s="22">
        <f>IF(OR($M85="Yes",$M85="Owner"),IF(COUNTIFS($H$4:$H85,$H85,$M$4:$M85,"Yes")+COUNTIFS($H$4:$H85,$H85,$M$4:$M85,"Owner")=1,1,0),0)</f>
        <v>0</v>
      </c>
      <c r="AC85" s="21" t="s">
        <v>181</v>
      </c>
      <c r="AD85" s="21" t="str">
        <f t="shared" si="15"/>
        <v>106</v>
      </c>
      <c r="AE85" s="23">
        <f t="shared" si="16"/>
        <v>9.9999999999999991E-6</v>
      </c>
      <c r="AF85" s="23" cm="1">
        <f t="array" ref="AF85">LEFT($E85,FIND(" ",$E85)-1)*IFERROR(INDEX({1000,1000000,0.000000000001,0.000000001,0.000001},MATCH(MID($E85,FIND(" ",$E85)+1,1),{"k","M","p","n","µ"},0)),1)</f>
        <v>9.9999999999999991E-6</v>
      </c>
      <c r="AG85" s="24" t="str">
        <f>IF(AND(RIGHT($E85,1)="F",ABS($AF85-$AE85)&lt;=Checks!$C$6*$AE85),"OK","CHECK")</f>
        <v>OK</v>
      </c>
    </row>
    <row r="86" spans="1:33" ht="27.75" customHeight="1" x14ac:dyDescent="0.2">
      <c r="A86" s="6" t="s">
        <v>795</v>
      </c>
      <c r="B86" s="4" t="s">
        <v>813</v>
      </c>
      <c r="C86" s="8">
        <v>1</v>
      </c>
      <c r="D86" s="4" t="s">
        <v>814</v>
      </c>
      <c r="E86" s="5" t="s">
        <v>346</v>
      </c>
      <c r="F86" s="5" t="s">
        <v>347</v>
      </c>
      <c r="G86" s="5" t="s">
        <v>537</v>
      </c>
      <c r="H86" s="4" t="s">
        <v>349</v>
      </c>
      <c r="I86" s="5" t="s">
        <v>350</v>
      </c>
      <c r="J86" s="4" t="s">
        <v>158</v>
      </c>
      <c r="K86" s="4" t="s">
        <v>175</v>
      </c>
      <c r="L86" s="4" t="s">
        <v>160</v>
      </c>
      <c r="M86" s="10" t="s">
        <v>177</v>
      </c>
      <c r="N86" s="10"/>
      <c r="O86" s="11">
        <v>2</v>
      </c>
      <c r="P86" s="11">
        <v>0</v>
      </c>
      <c r="Q86" s="13">
        <v>6.0000000000000001E-3</v>
      </c>
      <c r="R86" s="14">
        <f>IF(OR($M86="Yes",$M86="Owner"),$C86*Cost!$B$6,0)</f>
        <v>5</v>
      </c>
      <c r="S86" s="16">
        <f t="shared" si="12"/>
        <v>0.03</v>
      </c>
      <c r="T86" s="4" t="s">
        <v>178</v>
      </c>
      <c r="U86" s="19"/>
      <c r="V86" s="14">
        <f>IF($M86="Owner",$R86,IF($M86&lt;&gt;"Yes",0,MAX(IF(LEFT($T86,7)="Passive",$R86+MAX(Cost!$B$8,ROUNDUP(Cost!$B$7*$R86,0)),$R86+Cost!$B$9),N($U86))))</f>
        <v>7</v>
      </c>
      <c r="W86" s="16">
        <f t="shared" si="13"/>
        <v>4.2000000000000003E-2</v>
      </c>
      <c r="X86" s="20" t="s">
        <v>351</v>
      </c>
      <c r="Y86" s="4" t="s">
        <v>164</v>
      </c>
      <c r="Z86" s="21" t="s">
        <v>815</v>
      </c>
      <c r="AA86" s="22">
        <f t="shared" si="14"/>
        <v>1</v>
      </c>
      <c r="AB86" s="22">
        <f>IF(OR($M86="Yes",$M86="Owner"),IF(COUNTIFS($H$4:$H86,$H86,$M$4:$M86,"Yes")+COUNTIFS($H$4:$H86,$H86,$M$4:$M86,"Owner")=1,1,0),0)</f>
        <v>0</v>
      </c>
      <c r="AC86" s="21" t="s">
        <v>181</v>
      </c>
      <c r="AD86" s="21" t="str">
        <f t="shared" si="15"/>
        <v>105</v>
      </c>
      <c r="AE86" s="23">
        <f t="shared" si="16"/>
        <v>9.9999999999999995E-7</v>
      </c>
      <c r="AF86" s="23" cm="1">
        <f t="array" ref="AF86">LEFT($E86,FIND(" ",$E86)-1)*IFERROR(INDEX({1000,1000000,0.000000000001,0.000000001,0.000001},MATCH(MID($E86,FIND(" ",$E86)+1,1),{"k","M","p","n","µ"},0)),1)</f>
        <v>9.9999999999999995E-7</v>
      </c>
      <c r="AG86" s="24" t="str">
        <f>IF(AND(RIGHT($E86,1)="F",ABS($AF86-$AE86)&lt;=Checks!$C$6*$AE86),"OK","CHECK")</f>
        <v>OK</v>
      </c>
    </row>
    <row r="87" spans="1:33" ht="27.75" customHeight="1" x14ac:dyDescent="0.2">
      <c r="A87" s="6" t="s">
        <v>795</v>
      </c>
      <c r="B87" s="4" t="s">
        <v>816</v>
      </c>
      <c r="C87" s="8">
        <v>3</v>
      </c>
      <c r="D87" s="4" t="s">
        <v>817</v>
      </c>
      <c r="E87" s="5" t="s">
        <v>636</v>
      </c>
      <c r="F87" s="5" t="s">
        <v>170</v>
      </c>
      <c r="G87" s="5" t="s">
        <v>171</v>
      </c>
      <c r="H87" s="4" t="s">
        <v>637</v>
      </c>
      <c r="I87" s="5" t="s">
        <v>638</v>
      </c>
      <c r="J87" s="4" t="s">
        <v>158</v>
      </c>
      <c r="K87" s="4" t="s">
        <v>175</v>
      </c>
      <c r="L87" s="4" t="s">
        <v>160</v>
      </c>
      <c r="M87" s="10" t="s">
        <v>177</v>
      </c>
      <c r="N87" s="10"/>
      <c r="O87" s="11">
        <v>2</v>
      </c>
      <c r="P87" s="11">
        <v>0</v>
      </c>
      <c r="Q87" s="13">
        <v>8.5000000000000006E-2</v>
      </c>
      <c r="R87" s="14">
        <f>IF(OR($M87="Yes",$M87="Owner"),$C87*Cost!$B$6,0)</f>
        <v>15</v>
      </c>
      <c r="S87" s="16">
        <f t="shared" si="12"/>
        <v>1.2750000000000001</v>
      </c>
      <c r="T87" s="4" t="s">
        <v>178</v>
      </c>
      <c r="U87" s="19"/>
      <c r="V87" s="14">
        <f>IF($M87="Owner",$R87,IF($M87&lt;&gt;"Yes",0,MAX(IF(LEFT($T87,7)="Passive",$R87+MAX(Cost!$B$8,ROUNDUP(Cost!$B$7*$R87,0)),$R87+Cost!$B$9),N($U87))))</f>
        <v>17</v>
      </c>
      <c r="W87" s="16">
        <f t="shared" si="13"/>
        <v>1.4450000000000001</v>
      </c>
      <c r="X87" s="20" t="s">
        <v>639</v>
      </c>
      <c r="Y87" s="4" t="s">
        <v>164</v>
      </c>
      <c r="Z87" s="21" t="s">
        <v>818</v>
      </c>
      <c r="AA87" s="22">
        <f t="shared" si="14"/>
        <v>3</v>
      </c>
      <c r="AB87" s="22">
        <f>IF(OR($M87="Yes",$M87="Owner"),IF(COUNTIFS($H$4:$H87,$H87,$M$4:$M87,"Yes")+COUNTIFS($H$4:$H87,$H87,$M$4:$M87,"Owner")=1,1,0),0)</f>
        <v>0</v>
      </c>
      <c r="AC87" s="21" t="s">
        <v>181</v>
      </c>
      <c r="AD87" s="21" t="str">
        <f t="shared" si="15"/>
        <v>106</v>
      </c>
      <c r="AE87" s="23">
        <f t="shared" si="16"/>
        <v>9.9999999999999991E-6</v>
      </c>
      <c r="AF87" s="23" cm="1">
        <f t="array" ref="AF87">LEFT($E87,FIND(" ",$E87)-1)*IFERROR(INDEX({1000,1000000,0.000000000001,0.000000001,0.000001},MATCH(MID($E87,FIND(" ",$E87)+1,1),{"k","M","p","n","µ"},0)),1)</f>
        <v>9.9999999999999991E-6</v>
      </c>
      <c r="AG87" s="24" t="str">
        <f>IF(AND(RIGHT($E87,1)="F",ABS($AF87-$AE87)&lt;=Checks!$C$6*$AE87),"OK","CHECK")</f>
        <v>OK</v>
      </c>
    </row>
    <row r="88" spans="1:33" ht="27.75" customHeight="1" x14ac:dyDescent="0.2">
      <c r="A88" s="6" t="s">
        <v>795</v>
      </c>
      <c r="B88" s="4" t="s">
        <v>819</v>
      </c>
      <c r="C88" s="8">
        <v>1</v>
      </c>
      <c r="D88" s="4" t="s">
        <v>820</v>
      </c>
      <c r="E88" s="5" t="s">
        <v>636</v>
      </c>
      <c r="F88" s="5" t="s">
        <v>170</v>
      </c>
      <c r="G88" s="5" t="s">
        <v>171</v>
      </c>
      <c r="H88" s="4" t="s">
        <v>637</v>
      </c>
      <c r="I88" s="5" t="s">
        <v>638</v>
      </c>
      <c r="J88" s="4" t="s">
        <v>158</v>
      </c>
      <c r="K88" s="4" t="s">
        <v>175</v>
      </c>
      <c r="L88" s="4" t="s">
        <v>160</v>
      </c>
      <c r="M88" s="10" t="s">
        <v>177</v>
      </c>
      <c r="N88" s="10"/>
      <c r="O88" s="11">
        <v>2</v>
      </c>
      <c r="P88" s="11">
        <v>0</v>
      </c>
      <c r="Q88" s="13">
        <v>8.5000000000000006E-2</v>
      </c>
      <c r="R88" s="14">
        <f>IF(OR($M88="Yes",$M88="Owner"),$C88*Cost!$B$6,0)</f>
        <v>5</v>
      </c>
      <c r="S88" s="16">
        <f t="shared" si="12"/>
        <v>0.42500000000000004</v>
      </c>
      <c r="T88" s="4" t="s">
        <v>178</v>
      </c>
      <c r="U88" s="19"/>
      <c r="V88" s="14">
        <f>IF($M88="Owner",$R88,IF($M88&lt;&gt;"Yes",0,MAX(IF(LEFT($T88,7)="Passive",$R88+MAX(Cost!$B$8,ROUNDUP(Cost!$B$7*$R88,0)),$R88+Cost!$B$9),N($U88))))</f>
        <v>7</v>
      </c>
      <c r="W88" s="16">
        <f t="shared" si="13"/>
        <v>0.59500000000000008</v>
      </c>
      <c r="X88" s="20" t="s">
        <v>639</v>
      </c>
      <c r="Y88" s="4" t="s">
        <v>821</v>
      </c>
      <c r="Z88" s="21" t="s">
        <v>822</v>
      </c>
      <c r="AA88" s="22">
        <f t="shared" si="14"/>
        <v>1</v>
      </c>
      <c r="AB88" s="22">
        <f>IF(OR($M88="Yes",$M88="Owner"),IF(COUNTIFS($H$4:$H88,$H88,$M$4:$M88,"Yes")+COUNTIFS($H$4:$H88,$H88,$M$4:$M88,"Owner")=1,1,0),0)</f>
        <v>0</v>
      </c>
      <c r="AC88" s="21" t="s">
        <v>181</v>
      </c>
      <c r="AD88" s="21" t="str">
        <f t="shared" si="15"/>
        <v>106</v>
      </c>
      <c r="AE88" s="23">
        <f t="shared" si="16"/>
        <v>9.9999999999999991E-6</v>
      </c>
      <c r="AF88" s="23" cm="1">
        <f t="array" ref="AF88">LEFT($E88,FIND(" ",$E88)-1)*IFERROR(INDEX({1000,1000000,0.000000000001,0.000000001,0.000001},MATCH(MID($E88,FIND(" ",$E88)+1,1),{"k","M","p","n","µ"},0)),1)</f>
        <v>9.9999999999999991E-6</v>
      </c>
      <c r="AG88" s="24" t="str">
        <f>IF(AND(RIGHT($E88,1)="F",ABS($AF88-$AE88)&lt;=Checks!$C$6*$AE88),"OK","CHECK")</f>
        <v>OK</v>
      </c>
    </row>
    <row r="89" spans="1:33" ht="27.75" customHeight="1" x14ac:dyDescent="0.2">
      <c r="A89" s="6" t="s">
        <v>795</v>
      </c>
      <c r="B89" s="4" t="s">
        <v>823</v>
      </c>
      <c r="C89" s="8">
        <v>1</v>
      </c>
      <c r="D89" s="4" t="s">
        <v>824</v>
      </c>
      <c r="E89" s="5" t="s">
        <v>636</v>
      </c>
      <c r="F89" s="5" t="s">
        <v>170</v>
      </c>
      <c r="G89" s="5" t="s">
        <v>171</v>
      </c>
      <c r="H89" s="4" t="s">
        <v>637</v>
      </c>
      <c r="I89" s="5" t="s">
        <v>638</v>
      </c>
      <c r="J89" s="4" t="s">
        <v>158</v>
      </c>
      <c r="K89" s="4" t="s">
        <v>159</v>
      </c>
      <c r="L89" s="4" t="s">
        <v>160</v>
      </c>
      <c r="M89" s="10" t="s">
        <v>161</v>
      </c>
      <c r="N89" s="10"/>
      <c r="O89" s="11">
        <v>2</v>
      </c>
      <c r="P89" s="11">
        <v>0</v>
      </c>
      <c r="Q89" s="13">
        <v>8.5000000000000006E-2</v>
      </c>
      <c r="R89" s="14">
        <f>IF(OR($M89="Yes",$M89="Owner"),$C89*Cost!$B$6,0)</f>
        <v>0</v>
      </c>
      <c r="S89" s="16">
        <f t="shared" si="12"/>
        <v>0</v>
      </c>
      <c r="T89" s="4" t="s">
        <v>162</v>
      </c>
      <c r="U89" s="19"/>
      <c r="V89" s="14">
        <f>IF($M89="Owner",$R89,IF($M89&lt;&gt;"Yes",0,MAX(IF(LEFT($T89,7)="Passive",$R89+MAX(Cost!$B$8,ROUNDUP(Cost!$B$7*$R89,0)),$R89+Cost!$B$9),N($U89))))</f>
        <v>0</v>
      </c>
      <c r="W89" s="16">
        <f t="shared" si="13"/>
        <v>0</v>
      </c>
      <c r="X89" s="20" t="s">
        <v>639</v>
      </c>
      <c r="Y89" s="4" t="s">
        <v>825</v>
      </c>
      <c r="Z89" s="21" t="s">
        <v>826</v>
      </c>
      <c r="AA89" s="22">
        <f t="shared" si="14"/>
        <v>1</v>
      </c>
      <c r="AB89" s="22">
        <f>IF(OR($M89="Yes",$M89="Owner"),IF(COUNTIFS($H$4:$H89,$H89,$M$4:$M89,"Yes")+COUNTIFS($H$4:$H89,$H89,$M$4:$M89,"Owner")=1,1,0),0)</f>
        <v>0</v>
      </c>
      <c r="AC89" s="21" t="s">
        <v>181</v>
      </c>
      <c r="AD89" s="21" t="str">
        <f t="shared" si="15"/>
        <v>106</v>
      </c>
      <c r="AE89" s="23">
        <f t="shared" si="16"/>
        <v>9.9999999999999991E-6</v>
      </c>
      <c r="AF89" s="23" cm="1">
        <f t="array" ref="AF89">LEFT($E89,FIND(" ",$E89)-1)*IFERROR(INDEX({1000,1000000,0.000000000001,0.000000001,0.000001},MATCH(MID($E89,FIND(" ",$E89)+1,1),{"k","M","p","n","µ"},0)),1)</f>
        <v>9.9999999999999991E-6</v>
      </c>
      <c r="AG89" s="24" t="str">
        <f>IF(AND(RIGHT($E89,1)="F",ABS($AF89-$AE89)&lt;=Checks!$C$6*$AE89),"OK","CHECK")</f>
        <v>OK</v>
      </c>
    </row>
    <row r="90" spans="1:33" ht="40.5" customHeight="1" x14ac:dyDescent="0.2">
      <c r="A90" s="6" t="s">
        <v>795</v>
      </c>
      <c r="B90" s="4" t="s">
        <v>827</v>
      </c>
      <c r="C90" s="8">
        <v>1</v>
      </c>
      <c r="D90" s="4" t="s">
        <v>828</v>
      </c>
      <c r="E90" s="5" t="s">
        <v>338</v>
      </c>
      <c r="F90" s="5" t="s">
        <v>154</v>
      </c>
      <c r="G90" s="5" t="s">
        <v>829</v>
      </c>
      <c r="H90" s="4" t="s">
        <v>339</v>
      </c>
      <c r="I90" s="5" t="s">
        <v>340</v>
      </c>
      <c r="J90" s="4" t="s">
        <v>158</v>
      </c>
      <c r="K90" s="4" t="s">
        <v>175</v>
      </c>
      <c r="L90" s="4" t="s">
        <v>160</v>
      </c>
      <c r="M90" s="10" t="s">
        <v>177</v>
      </c>
      <c r="N90" s="10"/>
      <c r="O90" s="11">
        <v>2</v>
      </c>
      <c r="P90" s="11">
        <v>0</v>
      </c>
      <c r="Q90" s="13">
        <v>2E-3</v>
      </c>
      <c r="R90" s="14">
        <f>IF(OR($M90="Yes",$M90="Owner"),$C90*Cost!$B$6,0)</f>
        <v>5</v>
      </c>
      <c r="S90" s="16">
        <f t="shared" si="12"/>
        <v>0.01</v>
      </c>
      <c r="T90" s="4" t="s">
        <v>178</v>
      </c>
      <c r="U90" s="19"/>
      <c r="V90" s="14">
        <f>IF($M90="Owner",$R90,IF($M90&lt;&gt;"Yes",0,MAX(IF(LEFT($T90,7)="Passive",$R90+MAX(Cost!$B$8,ROUNDUP(Cost!$B$7*$R90,0)),$R90+Cost!$B$9),N($U90))))</f>
        <v>7</v>
      </c>
      <c r="W90" s="16">
        <f t="shared" si="13"/>
        <v>1.4E-2</v>
      </c>
      <c r="X90" s="20" t="s">
        <v>341</v>
      </c>
      <c r="Y90" s="4" t="s">
        <v>830</v>
      </c>
      <c r="Z90" s="21" t="s">
        <v>831</v>
      </c>
      <c r="AA90" s="22">
        <f t="shared" si="14"/>
        <v>1</v>
      </c>
      <c r="AB90" s="22">
        <f>IF(OR($M90="Yes",$M90="Owner"),IF(COUNTIFS($H$4:$H90,$H90,$M$4:$M90,"Yes")+COUNTIFS($H$4:$H90,$H90,$M$4:$M90,"Owner")=1,1,0),0)</f>
        <v>0</v>
      </c>
      <c r="AC90" s="21" t="s">
        <v>181</v>
      </c>
      <c r="AD90" s="21" t="str">
        <f t="shared" si="15"/>
        <v>103</v>
      </c>
      <c r="AE90" s="23">
        <f t="shared" si="16"/>
        <v>1E-8</v>
      </c>
      <c r="AF90" s="23" cm="1">
        <f t="array" ref="AF90">LEFT($E90,FIND(" ",$E90)-1)*IFERROR(INDEX({1000,1000000,0.000000000001,0.000000001,0.000001},MATCH(MID($E90,FIND(" ",$E90)+1,1),{"k","M","p","n","µ"},0)),1)</f>
        <v>1E-8</v>
      </c>
      <c r="AG90" s="24" t="str">
        <f>IF(AND(RIGHT($E90,1)="F",ABS($AF90-$AE90)&lt;=Checks!$C$6*$AE90),"OK","CHECK")</f>
        <v>OK</v>
      </c>
    </row>
    <row r="91" spans="1:33" ht="27.75" customHeight="1" x14ac:dyDescent="0.2">
      <c r="A91" s="6" t="s">
        <v>795</v>
      </c>
      <c r="B91" s="4" t="s">
        <v>832</v>
      </c>
      <c r="C91" s="8">
        <v>1</v>
      </c>
      <c r="D91" s="4" t="s">
        <v>833</v>
      </c>
      <c r="E91" s="5" t="s">
        <v>194</v>
      </c>
      <c r="F91" s="5" t="s">
        <v>154</v>
      </c>
      <c r="G91" s="5" t="s">
        <v>325</v>
      </c>
      <c r="H91" s="4" t="s">
        <v>196</v>
      </c>
      <c r="I91" s="5" t="s">
        <v>197</v>
      </c>
      <c r="J91" s="4" t="s">
        <v>158</v>
      </c>
      <c r="K91" s="4" t="s">
        <v>175</v>
      </c>
      <c r="L91" s="4" t="s">
        <v>160</v>
      </c>
      <c r="M91" s="10" t="s">
        <v>177</v>
      </c>
      <c r="N91" s="10"/>
      <c r="O91" s="11">
        <v>2</v>
      </c>
      <c r="P91" s="11">
        <v>0</v>
      </c>
      <c r="Q91" s="13">
        <v>4.4999999999999997E-3</v>
      </c>
      <c r="R91" s="14">
        <f>IF(OR($M91="Yes",$M91="Owner"),$C91*Cost!$B$6,0)</f>
        <v>5</v>
      </c>
      <c r="S91" s="16">
        <f t="shared" si="12"/>
        <v>2.2499999999999999E-2</v>
      </c>
      <c r="T91" s="4" t="s">
        <v>178</v>
      </c>
      <c r="U91" s="19"/>
      <c r="V91" s="14">
        <f>IF($M91="Owner",$R91,IF($M91&lt;&gt;"Yes",0,MAX(IF(LEFT($T91,7)="Passive",$R91+MAX(Cost!$B$8,ROUNDUP(Cost!$B$7*$R91,0)),$R91+Cost!$B$9),N($U91))))</f>
        <v>7</v>
      </c>
      <c r="W91" s="16">
        <f t="shared" si="13"/>
        <v>3.15E-2</v>
      </c>
      <c r="X91" s="20" t="s">
        <v>198</v>
      </c>
      <c r="Y91" s="4" t="s">
        <v>577</v>
      </c>
      <c r="Z91" s="21" t="s">
        <v>834</v>
      </c>
      <c r="AA91" s="22">
        <f t="shared" si="14"/>
        <v>1</v>
      </c>
      <c r="AB91" s="22">
        <f>IF(OR($M91="Yes",$M91="Owner"),IF(COUNTIFS($H$4:$H91,$H91,$M$4:$M91,"Yes")+COUNTIFS($H$4:$H91,$H91,$M$4:$M91,"Owner")=1,1,0),0)</f>
        <v>0</v>
      </c>
      <c r="AC91" s="21" t="s">
        <v>181</v>
      </c>
      <c r="AD91" s="21" t="str">
        <f t="shared" si="15"/>
        <v>104</v>
      </c>
      <c r="AE91" s="23">
        <f t="shared" si="16"/>
        <v>9.9999999999999995E-8</v>
      </c>
      <c r="AF91" s="23" cm="1">
        <f t="array" ref="AF91">LEFT($E91,FIND(" ",$E91)-1)*IFERROR(INDEX({1000,1000000,0.000000000001,0.000000001,0.000001},MATCH(MID($E91,FIND(" ",$E91)+1,1),{"k","M","p","n","µ"},0)),1)</f>
        <v>1.0000000000000001E-7</v>
      </c>
      <c r="AG91" s="24" t="str">
        <f>IF(AND(RIGHT($E91,1)="F",ABS($AF91-$AE91)&lt;=Checks!$C$6*$AE91),"OK","CHECK")</f>
        <v>OK</v>
      </c>
    </row>
    <row r="92" spans="1:33" ht="27.75" customHeight="1" x14ac:dyDescent="0.2">
      <c r="A92" s="6" t="s">
        <v>795</v>
      </c>
      <c r="B92" s="4" t="s">
        <v>835</v>
      </c>
      <c r="C92" s="8">
        <v>1</v>
      </c>
      <c r="D92" s="4" t="s">
        <v>836</v>
      </c>
      <c r="E92" s="5" t="s">
        <v>184</v>
      </c>
      <c r="F92" s="5" t="s">
        <v>154</v>
      </c>
      <c r="G92" s="5" t="s">
        <v>185</v>
      </c>
      <c r="H92" s="4" t="s">
        <v>186</v>
      </c>
      <c r="I92" s="5" t="s">
        <v>187</v>
      </c>
      <c r="J92" s="4" t="s">
        <v>158</v>
      </c>
      <c r="K92" s="4" t="s">
        <v>175</v>
      </c>
      <c r="L92" s="4" t="s">
        <v>188</v>
      </c>
      <c r="M92" s="10" t="s">
        <v>177</v>
      </c>
      <c r="N92" s="10"/>
      <c r="O92" s="11">
        <v>2</v>
      </c>
      <c r="P92" s="11">
        <v>0</v>
      </c>
      <c r="Q92" s="13">
        <v>2E-3</v>
      </c>
      <c r="R92" s="14">
        <f>IF(OR($M92="Yes",$M92="Owner"),$C92*Cost!$B$6,0)</f>
        <v>5</v>
      </c>
      <c r="S92" s="16">
        <f t="shared" si="12"/>
        <v>0.01</v>
      </c>
      <c r="T92" s="4" t="s">
        <v>178</v>
      </c>
      <c r="U92" s="19"/>
      <c r="V92" s="14">
        <f>IF($M92="Owner",$R92,IF($M92&lt;&gt;"Yes",0,MAX(IF(LEFT($T92,7)="Passive",$R92+MAX(Cost!$B$8,ROUNDUP(Cost!$B$7*$R92,0)),$R92+Cost!$B$9),N($U92))))</f>
        <v>7</v>
      </c>
      <c r="W92" s="16">
        <f t="shared" si="13"/>
        <v>1.4E-2</v>
      </c>
      <c r="X92" s="20" t="s">
        <v>189</v>
      </c>
      <c r="Y92" s="4" t="s">
        <v>837</v>
      </c>
      <c r="Z92" s="21" t="s">
        <v>838</v>
      </c>
      <c r="AA92" s="22">
        <f t="shared" si="14"/>
        <v>1</v>
      </c>
      <c r="AB92" s="22">
        <f>IF(OR($M92="Yes",$M92="Owner"),IF(COUNTIFS($H$4:$H92,$H92,$M$4:$M92,"Yes")+COUNTIFS($H$4:$H92,$H92,$M$4:$M92,"Owner")=1,1,0),0)</f>
        <v>0</v>
      </c>
      <c r="AC92" s="21" t="s">
        <v>181</v>
      </c>
      <c r="AD92" s="21" t="str">
        <f t="shared" si="15"/>
        <v>101</v>
      </c>
      <c r="AE92" s="23">
        <f t="shared" si="16"/>
        <v>1E-10</v>
      </c>
      <c r="AF92" s="23" cm="1">
        <f t="array" ref="AF92">LEFT($E92,FIND(" ",$E92)-1)*IFERROR(INDEX({1000,1000000,0.000000000001,0.000000001,0.000001},MATCH(MID($E92,FIND(" ",$E92)+1,1),{"k","M","p","n","µ"},0)),1)</f>
        <v>1E-10</v>
      </c>
      <c r="AG92" s="24" t="str">
        <f>IF(AND(RIGHT($E92,1)="F",ABS($AF92-$AE92)&lt;=Checks!$C$6*$AE92),"OK","CHECK")</f>
        <v>OK</v>
      </c>
    </row>
    <row r="93" spans="1:33" ht="53.25" customHeight="1" x14ac:dyDescent="0.2">
      <c r="A93" s="6" t="s">
        <v>795</v>
      </c>
      <c r="B93" s="4" t="s">
        <v>839</v>
      </c>
      <c r="C93" s="8">
        <v>2</v>
      </c>
      <c r="D93" s="4" t="s">
        <v>840</v>
      </c>
      <c r="E93" s="5" t="s">
        <v>162</v>
      </c>
      <c r="F93" s="5" t="s">
        <v>841</v>
      </c>
      <c r="G93" s="5" t="s">
        <v>842</v>
      </c>
      <c r="H93" s="4" t="s">
        <v>699</v>
      </c>
      <c r="I93" s="5" t="s">
        <v>700</v>
      </c>
      <c r="J93" s="4" t="s">
        <v>174</v>
      </c>
      <c r="K93" s="4" t="s">
        <v>175</v>
      </c>
      <c r="L93" s="4" t="s">
        <v>843</v>
      </c>
      <c r="M93" s="10" t="s">
        <v>177</v>
      </c>
      <c r="N93" s="10"/>
      <c r="O93" s="11">
        <v>3</v>
      </c>
      <c r="P93" s="11">
        <v>0</v>
      </c>
      <c r="Q93" s="13">
        <v>0.02</v>
      </c>
      <c r="R93" s="14">
        <f>IF(OR($M93="Yes",$M93="Owner"),$C93*Cost!$B$6,0)</f>
        <v>10</v>
      </c>
      <c r="S93" s="16">
        <f t="shared" si="12"/>
        <v>0.2</v>
      </c>
      <c r="T93" s="4" t="s">
        <v>222</v>
      </c>
      <c r="U93" s="19"/>
      <c r="V93" s="14">
        <f>IF($M93="Owner",$R93,IF($M93&lt;&gt;"Yes",0,MAX(IF(LEFT($T93,7)="Passive",$R93+MAX(Cost!$B$8,ROUNDUP(Cost!$B$7*$R93,0)),$R93+Cost!$B$9),N($U93))))</f>
        <v>11</v>
      </c>
      <c r="W93" s="16">
        <f t="shared" si="13"/>
        <v>0.22</v>
      </c>
      <c r="X93" s="20" t="s">
        <v>702</v>
      </c>
      <c r="Y93" s="4" t="s">
        <v>844</v>
      </c>
      <c r="Z93" s="21" t="s">
        <v>845</v>
      </c>
      <c r="AA93" s="22">
        <f t="shared" si="14"/>
        <v>2</v>
      </c>
      <c r="AB93" s="22">
        <f>IF(OR($M93="Yes",$M93="Owner"),IF(COUNTIFS($H$4:$H93,$H93,$M$4:$M93,"Yes")+COUNTIFS($H$4:$H93,$H93,$M$4:$M93,"Owner")=1,1,0),0)</f>
        <v>0</v>
      </c>
      <c r="AC93" s="21"/>
      <c r="AD93" s="21"/>
      <c r="AE93" s="23"/>
      <c r="AF93" s="23"/>
      <c r="AG93" s="24"/>
    </row>
    <row r="94" spans="1:33" ht="27.75" customHeight="1" x14ac:dyDescent="0.2">
      <c r="A94" s="6" t="s">
        <v>795</v>
      </c>
      <c r="B94" s="4" t="s">
        <v>846</v>
      </c>
      <c r="C94" s="8">
        <v>1</v>
      </c>
      <c r="D94" s="4" t="s">
        <v>847</v>
      </c>
      <c r="E94" s="5" t="s">
        <v>848</v>
      </c>
      <c r="F94" s="5" t="s">
        <v>347</v>
      </c>
      <c r="G94" s="5" t="s">
        <v>849</v>
      </c>
      <c r="H94" s="4" t="s">
        <v>850</v>
      </c>
      <c r="I94" s="5" t="s">
        <v>851</v>
      </c>
      <c r="J94" s="4" t="s">
        <v>158</v>
      </c>
      <c r="K94" s="4" t="s">
        <v>175</v>
      </c>
      <c r="L94" s="4" t="s">
        <v>160</v>
      </c>
      <c r="M94" s="10" t="s">
        <v>177</v>
      </c>
      <c r="N94" s="10"/>
      <c r="O94" s="11">
        <v>2</v>
      </c>
      <c r="P94" s="11">
        <v>0</v>
      </c>
      <c r="Q94" s="13">
        <v>1.5699999999999999E-2</v>
      </c>
      <c r="R94" s="14">
        <f>IF(OR($M94="Yes",$M94="Owner"),$C94*Cost!$B$6,0)</f>
        <v>5</v>
      </c>
      <c r="S94" s="16">
        <f t="shared" si="12"/>
        <v>7.8499999999999986E-2</v>
      </c>
      <c r="T94" s="4" t="s">
        <v>178</v>
      </c>
      <c r="U94" s="19"/>
      <c r="V94" s="14">
        <f>IF($M94="Owner",$R94,IF($M94&lt;&gt;"Yes",0,MAX(IF(LEFT($T94,7)="Passive",$R94+MAX(Cost!$B$8,ROUNDUP(Cost!$B$7*$R94,0)),$R94+Cost!$B$9),N($U94))))</f>
        <v>7</v>
      </c>
      <c r="W94" s="16">
        <f t="shared" si="13"/>
        <v>0.1099</v>
      </c>
      <c r="X94" s="20" t="s">
        <v>852</v>
      </c>
      <c r="Y94" s="4" t="s">
        <v>164</v>
      </c>
      <c r="Z94" s="21" t="s">
        <v>853</v>
      </c>
      <c r="AA94" s="22">
        <f t="shared" si="14"/>
        <v>1</v>
      </c>
      <c r="AB94" s="22">
        <f>IF(OR($M94="Yes",$M94="Owner"),IF(COUNTIFS($H$4:$H94,$H94,$M$4:$M94,"Yes")+COUNTIFS($H$4:$H94,$H94,$M$4:$M94,"Owner")=1,1,0),0)</f>
        <v>1</v>
      </c>
      <c r="AC94" s="21"/>
      <c r="AD94" s="21"/>
      <c r="AE94" s="23"/>
      <c r="AF94" s="23"/>
      <c r="AG94" s="24"/>
    </row>
    <row r="95" spans="1:33" ht="40.5" customHeight="1" x14ac:dyDescent="0.2">
      <c r="A95" s="6" t="s">
        <v>795</v>
      </c>
      <c r="B95" s="4" t="s">
        <v>854</v>
      </c>
      <c r="C95" s="8">
        <v>5</v>
      </c>
      <c r="D95" s="4" t="s">
        <v>855</v>
      </c>
      <c r="E95" s="5" t="s">
        <v>377</v>
      </c>
      <c r="F95" s="5" t="s">
        <v>378</v>
      </c>
      <c r="G95" s="5" t="s">
        <v>856</v>
      </c>
      <c r="H95" s="4" t="s">
        <v>380</v>
      </c>
      <c r="I95" s="5" t="s">
        <v>381</v>
      </c>
      <c r="J95" s="4" t="s">
        <v>158</v>
      </c>
      <c r="K95" s="4" t="s">
        <v>175</v>
      </c>
      <c r="L95" s="4" t="s">
        <v>857</v>
      </c>
      <c r="M95" s="10" t="s">
        <v>177</v>
      </c>
      <c r="N95" s="10"/>
      <c r="O95" s="11">
        <v>3</v>
      </c>
      <c r="P95" s="11">
        <v>0</v>
      </c>
      <c r="Q95" s="13">
        <v>8.5300000000000001E-2</v>
      </c>
      <c r="R95" s="14">
        <f>IF(OR($M95="Yes",$M95="Owner"),$C95*Cost!$B$6,0)</f>
        <v>25</v>
      </c>
      <c r="S95" s="16">
        <f t="shared" si="12"/>
        <v>2.1324999999999998</v>
      </c>
      <c r="T95" s="4" t="s">
        <v>222</v>
      </c>
      <c r="U95" s="19"/>
      <c r="V95" s="14">
        <f>IF($M95="Owner",$R95,IF($M95&lt;&gt;"Yes",0,MAX(IF(LEFT($T95,7)="Passive",$R95+MAX(Cost!$B$8,ROUNDUP(Cost!$B$7*$R95,0)),$R95+Cost!$B$9),N($U95))))</f>
        <v>26</v>
      </c>
      <c r="W95" s="16">
        <f t="shared" si="13"/>
        <v>2.2178</v>
      </c>
      <c r="X95" s="20" t="s">
        <v>383</v>
      </c>
      <c r="Y95" s="4" t="s">
        <v>858</v>
      </c>
      <c r="Z95" s="21" t="s">
        <v>859</v>
      </c>
      <c r="AA95" s="22">
        <f t="shared" si="14"/>
        <v>5</v>
      </c>
      <c r="AB95" s="22">
        <f>IF(OR($M95="Yes",$M95="Owner"),IF(COUNTIFS($H$4:$H95,$H95,$M$4:$M95,"Yes")+COUNTIFS($H$4:$H95,$H95,$M$4:$M95,"Owner")=1,1,0),0)</f>
        <v>0</v>
      </c>
      <c r="AC95" s="21"/>
      <c r="AD95" s="21"/>
      <c r="AE95" s="23"/>
      <c r="AF95" s="23"/>
      <c r="AG95" s="24"/>
    </row>
    <row r="96" spans="1:33" ht="78.75" customHeight="1" x14ac:dyDescent="0.2">
      <c r="A96" s="6" t="s">
        <v>795</v>
      </c>
      <c r="B96" s="4" t="s">
        <v>860</v>
      </c>
      <c r="C96" s="8">
        <v>1</v>
      </c>
      <c r="D96" s="4" t="s">
        <v>861</v>
      </c>
      <c r="E96" s="5" t="s">
        <v>862</v>
      </c>
      <c r="F96" s="5" t="s">
        <v>378</v>
      </c>
      <c r="G96" s="5" t="s">
        <v>863</v>
      </c>
      <c r="H96" s="4" t="s">
        <v>864</v>
      </c>
      <c r="I96" s="5" t="s">
        <v>865</v>
      </c>
      <c r="J96" s="4" t="s">
        <v>158</v>
      </c>
      <c r="K96" s="4" t="s">
        <v>175</v>
      </c>
      <c r="L96" s="4" t="s">
        <v>866</v>
      </c>
      <c r="M96" s="10" t="s">
        <v>177</v>
      </c>
      <c r="N96" s="10"/>
      <c r="O96" s="11">
        <v>3</v>
      </c>
      <c r="P96" s="11">
        <v>0</v>
      </c>
      <c r="Q96" s="13">
        <v>1.04E-2</v>
      </c>
      <c r="R96" s="14">
        <f>IF(OR($M96="Yes",$M96="Owner"),$C96*Cost!$B$6,0)</f>
        <v>5</v>
      </c>
      <c r="S96" s="16">
        <f t="shared" si="12"/>
        <v>5.1999999999999998E-2</v>
      </c>
      <c r="T96" s="4" t="s">
        <v>222</v>
      </c>
      <c r="U96" s="19"/>
      <c r="V96" s="14">
        <f>IF($M96="Owner",$R96,IF($M96&lt;&gt;"Yes",0,MAX(IF(LEFT($T96,7)="Passive",$R96+MAX(Cost!$B$8,ROUNDUP(Cost!$B$7*$R96,0)),$R96+Cost!$B$9),N($U96))))</f>
        <v>6</v>
      </c>
      <c r="W96" s="16">
        <f t="shared" si="13"/>
        <v>6.2399999999999997E-2</v>
      </c>
      <c r="X96" s="20" t="s">
        <v>867</v>
      </c>
      <c r="Y96" s="4" t="s">
        <v>868</v>
      </c>
      <c r="Z96" s="21" t="s">
        <v>869</v>
      </c>
      <c r="AA96" s="22">
        <f t="shared" si="14"/>
        <v>1</v>
      </c>
      <c r="AB96" s="22">
        <f>IF(OR($M96="Yes",$M96="Owner"),IF(COUNTIFS($H$4:$H96,$H96,$M$4:$M96,"Yes")+COUNTIFS($H$4:$H96,$H96,$M$4:$M96,"Owner")=1,1,0),0)</f>
        <v>1</v>
      </c>
      <c r="AC96" s="21"/>
      <c r="AD96" s="21"/>
      <c r="AE96" s="23"/>
      <c r="AF96" s="23"/>
      <c r="AG96" s="24"/>
    </row>
    <row r="97" spans="1:33" ht="53.25" customHeight="1" x14ac:dyDescent="0.2">
      <c r="A97" s="6" t="s">
        <v>795</v>
      </c>
      <c r="B97" s="4" t="s">
        <v>870</v>
      </c>
      <c r="C97" s="8">
        <v>1</v>
      </c>
      <c r="D97" s="4" t="s">
        <v>871</v>
      </c>
      <c r="E97" s="5" t="s">
        <v>872</v>
      </c>
      <c r="F97" s="5" t="s">
        <v>347</v>
      </c>
      <c r="G97" s="5" t="s">
        <v>572</v>
      </c>
      <c r="H97" s="4" t="s">
        <v>873</v>
      </c>
      <c r="I97" s="5" t="s">
        <v>874</v>
      </c>
      <c r="J97" s="4" t="s">
        <v>308</v>
      </c>
      <c r="K97" s="4" t="s">
        <v>175</v>
      </c>
      <c r="L97" s="4" t="s">
        <v>875</v>
      </c>
      <c r="M97" s="10" t="s">
        <v>177</v>
      </c>
      <c r="N97" s="10"/>
      <c r="O97" s="11">
        <v>2</v>
      </c>
      <c r="P97" s="11">
        <v>0</v>
      </c>
      <c r="Q97" s="13">
        <v>2.5399999999999999E-2</v>
      </c>
      <c r="R97" s="14">
        <f>IF(OR($M97="Yes",$M97="Owner"),$C97*Cost!$B$6,0)</f>
        <v>5</v>
      </c>
      <c r="S97" s="16">
        <f t="shared" si="12"/>
        <v>0.127</v>
      </c>
      <c r="T97" s="4" t="s">
        <v>178</v>
      </c>
      <c r="U97" s="19"/>
      <c r="V97" s="14">
        <f>IF($M97="Owner",$R97,IF($M97&lt;&gt;"Yes",0,MAX(IF(LEFT($T97,7)="Passive",$R97+MAX(Cost!$B$8,ROUNDUP(Cost!$B$7*$R97,0)),$R97+Cost!$B$9),N($U97))))</f>
        <v>7</v>
      </c>
      <c r="W97" s="16">
        <f t="shared" si="13"/>
        <v>0.17779999999999999</v>
      </c>
      <c r="X97" s="20" t="s">
        <v>876</v>
      </c>
      <c r="Y97" s="4" t="s">
        <v>877</v>
      </c>
      <c r="Z97" s="21" t="s">
        <v>878</v>
      </c>
      <c r="AA97" s="22">
        <f t="shared" si="14"/>
        <v>1</v>
      </c>
      <c r="AB97" s="22">
        <f>IF(OR($M97="Yes",$M97="Owner"),IF(COUNTIFS($H$4:$H97,$H97,$M$4:$M97,"Yes")+COUNTIFS($H$4:$H97,$H97,$M$4:$M97,"Owner")=1,1,0),0)</f>
        <v>1</v>
      </c>
      <c r="AC97" s="21" t="s">
        <v>579</v>
      </c>
      <c r="AD97" s="21" t="str">
        <f>MID($H97,18,FIND("L",$H97,18)-18)</f>
        <v>221K</v>
      </c>
      <c r="AE97" s="23">
        <f>(SUBSTITUTE(SUBSTITUTE(SUBSTITUTE($AD97,"R","."),"K","."),"M",".")&amp;"0")*IF(ISNUMBER(FIND("K",$AD97)),1000,IF(ISNUMBER(FIND("M",$AD97)),10^6,1))</f>
        <v>221000</v>
      </c>
      <c r="AF97" s="23" cm="1">
        <f t="array" ref="AF97">LEFT($E97,FIND(" ",$E97)-1)*IFERROR(INDEX({1000,1000000,0.000000000001,0.000000001,0.000001},MATCH(MID($E97,FIND(" ",$E97)+1,1),{"k","M","p","n","µ"},0)),1)</f>
        <v>221000</v>
      </c>
      <c r="AG97" s="24" t="str">
        <f>IF(AND(RIGHT($E97,1)="Ω",ABS($AF97-$AE97)&lt;=Checks!$C$6*$AE97),"OK","CHECK")</f>
        <v>OK</v>
      </c>
    </row>
    <row r="98" spans="1:33" ht="27.75" customHeight="1" x14ac:dyDescent="0.2">
      <c r="A98" s="6" t="s">
        <v>795</v>
      </c>
      <c r="B98" s="4" t="s">
        <v>879</v>
      </c>
      <c r="C98" s="8">
        <v>2</v>
      </c>
      <c r="D98" s="4" t="s">
        <v>880</v>
      </c>
      <c r="E98" s="5" t="s">
        <v>244</v>
      </c>
      <c r="F98" s="5" t="s">
        <v>347</v>
      </c>
      <c r="G98" s="5" t="s">
        <v>572</v>
      </c>
      <c r="H98" s="4" t="s">
        <v>881</v>
      </c>
      <c r="I98" s="5" t="s">
        <v>882</v>
      </c>
      <c r="J98" s="4" t="s">
        <v>308</v>
      </c>
      <c r="K98" s="4" t="s">
        <v>175</v>
      </c>
      <c r="L98" s="4" t="s">
        <v>883</v>
      </c>
      <c r="M98" s="10" t="s">
        <v>177</v>
      </c>
      <c r="N98" s="10"/>
      <c r="O98" s="11">
        <v>2</v>
      </c>
      <c r="P98" s="11">
        <v>0</v>
      </c>
      <c r="Q98" s="13">
        <v>2.23E-2</v>
      </c>
      <c r="R98" s="14">
        <f>IF(OR($M98="Yes",$M98="Owner"),$C98*Cost!$B$6,0)</f>
        <v>10</v>
      </c>
      <c r="S98" s="16">
        <f t="shared" si="12"/>
        <v>0.223</v>
      </c>
      <c r="T98" s="4" t="s">
        <v>178</v>
      </c>
      <c r="U98" s="19"/>
      <c r="V98" s="14">
        <f>IF($M98="Owner",$R98,IF($M98&lt;&gt;"Yes",0,MAX(IF(LEFT($T98,7)="Passive",$R98+MAX(Cost!$B$8,ROUNDUP(Cost!$B$7*$R98,0)),$R98+Cost!$B$9),N($U98))))</f>
        <v>12</v>
      </c>
      <c r="W98" s="16">
        <f t="shared" si="13"/>
        <v>0.2676</v>
      </c>
      <c r="X98" s="20" t="s">
        <v>884</v>
      </c>
      <c r="Y98" s="4" t="s">
        <v>885</v>
      </c>
      <c r="Z98" s="21" t="s">
        <v>886</v>
      </c>
      <c r="AA98" s="22">
        <f t="shared" si="14"/>
        <v>2</v>
      </c>
      <c r="AB98" s="22">
        <f>IF(OR($M98="Yes",$M98="Owner"),IF(COUNTIFS($H$4:$H98,$H98,$M$4:$M98,"Yes")+COUNTIFS($H$4:$H98,$H98,$M$4:$M98,"Owner")=1,1,0),0)</f>
        <v>1</v>
      </c>
      <c r="AC98" s="21" t="s">
        <v>579</v>
      </c>
      <c r="AD98" s="21" t="str">
        <f>MID($H98,18,FIND("L",$H98,18)-18)</f>
        <v>100K</v>
      </c>
      <c r="AE98" s="23">
        <f>(SUBSTITUTE(SUBSTITUTE(SUBSTITUTE($AD98,"R","."),"K","."),"M",".")&amp;"0")*IF(ISNUMBER(FIND("K",$AD98)),1000,IF(ISNUMBER(FIND("M",$AD98)),10^6,1))</f>
        <v>100000</v>
      </c>
      <c r="AF98" s="23" cm="1">
        <f t="array" ref="AF98">LEFT($E98,FIND(" ",$E98)-1)*IFERROR(INDEX({1000,1000000,0.000000000001,0.000000001,0.000001},MATCH(MID($E98,FIND(" ",$E98)+1,1),{"k","M","p","n","µ"},0)),1)</f>
        <v>100000</v>
      </c>
      <c r="AG98" s="24" t="str">
        <f>IF(AND(RIGHT($E98,1)="Ω",ABS($AF98-$AE98)&lt;=Checks!$C$6*$AE98),"OK","CHECK")</f>
        <v>OK</v>
      </c>
    </row>
    <row r="99" spans="1:33" ht="27.75" customHeight="1" x14ac:dyDescent="0.2">
      <c r="A99" s="6" t="s">
        <v>795</v>
      </c>
      <c r="B99" s="4" t="s">
        <v>887</v>
      </c>
      <c r="C99" s="8">
        <v>1</v>
      </c>
      <c r="D99" s="4" t="s">
        <v>888</v>
      </c>
      <c r="E99" s="5" t="s">
        <v>889</v>
      </c>
      <c r="F99" s="5" t="s">
        <v>347</v>
      </c>
      <c r="G99" s="5" t="s">
        <v>572</v>
      </c>
      <c r="H99" s="4" t="s">
        <v>890</v>
      </c>
      <c r="I99" s="5" t="s">
        <v>891</v>
      </c>
      <c r="J99" s="4" t="s">
        <v>308</v>
      </c>
      <c r="K99" s="4" t="s">
        <v>175</v>
      </c>
      <c r="L99" s="4" t="s">
        <v>892</v>
      </c>
      <c r="M99" s="10" t="s">
        <v>177</v>
      </c>
      <c r="N99" s="10"/>
      <c r="O99" s="11">
        <v>2</v>
      </c>
      <c r="P99" s="11">
        <v>0</v>
      </c>
      <c r="Q99" s="13">
        <v>3.1600000000000003E-2</v>
      </c>
      <c r="R99" s="14">
        <f>IF(OR($M99="Yes",$M99="Owner"),$C99*Cost!$B$6,0)</f>
        <v>5</v>
      </c>
      <c r="S99" s="16">
        <f t="shared" si="12"/>
        <v>0.15800000000000003</v>
      </c>
      <c r="T99" s="4" t="s">
        <v>178</v>
      </c>
      <c r="U99" s="19"/>
      <c r="V99" s="14">
        <f>IF($M99="Owner",$R99,IF($M99&lt;&gt;"Yes",0,MAX(IF(LEFT($T99,7)="Passive",$R99+MAX(Cost!$B$8,ROUNDUP(Cost!$B$7*$R99,0)),$R99+Cost!$B$9),N($U99))))</f>
        <v>7</v>
      </c>
      <c r="W99" s="16">
        <f t="shared" si="13"/>
        <v>0.22120000000000001</v>
      </c>
      <c r="X99" s="20" t="s">
        <v>893</v>
      </c>
      <c r="Y99" s="4" t="s">
        <v>894</v>
      </c>
      <c r="Z99" s="21" t="s">
        <v>895</v>
      </c>
      <c r="AA99" s="22">
        <f t="shared" si="14"/>
        <v>1</v>
      </c>
      <c r="AB99" s="22">
        <f>IF(OR($M99="Yes",$M99="Owner"),IF(COUNTIFS($H$4:$H99,$H99,$M$4:$M99,"Yes")+COUNTIFS($H$4:$H99,$H99,$M$4:$M99,"Owner")=1,1,0),0)</f>
        <v>1</v>
      </c>
      <c r="AC99" s="21" t="s">
        <v>579</v>
      </c>
      <c r="AD99" s="21" t="str">
        <f>MID($H99,18,FIND("L",$H99,18)-18)</f>
        <v>205K</v>
      </c>
      <c r="AE99" s="23">
        <f>(SUBSTITUTE(SUBSTITUTE(SUBSTITUTE($AD99,"R","."),"K","."),"M",".")&amp;"0")*IF(ISNUMBER(FIND("K",$AD99)),1000,IF(ISNUMBER(FIND("M",$AD99)),10^6,1))</f>
        <v>205000</v>
      </c>
      <c r="AF99" s="23" cm="1">
        <f t="array" ref="AF99">LEFT($E99,FIND(" ",$E99)-1)*IFERROR(INDEX({1000,1000000,0.000000000001,0.000000001,0.000001},MATCH(MID($E99,FIND(" ",$E99)+1,1),{"k","M","p","n","µ"},0)),1)</f>
        <v>205000</v>
      </c>
      <c r="AG99" s="24" t="str">
        <f>IF(AND(RIGHT($E99,1)="Ω",ABS($AF99-$AE99)&lt;=Checks!$C$6*$AE99),"OK","CHECK")</f>
        <v>OK</v>
      </c>
    </row>
    <row r="100" spans="1:33" ht="27.75" customHeight="1" x14ac:dyDescent="0.2">
      <c r="A100" s="6" t="s">
        <v>795</v>
      </c>
      <c r="B100" s="4" t="s">
        <v>896</v>
      </c>
      <c r="C100" s="8">
        <v>1</v>
      </c>
      <c r="D100" s="4" t="s">
        <v>897</v>
      </c>
      <c r="E100" s="5" t="s">
        <v>244</v>
      </c>
      <c r="F100" s="5" t="s">
        <v>154</v>
      </c>
      <c r="G100" s="5" t="s">
        <v>229</v>
      </c>
      <c r="H100" s="4" t="s">
        <v>245</v>
      </c>
      <c r="I100" s="5" t="s">
        <v>246</v>
      </c>
      <c r="J100" s="4" t="s">
        <v>158</v>
      </c>
      <c r="K100" s="4" t="s">
        <v>175</v>
      </c>
      <c r="L100" s="4" t="s">
        <v>160</v>
      </c>
      <c r="M100" s="10" t="s">
        <v>177</v>
      </c>
      <c r="N100" s="10"/>
      <c r="O100" s="11">
        <v>2</v>
      </c>
      <c r="P100" s="11">
        <v>0</v>
      </c>
      <c r="Q100" s="13">
        <v>3.3E-3</v>
      </c>
      <c r="R100" s="14">
        <f>IF(OR($M100="Yes",$M100="Owner"),$C100*Cost!$B$6,0)</f>
        <v>5</v>
      </c>
      <c r="S100" s="16">
        <f t="shared" ref="S100:S131" si="17">$R100*$Q100</f>
        <v>1.6500000000000001E-2</v>
      </c>
      <c r="T100" s="4" t="s">
        <v>178</v>
      </c>
      <c r="U100" s="19"/>
      <c r="V100" s="14">
        <f>IF($M100="Owner",$R100,IF($M100&lt;&gt;"Yes",0,MAX(IF(LEFT($T100,7)="Passive",$R100+MAX(Cost!$B$8,ROUNDUP(Cost!$B$7*$R100,0)),$R100+Cost!$B$9),N($U100))))</f>
        <v>7</v>
      </c>
      <c r="W100" s="16">
        <f t="shared" ref="W100:W131" si="18">$V100*$Q100</f>
        <v>2.3099999999999999E-2</v>
      </c>
      <c r="X100" s="20" t="s">
        <v>247</v>
      </c>
      <c r="Y100" s="4" t="s">
        <v>898</v>
      </c>
      <c r="Z100" s="21" t="s">
        <v>899</v>
      </c>
      <c r="AA100" s="22">
        <f t="shared" ref="AA100:AA131" si="19">IF($Z100="",0,LEN($Z100)-LEN(SUBSTITUTE($Z100,",",""))-1)</f>
        <v>1</v>
      </c>
      <c r="AB100" s="22">
        <f>IF(OR($M100="Yes",$M100="Owner"),IF(COUNTIFS($H$4:$H100,$H100,$M$4:$M100,"Yes")+COUNTIFS($H$4:$H100,$H100,$M$4:$M100,"Owner")=1,1,0),0)</f>
        <v>0</v>
      </c>
      <c r="AC100" s="21" t="s">
        <v>234</v>
      </c>
      <c r="AD100" s="21" t="str">
        <f>MID($H100,18,4)</f>
        <v>1003</v>
      </c>
      <c r="AE100" s="23">
        <f>LEFT($AD100,3)*IF(ISNUMBER(--RIGHT($AD100,1)),10^RIGHT($AD100,1),10^(0-FIND(RIGHT($AD100,1),"JKLM")))</f>
        <v>100000</v>
      </c>
      <c r="AF100" s="23" cm="1">
        <f t="array" ref="AF100">LEFT($E100,FIND(" ",$E100)-1)*IFERROR(INDEX({1000,1000000,0.000000000001,0.000000001,0.000001},MATCH(MID($E100,FIND(" ",$E100)+1,1),{"k","M","p","n","µ"},0)),1)</f>
        <v>100000</v>
      </c>
      <c r="AG100" s="24" t="str">
        <f>IF(AND(RIGHT($E100,1)="Ω",ABS($AF100-$AE100)&lt;=Checks!$C$6*$AE100),"OK","CHECK")</f>
        <v>OK</v>
      </c>
    </row>
    <row r="101" spans="1:33" ht="53.25" customHeight="1" x14ac:dyDescent="0.2">
      <c r="A101" s="6" t="s">
        <v>795</v>
      </c>
      <c r="B101" s="4" t="s">
        <v>900</v>
      </c>
      <c r="C101" s="8">
        <v>1</v>
      </c>
      <c r="D101" s="4" t="s">
        <v>901</v>
      </c>
      <c r="E101" s="5" t="s">
        <v>237</v>
      </c>
      <c r="F101" s="5" t="s">
        <v>154</v>
      </c>
      <c r="G101" s="5" t="s">
        <v>229</v>
      </c>
      <c r="H101" s="4" t="s">
        <v>238</v>
      </c>
      <c r="I101" s="5" t="s">
        <v>239</v>
      </c>
      <c r="J101" s="4" t="s">
        <v>158</v>
      </c>
      <c r="K101" s="4" t="s">
        <v>175</v>
      </c>
      <c r="L101" s="4" t="s">
        <v>160</v>
      </c>
      <c r="M101" s="10" t="s">
        <v>177</v>
      </c>
      <c r="N101" s="10"/>
      <c r="O101" s="11">
        <v>2</v>
      </c>
      <c r="P101" s="11">
        <v>0</v>
      </c>
      <c r="Q101" s="13">
        <v>2E-3</v>
      </c>
      <c r="R101" s="14">
        <f>IF(OR($M101="Yes",$M101="Owner"),$C101*Cost!$B$6,0)</f>
        <v>5</v>
      </c>
      <c r="S101" s="16">
        <f t="shared" si="17"/>
        <v>0.01</v>
      </c>
      <c r="T101" s="4" t="s">
        <v>178</v>
      </c>
      <c r="U101" s="19"/>
      <c r="V101" s="14">
        <f>IF($M101="Owner",$R101,IF($M101&lt;&gt;"Yes",0,MAX(IF(LEFT($T101,7)="Passive",$R101+MAX(Cost!$B$8,ROUNDUP(Cost!$B$7*$R101,0)),$R101+Cost!$B$9),N($U101))))</f>
        <v>7</v>
      </c>
      <c r="W101" s="16">
        <f t="shared" si="18"/>
        <v>1.4E-2</v>
      </c>
      <c r="X101" s="20" t="s">
        <v>240</v>
      </c>
      <c r="Y101" s="4" t="s">
        <v>902</v>
      </c>
      <c r="Z101" s="21" t="s">
        <v>903</v>
      </c>
      <c r="AA101" s="22">
        <f t="shared" si="19"/>
        <v>1</v>
      </c>
      <c r="AB101" s="22">
        <f>IF(OR($M101="Yes",$M101="Owner"),IF(COUNTIFS($H$4:$H101,$H101,$M$4:$M101,"Yes")+COUNTIFS($H$4:$H101,$H101,$M$4:$M101,"Owner")=1,1,0),0)</f>
        <v>0</v>
      </c>
      <c r="AC101" s="21" t="s">
        <v>234</v>
      </c>
      <c r="AD101" s="21" t="str">
        <f>MID($H101,18,4)</f>
        <v>1002</v>
      </c>
      <c r="AE101" s="23">
        <f>LEFT($AD101,3)*IF(ISNUMBER(--RIGHT($AD101,1)),10^RIGHT($AD101,1),10^(0-FIND(RIGHT($AD101,1),"JKLM")))</f>
        <v>10000</v>
      </c>
      <c r="AF101" s="23" cm="1">
        <f t="array" ref="AF101">LEFT($E101,FIND(" ",$E101)-1)*IFERROR(INDEX({1000,1000000,0.000000000001,0.000000001,0.000001},MATCH(MID($E101,FIND(" ",$E101)+1,1),{"k","M","p","n","µ"},0)),1)</f>
        <v>10000</v>
      </c>
      <c r="AG101" s="24" t="str">
        <f>IF(AND(RIGHT($E101,1)="Ω",ABS($AF101-$AE101)&lt;=Checks!$C$6*$AE101),"OK","CHECK")</f>
        <v>OK</v>
      </c>
    </row>
    <row r="102" spans="1:33" ht="104.25" customHeight="1" x14ac:dyDescent="0.2">
      <c r="A102" s="6" t="s">
        <v>795</v>
      </c>
      <c r="B102" s="4" t="s">
        <v>904</v>
      </c>
      <c r="C102" s="8">
        <v>1</v>
      </c>
      <c r="D102" s="4" t="s">
        <v>905</v>
      </c>
      <c r="E102" s="5" t="s">
        <v>906</v>
      </c>
      <c r="F102" s="5" t="s">
        <v>347</v>
      </c>
      <c r="G102" s="5" t="s">
        <v>572</v>
      </c>
      <c r="H102" s="4" t="s">
        <v>907</v>
      </c>
      <c r="I102" s="5" t="s">
        <v>162</v>
      </c>
      <c r="J102" s="4" t="s">
        <v>162</v>
      </c>
      <c r="K102" s="4" t="s">
        <v>207</v>
      </c>
      <c r="L102" s="4" t="s">
        <v>908</v>
      </c>
      <c r="M102" s="10" t="s">
        <v>209</v>
      </c>
      <c r="N102" s="10"/>
      <c r="O102" s="11">
        <v>2</v>
      </c>
      <c r="P102" s="11">
        <v>0</v>
      </c>
      <c r="Q102" s="13">
        <v>0.1</v>
      </c>
      <c r="R102" s="14">
        <f>IF(OR($M102="Yes",$M102="Owner"),$C102*Cost!$B$6,0)</f>
        <v>5</v>
      </c>
      <c r="S102" s="16">
        <f t="shared" si="17"/>
        <v>0.5</v>
      </c>
      <c r="T102" s="4" t="s">
        <v>210</v>
      </c>
      <c r="U102" s="19"/>
      <c r="V102" s="14">
        <f>IF($M102="Owner",$R102,IF($M102&lt;&gt;"Yes",0,MAX(IF(LEFT($T102,7)="Passive",$R102+MAX(Cost!$B$8,ROUNDUP(Cost!$B$7*$R102,0)),$R102+Cost!$B$9),N($U102))))</f>
        <v>5</v>
      </c>
      <c r="W102" s="16">
        <f t="shared" si="18"/>
        <v>0.5</v>
      </c>
      <c r="X102" s="20" t="s">
        <v>909</v>
      </c>
      <c r="Y102" s="4" t="s">
        <v>910</v>
      </c>
      <c r="Z102" s="21" t="s">
        <v>911</v>
      </c>
      <c r="AA102" s="22">
        <f t="shared" si="19"/>
        <v>1</v>
      </c>
      <c r="AB102" s="22">
        <f>IF(OR($M102="Yes",$M102="Owner"),IF(COUNTIFS($H$4:$H102,$H102,$M$4:$M102,"Yes")+COUNTIFS($H$4:$H102,$H102,$M$4:$M102,"Owner")=1,1,0),0)</f>
        <v>1</v>
      </c>
      <c r="AC102" s="21" t="s">
        <v>912</v>
      </c>
      <c r="AD102" s="21" t="str">
        <f>MID($H102,FIND("TT",$H102)+3,4)</f>
        <v>4751</v>
      </c>
      <c r="AE102" s="23">
        <f>LEFT($AD102,3)*IF(ISNUMBER(--RIGHT($AD102,1)),10^RIGHT($AD102,1),10^(0-FIND(RIGHT($AD102,1),"JKLM")))</f>
        <v>4750</v>
      </c>
      <c r="AF102" s="23" cm="1">
        <f t="array" ref="AF102">LEFT($E102,FIND(" ",$E102)-1)*IFERROR(INDEX({1000,1000000,0.000000000001,0.000000001,0.000001},MATCH(MID($E102,FIND(" ",$E102)+1,1),{"k","M","p","n","µ"},0)),1)</f>
        <v>4750</v>
      </c>
      <c r="AG102" s="24" t="str">
        <f>IF(AND(RIGHT($E102,1)="Ω",ABS($AF102-$AE102)&lt;=Checks!$C$6*$AE102),"OK","CHECK")</f>
        <v>OK</v>
      </c>
    </row>
    <row r="103" spans="1:33" ht="27.75" customHeight="1" x14ac:dyDescent="0.2">
      <c r="A103" s="6" t="s">
        <v>795</v>
      </c>
      <c r="B103" s="4" t="s">
        <v>913</v>
      </c>
      <c r="C103" s="8">
        <v>1</v>
      </c>
      <c r="D103" s="4" t="s">
        <v>914</v>
      </c>
      <c r="E103" s="5" t="s">
        <v>915</v>
      </c>
      <c r="F103" s="5" t="s">
        <v>347</v>
      </c>
      <c r="G103" s="5" t="s">
        <v>572</v>
      </c>
      <c r="H103" s="4" t="s">
        <v>916</v>
      </c>
      <c r="I103" s="5" t="s">
        <v>917</v>
      </c>
      <c r="J103" s="4" t="s">
        <v>174</v>
      </c>
      <c r="K103" s="4" t="s">
        <v>175</v>
      </c>
      <c r="L103" s="4" t="s">
        <v>918</v>
      </c>
      <c r="M103" s="10" t="s">
        <v>177</v>
      </c>
      <c r="N103" s="10"/>
      <c r="O103" s="11">
        <v>2</v>
      </c>
      <c r="P103" s="11">
        <v>0</v>
      </c>
      <c r="Q103" s="13">
        <v>3.5000000000000003E-2</v>
      </c>
      <c r="R103" s="14">
        <f>IF(OR($M103="Yes",$M103="Owner"),$C103*Cost!$B$6,0)</f>
        <v>5</v>
      </c>
      <c r="S103" s="16">
        <f t="shared" si="17"/>
        <v>0.17500000000000002</v>
      </c>
      <c r="T103" s="4" t="s">
        <v>178</v>
      </c>
      <c r="U103" s="19"/>
      <c r="V103" s="14">
        <f>IF($M103="Owner",$R103,IF($M103&lt;&gt;"Yes",0,MAX(IF(LEFT($T103,7)="Passive",$R103+MAX(Cost!$B$8,ROUNDUP(Cost!$B$7*$R103,0)),$R103+Cost!$B$9),N($U103))))</f>
        <v>7</v>
      </c>
      <c r="W103" s="16">
        <f t="shared" si="18"/>
        <v>0.24500000000000002</v>
      </c>
      <c r="X103" s="20"/>
      <c r="Y103" s="4" t="s">
        <v>919</v>
      </c>
      <c r="Z103" s="21" t="s">
        <v>920</v>
      </c>
      <c r="AA103" s="22">
        <f t="shared" si="19"/>
        <v>1</v>
      </c>
      <c r="AB103" s="22">
        <f>IF(OR($M103="Yes",$M103="Owner"),IF(COUNTIFS($H$4:$H103,$H103,$M$4:$M103,"Yes")+COUNTIFS($H$4:$H103,$H103,$M$4:$M103,"Owner")=1,1,0),0)</f>
        <v>1</v>
      </c>
      <c r="AC103" s="21" t="s">
        <v>579</v>
      </c>
      <c r="AD103" s="21" t="str">
        <f>MID($H103,18,FIND("L",$H103,18)-18)</f>
        <v>3K74</v>
      </c>
      <c r="AE103" s="23">
        <f>(SUBSTITUTE(SUBSTITUTE(SUBSTITUTE($AD103,"R","."),"K","."),"M",".")&amp;"0")*IF(ISNUMBER(FIND("K",$AD103)),1000,IF(ISNUMBER(FIND("M",$AD103)),10^6,1))</f>
        <v>3740</v>
      </c>
      <c r="AF103" s="23" cm="1">
        <f t="array" ref="AF103">LEFT($E103,FIND(" ",$E103)-1)*IFERROR(INDEX({1000,1000000,0.000000000001,0.000000001,0.000001},MATCH(MID($E103,FIND(" ",$E103)+1,1),{"k","M","p","n","µ"},0)),1)</f>
        <v>3740</v>
      </c>
      <c r="AG103" s="24" t="str">
        <f>IF(AND(RIGHT($E103,1)="Ω",ABS($AF103-$AE103)&lt;=Checks!$C$6*$AE103),"OK","CHECK")</f>
        <v>OK</v>
      </c>
    </row>
    <row r="104" spans="1:33" ht="27.75" customHeight="1" x14ac:dyDescent="0.2">
      <c r="A104" s="6" t="s">
        <v>795</v>
      </c>
      <c r="B104" s="4" t="s">
        <v>921</v>
      </c>
      <c r="C104" s="8">
        <v>1</v>
      </c>
      <c r="D104" s="4" t="s">
        <v>922</v>
      </c>
      <c r="E104" s="5" t="s">
        <v>244</v>
      </c>
      <c r="F104" s="5" t="s">
        <v>154</v>
      </c>
      <c r="G104" s="5" t="s">
        <v>229</v>
      </c>
      <c r="H104" s="4" t="s">
        <v>245</v>
      </c>
      <c r="I104" s="5" t="s">
        <v>246</v>
      </c>
      <c r="J104" s="4" t="s">
        <v>158</v>
      </c>
      <c r="K104" s="4" t="s">
        <v>175</v>
      </c>
      <c r="L104" s="4" t="s">
        <v>160</v>
      </c>
      <c r="M104" s="10" t="s">
        <v>177</v>
      </c>
      <c r="N104" s="10"/>
      <c r="O104" s="11">
        <v>2</v>
      </c>
      <c r="P104" s="11">
        <v>0</v>
      </c>
      <c r="Q104" s="13">
        <v>3.3E-3</v>
      </c>
      <c r="R104" s="14">
        <f>IF(OR($M104="Yes",$M104="Owner"),$C104*Cost!$B$6,0)</f>
        <v>5</v>
      </c>
      <c r="S104" s="16">
        <f t="shared" si="17"/>
        <v>1.6500000000000001E-2</v>
      </c>
      <c r="T104" s="4" t="s">
        <v>178</v>
      </c>
      <c r="U104" s="19"/>
      <c r="V104" s="14">
        <f>IF($M104="Owner",$R104,IF($M104&lt;&gt;"Yes",0,MAX(IF(LEFT($T104,7)="Passive",$R104+MAX(Cost!$B$8,ROUNDUP(Cost!$B$7*$R104,0)),$R104+Cost!$B$9),N($U104))))</f>
        <v>7</v>
      </c>
      <c r="W104" s="16">
        <f t="shared" si="18"/>
        <v>2.3099999999999999E-2</v>
      </c>
      <c r="X104" s="20" t="s">
        <v>247</v>
      </c>
      <c r="Y104" s="4" t="s">
        <v>538</v>
      </c>
      <c r="Z104" s="21" t="s">
        <v>923</v>
      </c>
      <c r="AA104" s="22">
        <f t="shared" si="19"/>
        <v>1</v>
      </c>
      <c r="AB104" s="22">
        <f>IF(OR($M104="Yes",$M104="Owner"),IF(COUNTIFS($H$4:$H104,$H104,$M$4:$M104,"Yes")+COUNTIFS($H$4:$H104,$H104,$M$4:$M104,"Owner")=1,1,0),0)</f>
        <v>0</v>
      </c>
      <c r="AC104" s="21" t="s">
        <v>234</v>
      </c>
      <c r="AD104" s="21" t="str">
        <f t="shared" ref="AD104:AD116" si="20">MID($H104,18,4)</f>
        <v>1003</v>
      </c>
      <c r="AE104" s="23">
        <f t="shared" ref="AE104:AE116" si="21">LEFT($AD104,3)*IF(ISNUMBER(--RIGHT($AD104,1)),10^RIGHT($AD104,1),10^(0-FIND(RIGHT($AD104,1),"JKLM")))</f>
        <v>100000</v>
      </c>
      <c r="AF104" s="23" cm="1">
        <f t="array" ref="AF104">LEFT($E104,FIND(" ",$E104)-1)*IFERROR(INDEX({1000,1000000,0.000000000001,0.000000001,0.000001},MATCH(MID($E104,FIND(" ",$E104)+1,1),{"k","M","p","n","µ"},0)),1)</f>
        <v>100000</v>
      </c>
      <c r="AG104" s="24" t="str">
        <f>IF(AND(RIGHT($E104,1)="Ω",ABS($AF104-$AE104)&lt;=Checks!$C$6*$AE104),"OK","CHECK")</f>
        <v>OK</v>
      </c>
    </row>
    <row r="105" spans="1:33" ht="27.75" customHeight="1" x14ac:dyDescent="0.2">
      <c r="A105" s="6" t="s">
        <v>795</v>
      </c>
      <c r="B105" s="4" t="s">
        <v>924</v>
      </c>
      <c r="C105" s="8">
        <v>1</v>
      </c>
      <c r="D105" s="4" t="s">
        <v>925</v>
      </c>
      <c r="E105" s="5" t="s">
        <v>244</v>
      </c>
      <c r="F105" s="5" t="s">
        <v>154</v>
      </c>
      <c r="G105" s="5" t="s">
        <v>229</v>
      </c>
      <c r="H105" s="4" t="s">
        <v>245</v>
      </c>
      <c r="I105" s="5" t="s">
        <v>246</v>
      </c>
      <c r="J105" s="4" t="s">
        <v>158</v>
      </c>
      <c r="K105" s="4" t="s">
        <v>175</v>
      </c>
      <c r="L105" s="4" t="s">
        <v>160</v>
      </c>
      <c r="M105" s="10" t="s">
        <v>177</v>
      </c>
      <c r="N105" s="10"/>
      <c r="O105" s="11">
        <v>2</v>
      </c>
      <c r="P105" s="11">
        <v>0</v>
      </c>
      <c r="Q105" s="13">
        <v>3.3E-3</v>
      </c>
      <c r="R105" s="14">
        <f>IF(OR($M105="Yes",$M105="Owner"),$C105*Cost!$B$6,0)</f>
        <v>5</v>
      </c>
      <c r="S105" s="16">
        <f t="shared" si="17"/>
        <v>1.6500000000000001E-2</v>
      </c>
      <c r="T105" s="4" t="s">
        <v>178</v>
      </c>
      <c r="U105" s="19"/>
      <c r="V105" s="14">
        <f>IF($M105="Owner",$R105,IF($M105&lt;&gt;"Yes",0,MAX(IF(LEFT($T105,7)="Passive",$R105+MAX(Cost!$B$8,ROUNDUP(Cost!$B$7*$R105,0)),$R105+Cost!$B$9),N($U105))))</f>
        <v>7</v>
      </c>
      <c r="W105" s="16">
        <f t="shared" si="18"/>
        <v>2.3099999999999999E-2</v>
      </c>
      <c r="X105" s="20" t="s">
        <v>247</v>
      </c>
      <c r="Y105" s="4" t="s">
        <v>538</v>
      </c>
      <c r="Z105" s="21" t="s">
        <v>926</v>
      </c>
      <c r="AA105" s="22">
        <f t="shared" si="19"/>
        <v>1</v>
      </c>
      <c r="AB105" s="22">
        <f>IF(OR($M105="Yes",$M105="Owner"),IF(COUNTIFS($H$4:$H105,$H105,$M$4:$M105,"Yes")+COUNTIFS($H$4:$H105,$H105,$M$4:$M105,"Owner")=1,1,0),0)</f>
        <v>0</v>
      </c>
      <c r="AC105" s="21" t="s">
        <v>234</v>
      </c>
      <c r="AD105" s="21" t="str">
        <f t="shared" si="20"/>
        <v>1003</v>
      </c>
      <c r="AE105" s="23">
        <f t="shared" si="21"/>
        <v>100000</v>
      </c>
      <c r="AF105" s="23" cm="1">
        <f t="array" ref="AF105">LEFT($E105,FIND(" ",$E105)-1)*IFERROR(INDEX({1000,1000000,0.000000000001,0.000000001,0.000001},MATCH(MID($E105,FIND(" ",$E105)+1,1),{"k","M","p","n","µ"},0)),1)</f>
        <v>100000</v>
      </c>
      <c r="AG105" s="24" t="str">
        <f>IF(AND(RIGHT($E105,1)="Ω",ABS($AF105-$AE105)&lt;=Checks!$C$6*$AE105),"OK","CHECK")</f>
        <v>OK</v>
      </c>
    </row>
    <row r="106" spans="1:33" ht="27.75" customHeight="1" x14ac:dyDescent="0.2">
      <c r="A106" s="6" t="s">
        <v>795</v>
      </c>
      <c r="B106" s="4" t="s">
        <v>927</v>
      </c>
      <c r="C106" s="8">
        <v>1</v>
      </c>
      <c r="D106" s="4" t="s">
        <v>928</v>
      </c>
      <c r="E106" s="5" t="s">
        <v>244</v>
      </c>
      <c r="F106" s="5" t="s">
        <v>154</v>
      </c>
      <c r="G106" s="5" t="s">
        <v>229</v>
      </c>
      <c r="H106" s="4" t="s">
        <v>245</v>
      </c>
      <c r="I106" s="5" t="s">
        <v>246</v>
      </c>
      <c r="J106" s="4" t="s">
        <v>158</v>
      </c>
      <c r="K106" s="4" t="s">
        <v>175</v>
      </c>
      <c r="L106" s="4" t="s">
        <v>160</v>
      </c>
      <c r="M106" s="10" t="s">
        <v>177</v>
      </c>
      <c r="N106" s="10"/>
      <c r="O106" s="11">
        <v>2</v>
      </c>
      <c r="P106" s="11">
        <v>0</v>
      </c>
      <c r="Q106" s="13">
        <v>3.3E-3</v>
      </c>
      <c r="R106" s="14">
        <f>IF(OR($M106="Yes",$M106="Owner"),$C106*Cost!$B$6,0)</f>
        <v>5</v>
      </c>
      <c r="S106" s="16">
        <f t="shared" si="17"/>
        <v>1.6500000000000001E-2</v>
      </c>
      <c r="T106" s="4" t="s">
        <v>178</v>
      </c>
      <c r="U106" s="19"/>
      <c r="V106" s="14">
        <f>IF($M106="Owner",$R106,IF($M106&lt;&gt;"Yes",0,MAX(IF(LEFT($T106,7)="Passive",$R106+MAX(Cost!$B$8,ROUNDUP(Cost!$B$7*$R106,0)),$R106+Cost!$B$9),N($U106))))</f>
        <v>7</v>
      </c>
      <c r="W106" s="16">
        <f t="shared" si="18"/>
        <v>2.3099999999999999E-2</v>
      </c>
      <c r="X106" s="20" t="s">
        <v>247</v>
      </c>
      <c r="Y106" s="4" t="s">
        <v>538</v>
      </c>
      <c r="Z106" s="21" t="s">
        <v>929</v>
      </c>
      <c r="AA106" s="22">
        <f t="shared" si="19"/>
        <v>1</v>
      </c>
      <c r="AB106" s="22">
        <f>IF(OR($M106="Yes",$M106="Owner"),IF(COUNTIFS($H$4:$H106,$H106,$M$4:$M106,"Yes")+COUNTIFS($H$4:$H106,$H106,$M$4:$M106,"Owner")=1,1,0),0)</f>
        <v>0</v>
      </c>
      <c r="AC106" s="21" t="s">
        <v>234</v>
      </c>
      <c r="AD106" s="21" t="str">
        <f t="shared" si="20"/>
        <v>1003</v>
      </c>
      <c r="AE106" s="23">
        <f t="shared" si="21"/>
        <v>100000</v>
      </c>
      <c r="AF106" s="23" cm="1">
        <f t="array" ref="AF106">LEFT($E106,FIND(" ",$E106)-1)*IFERROR(INDEX({1000,1000000,0.000000000001,0.000000001,0.000001},MATCH(MID($E106,FIND(" ",$E106)+1,1),{"k","M","p","n","µ"},0)),1)</f>
        <v>100000</v>
      </c>
      <c r="AG106" s="24" t="str">
        <f>IF(AND(RIGHT($E106,1)="Ω",ABS($AF106-$AE106)&lt;=Checks!$C$6*$AE106),"OK","CHECK")</f>
        <v>OK</v>
      </c>
    </row>
    <row r="107" spans="1:33" ht="27.75" customHeight="1" x14ac:dyDescent="0.2">
      <c r="A107" s="6" t="s">
        <v>795</v>
      </c>
      <c r="B107" s="4" t="s">
        <v>930</v>
      </c>
      <c r="C107" s="8">
        <v>1</v>
      </c>
      <c r="D107" s="4" t="s">
        <v>931</v>
      </c>
      <c r="E107" s="5" t="s">
        <v>237</v>
      </c>
      <c r="F107" s="5" t="s">
        <v>154</v>
      </c>
      <c r="G107" s="5" t="s">
        <v>229</v>
      </c>
      <c r="H107" s="4" t="s">
        <v>238</v>
      </c>
      <c r="I107" s="5" t="s">
        <v>239</v>
      </c>
      <c r="J107" s="4" t="s">
        <v>158</v>
      </c>
      <c r="K107" s="4" t="s">
        <v>175</v>
      </c>
      <c r="L107" s="4" t="s">
        <v>160</v>
      </c>
      <c r="M107" s="10" t="s">
        <v>177</v>
      </c>
      <c r="N107" s="10"/>
      <c r="O107" s="11">
        <v>2</v>
      </c>
      <c r="P107" s="11">
        <v>0</v>
      </c>
      <c r="Q107" s="13">
        <v>2E-3</v>
      </c>
      <c r="R107" s="14">
        <f>IF(OR($M107="Yes",$M107="Owner"),$C107*Cost!$B$6,0)</f>
        <v>5</v>
      </c>
      <c r="S107" s="16">
        <f t="shared" si="17"/>
        <v>0.01</v>
      </c>
      <c r="T107" s="4" t="s">
        <v>178</v>
      </c>
      <c r="U107" s="19"/>
      <c r="V107" s="14">
        <f>IF($M107="Owner",$R107,IF($M107&lt;&gt;"Yes",0,MAX(IF(LEFT($T107,7)="Passive",$R107+MAX(Cost!$B$8,ROUNDUP(Cost!$B$7*$R107,0)),$R107+Cost!$B$9),N($U107))))</f>
        <v>7</v>
      </c>
      <c r="W107" s="16">
        <f t="shared" si="18"/>
        <v>1.4E-2</v>
      </c>
      <c r="X107" s="20" t="s">
        <v>240</v>
      </c>
      <c r="Y107" s="4" t="s">
        <v>164</v>
      </c>
      <c r="Z107" s="21" t="s">
        <v>932</v>
      </c>
      <c r="AA107" s="22">
        <f t="shared" si="19"/>
        <v>1</v>
      </c>
      <c r="AB107" s="22">
        <f>IF(OR($M107="Yes",$M107="Owner"),IF(COUNTIFS($H$4:$H107,$H107,$M$4:$M107,"Yes")+COUNTIFS($H$4:$H107,$H107,$M$4:$M107,"Owner")=1,1,0),0)</f>
        <v>0</v>
      </c>
      <c r="AC107" s="21" t="s">
        <v>234</v>
      </c>
      <c r="AD107" s="21" t="str">
        <f t="shared" si="20"/>
        <v>1002</v>
      </c>
      <c r="AE107" s="23">
        <f t="shared" si="21"/>
        <v>10000</v>
      </c>
      <c r="AF107" s="23" cm="1">
        <f t="array" ref="AF107">LEFT($E107,FIND(" ",$E107)-1)*IFERROR(INDEX({1000,1000000,0.000000000001,0.000000001,0.000001},MATCH(MID($E107,FIND(" ",$E107)+1,1),{"k","M","p","n","µ"},0)),1)</f>
        <v>10000</v>
      </c>
      <c r="AG107" s="24" t="str">
        <f>IF(AND(RIGHT($E107,1)="Ω",ABS($AF107-$AE107)&lt;=Checks!$C$6*$AE107),"OK","CHECK")</f>
        <v>OK</v>
      </c>
    </row>
    <row r="108" spans="1:33" ht="27.75" customHeight="1" x14ac:dyDescent="0.2">
      <c r="A108" s="6" t="s">
        <v>795</v>
      </c>
      <c r="B108" s="4" t="s">
        <v>933</v>
      </c>
      <c r="C108" s="8">
        <v>2</v>
      </c>
      <c r="D108" s="4" t="s">
        <v>934</v>
      </c>
      <c r="E108" s="5" t="s">
        <v>935</v>
      </c>
      <c r="F108" s="5" t="s">
        <v>154</v>
      </c>
      <c r="G108" s="5" t="s">
        <v>229</v>
      </c>
      <c r="H108" s="4" t="s">
        <v>936</v>
      </c>
      <c r="I108" s="5" t="s">
        <v>937</v>
      </c>
      <c r="J108" s="4" t="s">
        <v>158</v>
      </c>
      <c r="K108" s="4" t="s">
        <v>175</v>
      </c>
      <c r="L108" s="4" t="s">
        <v>160</v>
      </c>
      <c r="M108" s="10" t="s">
        <v>177</v>
      </c>
      <c r="N108" s="10"/>
      <c r="O108" s="11">
        <v>2</v>
      </c>
      <c r="P108" s="11">
        <v>0</v>
      </c>
      <c r="Q108" s="13">
        <v>2E-3</v>
      </c>
      <c r="R108" s="14">
        <f>IF(OR($M108="Yes",$M108="Owner"),$C108*Cost!$B$6,0)</f>
        <v>10</v>
      </c>
      <c r="S108" s="16">
        <f t="shared" si="17"/>
        <v>0.02</v>
      </c>
      <c r="T108" s="4" t="s">
        <v>178</v>
      </c>
      <c r="U108" s="19"/>
      <c r="V108" s="14">
        <f>IF($M108="Owner",$R108,IF($M108&lt;&gt;"Yes",0,MAX(IF(LEFT($T108,7)="Passive",$R108+MAX(Cost!$B$8,ROUNDUP(Cost!$B$7*$R108,0)),$R108+Cost!$B$9),N($U108))))</f>
        <v>12</v>
      </c>
      <c r="W108" s="16">
        <f t="shared" si="18"/>
        <v>2.4E-2</v>
      </c>
      <c r="X108" s="20" t="s">
        <v>938</v>
      </c>
      <c r="Y108" s="4" t="s">
        <v>577</v>
      </c>
      <c r="Z108" s="21" t="s">
        <v>939</v>
      </c>
      <c r="AA108" s="22">
        <f t="shared" si="19"/>
        <v>2</v>
      </c>
      <c r="AB108" s="22">
        <f>IF(OR($M108="Yes",$M108="Owner"),IF(COUNTIFS($H$4:$H108,$H108,$M$4:$M108,"Yes")+COUNTIFS($H$4:$H108,$H108,$M$4:$M108,"Owner")=1,1,0),0)</f>
        <v>1</v>
      </c>
      <c r="AC108" s="21" t="s">
        <v>234</v>
      </c>
      <c r="AD108" s="21" t="str">
        <f t="shared" si="20"/>
        <v>2202</v>
      </c>
      <c r="AE108" s="23">
        <f t="shared" si="21"/>
        <v>22000</v>
      </c>
      <c r="AF108" s="23" cm="1">
        <f t="array" ref="AF108">LEFT($E108,FIND(" ",$E108)-1)*IFERROR(INDEX({1000,1000000,0.000000000001,0.000000001,0.000001},MATCH(MID($E108,FIND(" ",$E108)+1,1),{"k","M","p","n","µ"},0)),1)</f>
        <v>22000</v>
      </c>
      <c r="AG108" s="24" t="str">
        <f>IF(AND(RIGHT($E108,1)="Ω",ABS($AF108-$AE108)&lt;=Checks!$C$6*$AE108),"OK","CHECK")</f>
        <v>OK</v>
      </c>
    </row>
    <row r="109" spans="1:33" ht="27.75" customHeight="1" x14ac:dyDescent="0.2">
      <c r="A109" s="6" t="s">
        <v>795</v>
      </c>
      <c r="B109" s="4" t="s">
        <v>940</v>
      </c>
      <c r="C109" s="8">
        <v>2</v>
      </c>
      <c r="D109" s="4" t="s">
        <v>941</v>
      </c>
      <c r="E109" s="5" t="s">
        <v>942</v>
      </c>
      <c r="F109" s="5" t="s">
        <v>347</v>
      </c>
      <c r="G109" s="5" t="s">
        <v>943</v>
      </c>
      <c r="H109" s="4" t="s">
        <v>944</v>
      </c>
      <c r="I109" s="5" t="s">
        <v>945</v>
      </c>
      <c r="J109" s="4" t="s">
        <v>158</v>
      </c>
      <c r="K109" s="4" t="s">
        <v>175</v>
      </c>
      <c r="L109" s="4" t="s">
        <v>160</v>
      </c>
      <c r="M109" s="10" t="s">
        <v>177</v>
      </c>
      <c r="N109" s="10"/>
      <c r="O109" s="11">
        <v>2</v>
      </c>
      <c r="P109" s="11">
        <v>0</v>
      </c>
      <c r="Q109" s="13">
        <v>3.0000000000000001E-3</v>
      </c>
      <c r="R109" s="14">
        <f>IF(OR($M109="Yes",$M109="Owner"),$C109*Cost!$B$6,0)</f>
        <v>10</v>
      </c>
      <c r="S109" s="16">
        <f t="shared" si="17"/>
        <v>0.03</v>
      </c>
      <c r="T109" s="4" t="s">
        <v>178</v>
      </c>
      <c r="U109" s="19"/>
      <c r="V109" s="14">
        <f>IF($M109="Owner",$R109,IF($M109&lt;&gt;"Yes",0,MAX(IF(LEFT($T109,7)="Passive",$R109+MAX(Cost!$B$8,ROUNDUP(Cost!$B$7*$R109,0)),$R109+Cost!$B$9),N($U109))))</f>
        <v>12</v>
      </c>
      <c r="W109" s="16">
        <f t="shared" si="18"/>
        <v>3.6000000000000004E-2</v>
      </c>
      <c r="X109" s="20" t="s">
        <v>946</v>
      </c>
      <c r="Y109" s="4" t="s">
        <v>947</v>
      </c>
      <c r="Z109" s="21" t="s">
        <v>948</v>
      </c>
      <c r="AA109" s="22">
        <f t="shared" si="19"/>
        <v>2</v>
      </c>
      <c r="AB109" s="22">
        <f>IF(OR($M109="Yes",$M109="Owner"),IF(COUNTIFS($H$4:$H109,$H109,$M$4:$M109,"Yes")+COUNTIFS($H$4:$H109,$H109,$M$4:$M109,"Owner")=1,1,0),0)</f>
        <v>1</v>
      </c>
      <c r="AC109" s="21" t="s">
        <v>234</v>
      </c>
      <c r="AD109" s="21" t="str">
        <f t="shared" si="20"/>
        <v>100J</v>
      </c>
      <c r="AE109" s="23">
        <f t="shared" si="21"/>
        <v>10</v>
      </c>
      <c r="AF109" s="23" cm="1">
        <f t="array" ref="AF109">LEFT($E109,FIND(" ",$E109)-1)*IFERROR(INDEX({1000,1000000,0.000000000001,0.000000001,0.000001},MATCH(MID($E109,FIND(" ",$E109)+1,1),{"k","M","p","n","µ"},0)),1)</f>
        <v>10</v>
      </c>
      <c r="AG109" s="24" t="str">
        <f>IF(AND(RIGHT($E109,1)="Ω",ABS($AF109-$AE109)&lt;=Checks!$C$6*$AE109),"OK","CHECK")</f>
        <v>OK</v>
      </c>
    </row>
    <row r="110" spans="1:33" ht="40.5" customHeight="1" x14ac:dyDescent="0.2">
      <c r="A110" s="6" t="s">
        <v>795</v>
      </c>
      <c r="B110" s="4" t="s">
        <v>949</v>
      </c>
      <c r="C110" s="8">
        <v>1</v>
      </c>
      <c r="D110" s="4" t="s">
        <v>950</v>
      </c>
      <c r="E110" s="5" t="s">
        <v>951</v>
      </c>
      <c r="F110" s="5" t="s">
        <v>347</v>
      </c>
      <c r="G110" s="5" t="s">
        <v>952</v>
      </c>
      <c r="H110" s="4" t="s">
        <v>953</v>
      </c>
      <c r="I110" s="5" t="s">
        <v>954</v>
      </c>
      <c r="J110" s="4" t="s">
        <v>278</v>
      </c>
      <c r="K110" s="4" t="s">
        <v>175</v>
      </c>
      <c r="L110" s="4" t="s">
        <v>955</v>
      </c>
      <c r="M110" s="10" t="s">
        <v>177</v>
      </c>
      <c r="N110" s="10"/>
      <c r="O110" s="11">
        <v>2</v>
      </c>
      <c r="P110" s="11">
        <v>0</v>
      </c>
      <c r="Q110" s="13">
        <v>2.8999999999999998E-3</v>
      </c>
      <c r="R110" s="14">
        <f>IF(OR($M110="Yes",$M110="Owner"),$C110*Cost!$B$6,0)</f>
        <v>5</v>
      </c>
      <c r="S110" s="16">
        <f t="shared" si="17"/>
        <v>1.4499999999999999E-2</v>
      </c>
      <c r="T110" s="4" t="s">
        <v>178</v>
      </c>
      <c r="U110" s="19"/>
      <c r="V110" s="14">
        <f>IF($M110="Owner",$R110,IF($M110&lt;&gt;"Yes",0,MAX(IF(LEFT($T110,7)="Passive",$R110+MAX(Cost!$B$8,ROUNDUP(Cost!$B$7*$R110,0)),$R110+Cost!$B$9),N($U110))))</f>
        <v>7</v>
      </c>
      <c r="W110" s="16">
        <f t="shared" si="18"/>
        <v>2.0299999999999999E-2</v>
      </c>
      <c r="X110" s="20" t="s">
        <v>956</v>
      </c>
      <c r="Y110" s="4" t="s">
        <v>577</v>
      </c>
      <c r="Z110" s="21" t="s">
        <v>957</v>
      </c>
      <c r="AA110" s="22">
        <f t="shared" si="19"/>
        <v>1</v>
      </c>
      <c r="AB110" s="22">
        <f>IF(OR($M110="Yes",$M110="Owner"),IF(COUNTIFS($H$4:$H110,$H110,$M$4:$M110,"Yes")+COUNTIFS($H$4:$H110,$H110,$M$4:$M110,"Owner")=1,1,0),0)</f>
        <v>1</v>
      </c>
      <c r="AC110" s="21" t="s">
        <v>234</v>
      </c>
      <c r="AD110" s="21" t="str">
        <f t="shared" si="20"/>
        <v>470K</v>
      </c>
      <c r="AE110" s="23">
        <f t="shared" si="21"/>
        <v>4.7</v>
      </c>
      <c r="AF110" s="23" cm="1">
        <f t="array" ref="AF110">LEFT($E110,FIND(" ",$E110)-1)*IFERROR(INDEX({1000,1000000,0.000000000001,0.000000001,0.000001},MATCH(MID($E110,FIND(" ",$E110)+1,1),{"k","M","p","n","µ"},0)),1)</f>
        <v>4.7</v>
      </c>
      <c r="AG110" s="24" t="str">
        <f>IF(AND(RIGHT($E110,1)="Ω",ABS($AF110-$AE110)&lt;=Checks!$C$6*$AE110),"OK","CHECK")</f>
        <v>OK</v>
      </c>
    </row>
    <row r="111" spans="1:33" ht="27.75" customHeight="1" x14ac:dyDescent="0.2">
      <c r="A111" s="6" t="s">
        <v>795</v>
      </c>
      <c r="B111" s="4" t="s">
        <v>958</v>
      </c>
      <c r="C111" s="8">
        <v>1</v>
      </c>
      <c r="D111" s="4" t="s">
        <v>959</v>
      </c>
      <c r="E111" s="5" t="s">
        <v>960</v>
      </c>
      <c r="F111" s="5" t="s">
        <v>347</v>
      </c>
      <c r="G111" s="5" t="s">
        <v>229</v>
      </c>
      <c r="H111" s="4" t="s">
        <v>961</v>
      </c>
      <c r="I111" s="5" t="s">
        <v>962</v>
      </c>
      <c r="J111" s="4" t="s">
        <v>963</v>
      </c>
      <c r="K111" s="4" t="s">
        <v>159</v>
      </c>
      <c r="L111" s="4" t="s">
        <v>964</v>
      </c>
      <c r="M111" s="10" t="s">
        <v>161</v>
      </c>
      <c r="N111" s="10"/>
      <c r="O111" s="11">
        <v>2</v>
      </c>
      <c r="P111" s="11">
        <v>0</v>
      </c>
      <c r="Q111" s="13">
        <v>2E-3</v>
      </c>
      <c r="R111" s="14">
        <f>IF(OR($M111="Yes",$M111="Owner"),$C111*Cost!$B$6,0)</f>
        <v>0</v>
      </c>
      <c r="S111" s="16">
        <f t="shared" si="17"/>
        <v>0</v>
      </c>
      <c r="T111" s="4" t="s">
        <v>162</v>
      </c>
      <c r="U111" s="19"/>
      <c r="V111" s="14">
        <f>IF($M111="Owner",$R111,IF($M111&lt;&gt;"Yes",0,MAX(IF(LEFT($T111,7)="Passive",$R111+MAX(Cost!$B$8,ROUNDUP(Cost!$B$7*$R111,0)),$R111+Cost!$B$9),N($U111))))</f>
        <v>0</v>
      </c>
      <c r="W111" s="16">
        <f t="shared" si="18"/>
        <v>0</v>
      </c>
      <c r="X111" s="20" t="s">
        <v>965</v>
      </c>
      <c r="Y111" s="4" t="s">
        <v>825</v>
      </c>
      <c r="Z111" s="21" t="s">
        <v>966</v>
      </c>
      <c r="AA111" s="22">
        <f t="shared" si="19"/>
        <v>1</v>
      </c>
      <c r="AB111" s="22">
        <f>IF(OR($M111="Yes",$M111="Owner"),IF(COUNTIFS($H$4:$H111,$H111,$M$4:$M111,"Yes")+COUNTIFS($H$4:$H111,$H111,$M$4:$M111,"Owner")=1,1,0),0)</f>
        <v>0</v>
      </c>
      <c r="AC111" s="21" t="s">
        <v>234</v>
      </c>
      <c r="AD111" s="21" t="str">
        <f t="shared" si="20"/>
        <v>100K</v>
      </c>
      <c r="AE111" s="23">
        <f t="shared" si="21"/>
        <v>1</v>
      </c>
      <c r="AF111" s="23" cm="1">
        <f t="array" ref="AF111">LEFT($E111,FIND(" ",$E111)-1)*IFERROR(INDEX({1000,1000000,0.000000000001,0.000000001,0.000001},MATCH(MID($E111,FIND(" ",$E111)+1,1),{"k","M","p","n","µ"},0)),1)</f>
        <v>1</v>
      </c>
      <c r="AG111" s="24" t="str">
        <f>IF(AND(RIGHT($E111,1)="Ω",ABS($AF111-$AE111)&lt;=Checks!$C$6*$AE111),"OK","CHECK")</f>
        <v>OK</v>
      </c>
    </row>
    <row r="112" spans="1:33" ht="27.75" customHeight="1" x14ac:dyDescent="0.2">
      <c r="A112" s="6" t="s">
        <v>795</v>
      </c>
      <c r="B112" s="4" t="s">
        <v>967</v>
      </c>
      <c r="C112" s="8">
        <v>1</v>
      </c>
      <c r="D112" s="4" t="s">
        <v>968</v>
      </c>
      <c r="E112" s="5" t="s">
        <v>275</v>
      </c>
      <c r="F112" s="5" t="s">
        <v>154</v>
      </c>
      <c r="G112" s="5" t="s">
        <v>229</v>
      </c>
      <c r="H112" s="4" t="s">
        <v>276</v>
      </c>
      <c r="I112" s="5" t="s">
        <v>277</v>
      </c>
      <c r="J112" s="4" t="s">
        <v>278</v>
      </c>
      <c r="K112" s="4" t="s">
        <v>175</v>
      </c>
      <c r="L112" s="4" t="s">
        <v>175</v>
      </c>
      <c r="M112" s="10" t="s">
        <v>177</v>
      </c>
      <c r="N112" s="10"/>
      <c r="O112" s="11">
        <v>2</v>
      </c>
      <c r="P112" s="11">
        <v>0</v>
      </c>
      <c r="Q112" s="13">
        <v>2E-3</v>
      </c>
      <c r="R112" s="14">
        <f>IF(OR($M112="Yes",$M112="Owner"),$C112*Cost!$B$6,0)</f>
        <v>5</v>
      </c>
      <c r="S112" s="16">
        <f t="shared" si="17"/>
        <v>0.01</v>
      </c>
      <c r="T112" s="4" t="s">
        <v>178</v>
      </c>
      <c r="U112" s="19"/>
      <c r="V112" s="14">
        <f>IF($M112="Owner",$R112,IF($M112&lt;&gt;"Yes",0,MAX(IF(LEFT($T112,7)="Passive",$R112+MAX(Cost!$B$8,ROUNDUP(Cost!$B$7*$R112,0)),$R112+Cost!$B$9),N($U112))))</f>
        <v>7</v>
      </c>
      <c r="W112" s="16">
        <f t="shared" si="18"/>
        <v>1.4E-2</v>
      </c>
      <c r="X112" s="20" t="s">
        <v>969</v>
      </c>
      <c r="Y112" s="4" t="s">
        <v>970</v>
      </c>
      <c r="Z112" s="21" t="s">
        <v>971</v>
      </c>
      <c r="AA112" s="22">
        <f t="shared" si="19"/>
        <v>1</v>
      </c>
      <c r="AB112" s="22">
        <f>IF(OR($M112="Yes",$M112="Owner"),IF(COUNTIFS($H$4:$H112,$H112,$M$4:$M112,"Yes")+COUNTIFS($H$4:$H112,$H112,$M$4:$M112,"Owner")=1,1,0),0)</f>
        <v>0</v>
      </c>
      <c r="AC112" s="21" t="s">
        <v>234</v>
      </c>
      <c r="AD112" s="21" t="str">
        <f t="shared" si="20"/>
        <v>4703</v>
      </c>
      <c r="AE112" s="23">
        <f t="shared" si="21"/>
        <v>470000</v>
      </c>
      <c r="AF112" s="23" cm="1">
        <f t="array" ref="AF112">LEFT($E112,FIND(" ",$E112)-1)*IFERROR(INDEX({1000,1000000,0.000000000001,0.000000001,0.000001},MATCH(MID($E112,FIND(" ",$E112)+1,1),{"k","M","p","n","µ"},0)),1)</f>
        <v>470000</v>
      </c>
      <c r="AG112" s="24" t="str">
        <f>IF(AND(RIGHT($E112,1)="Ω",ABS($AF112-$AE112)&lt;=Checks!$C$6*$AE112),"OK","CHECK")</f>
        <v>OK</v>
      </c>
    </row>
    <row r="113" spans="1:33" ht="40.5" customHeight="1" x14ac:dyDescent="0.2">
      <c r="A113" s="6" t="s">
        <v>795</v>
      </c>
      <c r="B113" s="4" t="s">
        <v>972</v>
      </c>
      <c r="C113" s="8">
        <v>1</v>
      </c>
      <c r="D113" s="4" t="s">
        <v>973</v>
      </c>
      <c r="E113" s="5" t="s">
        <v>244</v>
      </c>
      <c r="F113" s="5" t="s">
        <v>154</v>
      </c>
      <c r="G113" s="5" t="s">
        <v>229</v>
      </c>
      <c r="H113" s="4" t="s">
        <v>245</v>
      </c>
      <c r="I113" s="5" t="s">
        <v>246</v>
      </c>
      <c r="J113" s="4" t="s">
        <v>158</v>
      </c>
      <c r="K113" s="4" t="s">
        <v>175</v>
      </c>
      <c r="L113" s="4" t="s">
        <v>974</v>
      </c>
      <c r="M113" s="10" t="s">
        <v>177</v>
      </c>
      <c r="N113" s="10"/>
      <c r="O113" s="11">
        <v>2</v>
      </c>
      <c r="P113" s="11">
        <v>0</v>
      </c>
      <c r="Q113" s="13">
        <v>3.3E-3</v>
      </c>
      <c r="R113" s="14">
        <f>IF(OR($M113="Yes",$M113="Owner"),$C113*Cost!$B$6,0)</f>
        <v>5</v>
      </c>
      <c r="S113" s="16">
        <f t="shared" si="17"/>
        <v>1.6500000000000001E-2</v>
      </c>
      <c r="T113" s="4" t="s">
        <v>178</v>
      </c>
      <c r="U113" s="19"/>
      <c r="V113" s="14">
        <f>IF($M113="Owner",$R113,IF($M113&lt;&gt;"Yes",0,MAX(IF(LEFT($T113,7)="Passive",$R113+MAX(Cost!$B$8,ROUNDUP(Cost!$B$7*$R113,0)),$R113+Cost!$B$9),N($U113))))</f>
        <v>7</v>
      </c>
      <c r="W113" s="16">
        <f t="shared" si="18"/>
        <v>2.3099999999999999E-2</v>
      </c>
      <c r="X113" s="20"/>
      <c r="Y113" s="4" t="s">
        <v>975</v>
      </c>
      <c r="Z113" s="21" t="s">
        <v>976</v>
      </c>
      <c r="AA113" s="22">
        <f t="shared" si="19"/>
        <v>1</v>
      </c>
      <c r="AB113" s="22">
        <f>IF(OR($M113="Yes",$M113="Owner"),IF(COUNTIFS($H$4:$H113,$H113,$M$4:$M113,"Yes")+COUNTIFS($H$4:$H113,$H113,$M$4:$M113,"Owner")=1,1,0),0)</f>
        <v>0</v>
      </c>
      <c r="AC113" s="21" t="s">
        <v>234</v>
      </c>
      <c r="AD113" s="21" t="str">
        <f t="shared" si="20"/>
        <v>1003</v>
      </c>
      <c r="AE113" s="23">
        <f t="shared" si="21"/>
        <v>100000</v>
      </c>
      <c r="AF113" s="23" cm="1">
        <f t="array" ref="AF113">LEFT($E113,FIND(" ",$E113)-1)*IFERROR(INDEX({1000,1000000,0.000000000001,0.000000001,0.000001},MATCH(MID($E113,FIND(" ",$E113)+1,1),{"k","M","p","n","µ"},0)),1)</f>
        <v>100000</v>
      </c>
      <c r="AG113" s="24" t="str">
        <f>IF(AND(RIGHT($E113,1)="Ω",ABS($AF113-$AE113)&lt;=Checks!$C$6*$AE113),"OK","CHECK")</f>
        <v>OK</v>
      </c>
    </row>
    <row r="114" spans="1:33" ht="15" customHeight="1" x14ac:dyDescent="0.2">
      <c r="A114" s="6" t="s">
        <v>795</v>
      </c>
      <c r="B114" s="4" t="s">
        <v>977</v>
      </c>
      <c r="C114" s="8">
        <v>1</v>
      </c>
      <c r="D114" s="4" t="s">
        <v>978</v>
      </c>
      <c r="E114" s="5" t="s">
        <v>252</v>
      </c>
      <c r="F114" s="5" t="s">
        <v>154</v>
      </c>
      <c r="G114" s="5" t="s">
        <v>229</v>
      </c>
      <c r="H114" s="4" t="s">
        <v>253</v>
      </c>
      <c r="I114" s="5" t="s">
        <v>254</v>
      </c>
      <c r="J114" s="4" t="s">
        <v>158</v>
      </c>
      <c r="K114" s="4" t="s">
        <v>175</v>
      </c>
      <c r="L114" s="4" t="s">
        <v>979</v>
      </c>
      <c r="M114" s="10" t="s">
        <v>177</v>
      </c>
      <c r="N114" s="10"/>
      <c r="O114" s="11">
        <v>2</v>
      </c>
      <c r="P114" s="11">
        <v>0</v>
      </c>
      <c r="Q114" s="13">
        <v>2E-3</v>
      </c>
      <c r="R114" s="14">
        <f>IF(OR($M114="Yes",$M114="Owner"),$C114*Cost!$B$6,0)</f>
        <v>5</v>
      </c>
      <c r="S114" s="16">
        <f t="shared" si="17"/>
        <v>0.01</v>
      </c>
      <c r="T114" s="4" t="s">
        <v>178</v>
      </c>
      <c r="U114" s="19"/>
      <c r="V114" s="14">
        <f>IF($M114="Owner",$R114,IF($M114&lt;&gt;"Yes",0,MAX(IF(LEFT($T114,7)="Passive",$R114+MAX(Cost!$B$8,ROUNDUP(Cost!$B$7*$R114,0)),$R114+Cost!$B$9),N($U114))))</f>
        <v>7</v>
      </c>
      <c r="W114" s="16">
        <f t="shared" si="18"/>
        <v>1.4E-2</v>
      </c>
      <c r="X114" s="20"/>
      <c r="Y114" s="4" t="s">
        <v>980</v>
      </c>
      <c r="Z114" s="21" t="s">
        <v>981</v>
      </c>
      <c r="AA114" s="22">
        <f t="shared" si="19"/>
        <v>1</v>
      </c>
      <c r="AB114" s="22">
        <f>IF(OR($M114="Yes",$M114="Owner"),IF(COUNTIFS($H$4:$H114,$H114,$M$4:$M114,"Yes")+COUNTIFS($H$4:$H114,$H114,$M$4:$M114,"Owner")=1,1,0),0)</f>
        <v>0</v>
      </c>
      <c r="AC114" s="21" t="s">
        <v>234</v>
      </c>
      <c r="AD114" s="21" t="str">
        <f t="shared" si="20"/>
        <v>4702</v>
      </c>
      <c r="AE114" s="23">
        <f t="shared" si="21"/>
        <v>47000</v>
      </c>
      <c r="AF114" s="23" cm="1">
        <f t="array" ref="AF114">LEFT($E114,FIND(" ",$E114)-1)*IFERROR(INDEX({1000,1000000,0.000000000001,0.000000001,0.000001},MATCH(MID($E114,FIND(" ",$E114)+1,1),{"k","M","p","n","µ"},0)),1)</f>
        <v>47000</v>
      </c>
      <c r="AG114" s="24" t="str">
        <f>IF(AND(RIGHT($E114,1)="Ω",ABS($AF114-$AE114)&lt;=Checks!$C$6*$AE114),"OK","CHECK")</f>
        <v>OK</v>
      </c>
    </row>
    <row r="115" spans="1:33" ht="53.25" customHeight="1" x14ac:dyDescent="0.2">
      <c r="A115" s="6" t="s">
        <v>795</v>
      </c>
      <c r="B115" s="4" t="s">
        <v>982</v>
      </c>
      <c r="C115" s="8">
        <v>1</v>
      </c>
      <c r="D115" s="4" t="s">
        <v>983</v>
      </c>
      <c r="E115" s="5" t="s">
        <v>244</v>
      </c>
      <c r="F115" s="5" t="s">
        <v>154</v>
      </c>
      <c r="G115" s="5" t="s">
        <v>229</v>
      </c>
      <c r="H115" s="4" t="s">
        <v>245</v>
      </c>
      <c r="I115" s="5" t="s">
        <v>246</v>
      </c>
      <c r="J115" s="4" t="s">
        <v>158</v>
      </c>
      <c r="K115" s="4" t="s">
        <v>175</v>
      </c>
      <c r="L115" s="4" t="s">
        <v>188</v>
      </c>
      <c r="M115" s="10" t="s">
        <v>177</v>
      </c>
      <c r="N115" s="10"/>
      <c r="O115" s="11">
        <v>2</v>
      </c>
      <c r="P115" s="11">
        <v>0</v>
      </c>
      <c r="Q115" s="13">
        <v>3.3E-3</v>
      </c>
      <c r="R115" s="14">
        <f>IF(OR($M115="Yes",$M115="Owner"),$C115*Cost!$B$6,0)</f>
        <v>5</v>
      </c>
      <c r="S115" s="16">
        <f t="shared" si="17"/>
        <v>1.6500000000000001E-2</v>
      </c>
      <c r="T115" s="4" t="s">
        <v>178</v>
      </c>
      <c r="U115" s="19"/>
      <c r="V115" s="14">
        <f>IF($M115="Owner",$R115,IF($M115&lt;&gt;"Yes",0,MAX(IF(LEFT($T115,7)="Passive",$R115+MAX(Cost!$B$8,ROUNDUP(Cost!$B$7*$R115,0)),$R115+Cost!$B$9),N($U115))))</f>
        <v>7</v>
      </c>
      <c r="W115" s="16">
        <f t="shared" si="18"/>
        <v>2.3099999999999999E-2</v>
      </c>
      <c r="X115" s="20" t="s">
        <v>247</v>
      </c>
      <c r="Y115" s="4" t="s">
        <v>984</v>
      </c>
      <c r="Z115" s="21" t="s">
        <v>985</v>
      </c>
      <c r="AA115" s="22">
        <f t="shared" si="19"/>
        <v>1</v>
      </c>
      <c r="AB115" s="22">
        <f>IF(OR($M115="Yes",$M115="Owner"),IF(COUNTIFS($H$4:$H115,$H115,$M$4:$M115,"Yes")+COUNTIFS($H$4:$H115,$H115,$M$4:$M115,"Owner")=1,1,0),0)</f>
        <v>0</v>
      </c>
      <c r="AC115" s="21" t="s">
        <v>234</v>
      </c>
      <c r="AD115" s="21" t="str">
        <f t="shared" si="20"/>
        <v>1003</v>
      </c>
      <c r="AE115" s="23">
        <f t="shared" si="21"/>
        <v>100000</v>
      </c>
      <c r="AF115" s="23" cm="1">
        <f t="array" ref="AF115">LEFT($E115,FIND(" ",$E115)-1)*IFERROR(INDEX({1000,1000000,0.000000000001,0.000000001,0.000001},MATCH(MID($E115,FIND(" ",$E115)+1,1),{"k","M","p","n","µ"},0)),1)</f>
        <v>100000</v>
      </c>
      <c r="AG115" s="24" t="str">
        <f>IF(AND(RIGHT($E115,1)="Ω",ABS($AF115-$AE115)&lt;=Checks!$C$6*$AE115),"OK","CHECK")</f>
        <v>OK</v>
      </c>
    </row>
    <row r="116" spans="1:33" ht="40.5" customHeight="1" x14ac:dyDescent="0.2">
      <c r="A116" s="6" t="s">
        <v>795</v>
      </c>
      <c r="B116" s="4" t="s">
        <v>986</v>
      </c>
      <c r="C116" s="8">
        <v>1</v>
      </c>
      <c r="D116" s="4" t="s">
        <v>987</v>
      </c>
      <c r="E116" s="5" t="s">
        <v>244</v>
      </c>
      <c r="F116" s="5" t="s">
        <v>154</v>
      </c>
      <c r="G116" s="5" t="s">
        <v>229</v>
      </c>
      <c r="H116" s="4" t="s">
        <v>245</v>
      </c>
      <c r="I116" s="5" t="s">
        <v>246</v>
      </c>
      <c r="J116" s="4" t="s">
        <v>158</v>
      </c>
      <c r="K116" s="4" t="s">
        <v>175</v>
      </c>
      <c r="L116" s="4" t="s">
        <v>188</v>
      </c>
      <c r="M116" s="10" t="s">
        <v>177</v>
      </c>
      <c r="N116" s="10"/>
      <c r="O116" s="11">
        <v>2</v>
      </c>
      <c r="P116" s="11">
        <v>0</v>
      </c>
      <c r="Q116" s="13">
        <v>3.3E-3</v>
      </c>
      <c r="R116" s="14">
        <f>IF(OR($M116="Yes",$M116="Owner"),$C116*Cost!$B$6,0)</f>
        <v>5</v>
      </c>
      <c r="S116" s="16">
        <f t="shared" si="17"/>
        <v>1.6500000000000001E-2</v>
      </c>
      <c r="T116" s="4" t="s">
        <v>178</v>
      </c>
      <c r="U116" s="19"/>
      <c r="V116" s="14">
        <f>IF($M116="Owner",$R116,IF($M116&lt;&gt;"Yes",0,MAX(IF(LEFT($T116,7)="Passive",$R116+MAX(Cost!$B$8,ROUNDUP(Cost!$B$7*$R116,0)),$R116+Cost!$B$9),N($U116))))</f>
        <v>7</v>
      </c>
      <c r="W116" s="16">
        <f t="shared" si="18"/>
        <v>2.3099999999999999E-2</v>
      </c>
      <c r="X116" s="20" t="s">
        <v>247</v>
      </c>
      <c r="Y116" s="4" t="s">
        <v>984</v>
      </c>
      <c r="Z116" s="21" t="s">
        <v>988</v>
      </c>
      <c r="AA116" s="22">
        <f t="shared" si="19"/>
        <v>1</v>
      </c>
      <c r="AB116" s="22">
        <f>IF(OR($M116="Yes",$M116="Owner"),IF(COUNTIFS($H$4:$H116,$H116,$M$4:$M116,"Yes")+COUNTIFS($H$4:$H116,$H116,$M$4:$M116,"Owner")=1,1,0),0)</f>
        <v>0</v>
      </c>
      <c r="AC116" s="21" t="s">
        <v>234</v>
      </c>
      <c r="AD116" s="21" t="str">
        <f t="shared" si="20"/>
        <v>1003</v>
      </c>
      <c r="AE116" s="23">
        <f t="shared" si="21"/>
        <v>100000</v>
      </c>
      <c r="AF116" s="23" cm="1">
        <f t="array" ref="AF116">LEFT($E116,FIND(" ",$E116)-1)*IFERROR(INDEX({1000,1000000,0.000000000001,0.000000001,0.000001},MATCH(MID($E116,FIND(" ",$E116)+1,1),{"k","M","p","n","µ"},0)),1)</f>
        <v>100000</v>
      </c>
      <c r="AG116" s="24" t="str">
        <f>IF(AND(RIGHT($E116,1)="Ω",ABS($AF116-$AE116)&lt;=Checks!$C$6*$AE116),"OK","CHECK")</f>
        <v>OK</v>
      </c>
    </row>
    <row r="117" spans="1:33" ht="27.75" customHeight="1" x14ac:dyDescent="0.2">
      <c r="A117" s="6" t="s">
        <v>795</v>
      </c>
      <c r="B117" s="4" t="s">
        <v>989</v>
      </c>
      <c r="C117" s="8">
        <v>1</v>
      </c>
      <c r="D117" s="4" t="s">
        <v>990</v>
      </c>
      <c r="E117" s="5" t="s">
        <v>991</v>
      </c>
      <c r="F117" s="5" t="s">
        <v>992</v>
      </c>
      <c r="G117" s="5" t="s">
        <v>993</v>
      </c>
      <c r="H117" s="4" t="s">
        <v>994</v>
      </c>
      <c r="I117" s="5" t="s">
        <v>995</v>
      </c>
      <c r="J117" s="4" t="s">
        <v>174</v>
      </c>
      <c r="K117" s="4" t="s">
        <v>175</v>
      </c>
      <c r="L117" s="4" t="s">
        <v>160</v>
      </c>
      <c r="M117" s="10" t="s">
        <v>177</v>
      </c>
      <c r="N117" s="10" t="s">
        <v>177</v>
      </c>
      <c r="O117" s="11">
        <v>13</v>
      </c>
      <c r="P117" s="11">
        <v>0</v>
      </c>
      <c r="Q117" s="13">
        <v>1.0174000000000001</v>
      </c>
      <c r="R117" s="14">
        <f>IF(OR($M117="Yes",$M117="Owner"),$C117*Cost!$B$6,0)</f>
        <v>5</v>
      </c>
      <c r="S117" s="16">
        <f t="shared" si="17"/>
        <v>5.0870000000000006</v>
      </c>
      <c r="T117" s="4" t="s">
        <v>222</v>
      </c>
      <c r="U117" s="19"/>
      <c r="V117" s="14">
        <f>IF($M117="Owner",$R117,IF($M117&lt;&gt;"Yes",0,MAX(IF(LEFT($T117,7)="Passive",$R117+MAX(Cost!$B$8,ROUNDUP(Cost!$B$7*$R117,0)),$R117+Cost!$B$9),N($U117))))</f>
        <v>6</v>
      </c>
      <c r="W117" s="16">
        <f t="shared" si="18"/>
        <v>6.1044</v>
      </c>
      <c r="X117" s="20" t="s">
        <v>996</v>
      </c>
      <c r="Y117" s="4" t="s">
        <v>997</v>
      </c>
      <c r="Z117" s="21" t="s">
        <v>998</v>
      </c>
      <c r="AA117" s="22">
        <f t="shared" si="19"/>
        <v>1</v>
      </c>
      <c r="AB117" s="22">
        <f>IF(OR($M117="Yes",$M117="Owner"),IF(COUNTIFS($H$4:$H117,$H117,$M$4:$M117,"Yes")+COUNTIFS($H$4:$H117,$H117,$M$4:$M117,"Owner")=1,1,0),0)</f>
        <v>1</v>
      </c>
      <c r="AC117" s="21"/>
      <c r="AD117" s="21"/>
      <c r="AE117" s="23"/>
      <c r="AF117" s="23"/>
      <c r="AG117" s="24"/>
    </row>
    <row r="118" spans="1:33" ht="91.5" customHeight="1" x14ac:dyDescent="0.2">
      <c r="A118" s="6" t="s">
        <v>795</v>
      </c>
      <c r="B118" s="4" t="s">
        <v>999</v>
      </c>
      <c r="C118" s="8">
        <v>1</v>
      </c>
      <c r="D118" s="4" t="s">
        <v>1000</v>
      </c>
      <c r="E118" s="5" t="s">
        <v>1001</v>
      </c>
      <c r="F118" s="5" t="s">
        <v>602</v>
      </c>
      <c r="G118" s="5" t="s">
        <v>1002</v>
      </c>
      <c r="H118" s="4" t="s">
        <v>1003</v>
      </c>
      <c r="I118" s="5" t="s">
        <v>1004</v>
      </c>
      <c r="J118" s="4" t="s">
        <v>174</v>
      </c>
      <c r="K118" s="4" t="s">
        <v>175</v>
      </c>
      <c r="L118" s="4" t="s">
        <v>1005</v>
      </c>
      <c r="M118" s="10" t="s">
        <v>177</v>
      </c>
      <c r="N118" s="10"/>
      <c r="O118" s="11">
        <v>5</v>
      </c>
      <c r="P118" s="11">
        <v>0</v>
      </c>
      <c r="Q118" s="13">
        <v>0.26</v>
      </c>
      <c r="R118" s="14">
        <f>IF(OR($M118="Yes",$M118="Owner"),$C118*Cost!$B$6,0)</f>
        <v>5</v>
      </c>
      <c r="S118" s="16">
        <f t="shared" si="17"/>
        <v>1.3</v>
      </c>
      <c r="T118" s="4" t="s">
        <v>222</v>
      </c>
      <c r="U118" s="19"/>
      <c r="V118" s="14">
        <f>IF($M118="Owner",$R118,IF($M118&lt;&gt;"Yes",0,MAX(IF(LEFT($T118,7)="Passive",$R118+MAX(Cost!$B$8,ROUNDUP(Cost!$B$7*$R118,0)),$R118+Cost!$B$9),N($U118))))</f>
        <v>6</v>
      </c>
      <c r="W118" s="16">
        <f t="shared" si="18"/>
        <v>1.56</v>
      </c>
      <c r="X118" s="20" t="s">
        <v>1006</v>
      </c>
      <c r="Y118" s="4" t="s">
        <v>1007</v>
      </c>
      <c r="Z118" s="21" t="s">
        <v>1008</v>
      </c>
      <c r="AA118" s="22">
        <f t="shared" si="19"/>
        <v>1</v>
      </c>
      <c r="AB118" s="22">
        <f>IF(OR($M118="Yes",$M118="Owner"),IF(COUNTIFS($H$4:$H118,$H118,$M$4:$M118,"Yes")+COUNTIFS($H$4:$H118,$H118,$M$4:$M118,"Owner")=1,1,0),0)</f>
        <v>1</v>
      </c>
      <c r="AC118" s="21"/>
      <c r="AD118" s="21"/>
      <c r="AE118" s="23"/>
      <c r="AF118" s="23"/>
      <c r="AG118" s="24"/>
    </row>
    <row r="119" spans="1:33" ht="40.5" customHeight="1" x14ac:dyDescent="0.2">
      <c r="A119" s="6" t="s">
        <v>795</v>
      </c>
      <c r="B119" s="4" t="s">
        <v>1009</v>
      </c>
      <c r="C119" s="8">
        <v>1</v>
      </c>
      <c r="D119" s="4" t="s">
        <v>1010</v>
      </c>
      <c r="E119" s="5" t="s">
        <v>162</v>
      </c>
      <c r="F119" s="5" t="s">
        <v>1011</v>
      </c>
      <c r="G119" s="5" t="s">
        <v>1012</v>
      </c>
      <c r="H119" s="4" t="s">
        <v>1013</v>
      </c>
      <c r="I119" s="5" t="s">
        <v>1014</v>
      </c>
      <c r="J119" s="4" t="s">
        <v>174</v>
      </c>
      <c r="K119" s="4" t="s">
        <v>175</v>
      </c>
      <c r="L119" s="4" t="s">
        <v>1015</v>
      </c>
      <c r="M119" s="10" t="s">
        <v>177</v>
      </c>
      <c r="N119" s="10"/>
      <c r="O119" s="11">
        <v>9</v>
      </c>
      <c r="P119" s="11">
        <v>0</v>
      </c>
      <c r="Q119" s="13">
        <v>1.3</v>
      </c>
      <c r="R119" s="14">
        <f>IF(OR($M119="Yes",$M119="Owner"),$C119*Cost!$B$6,0)</f>
        <v>5</v>
      </c>
      <c r="S119" s="16">
        <f t="shared" si="17"/>
        <v>6.5</v>
      </c>
      <c r="T119" s="4" t="s">
        <v>222</v>
      </c>
      <c r="U119" s="19"/>
      <c r="V119" s="14">
        <f>IF($M119="Owner",$R119,IF($M119&lt;&gt;"Yes",0,MAX(IF(LEFT($T119,7)="Passive",$R119+MAX(Cost!$B$8,ROUNDUP(Cost!$B$7*$R119,0)),$R119+Cost!$B$9),N($U119))))</f>
        <v>6</v>
      </c>
      <c r="W119" s="16">
        <f t="shared" si="18"/>
        <v>7.8000000000000007</v>
      </c>
      <c r="X119" s="20" t="s">
        <v>1016</v>
      </c>
      <c r="Y119" s="4" t="s">
        <v>1017</v>
      </c>
      <c r="Z119" s="21" t="s">
        <v>1018</v>
      </c>
      <c r="AA119" s="22">
        <f t="shared" si="19"/>
        <v>1</v>
      </c>
      <c r="AB119" s="22">
        <f>IF(OR($M119="Yes",$M119="Owner"),IF(COUNTIFS($H$4:$H119,$H119,$M$4:$M119,"Yes")+COUNTIFS($H$4:$H119,$H119,$M$4:$M119,"Owner")=1,1,0),0)</f>
        <v>1</v>
      </c>
      <c r="AC119" s="21"/>
      <c r="AD119" s="21"/>
      <c r="AE119" s="23"/>
      <c r="AF119" s="23"/>
      <c r="AG119" s="24"/>
    </row>
    <row r="120" spans="1:33" ht="27.75" customHeight="1" x14ac:dyDescent="0.2">
      <c r="A120" s="6" t="s">
        <v>795</v>
      </c>
      <c r="B120" s="4" t="s">
        <v>1019</v>
      </c>
      <c r="C120" s="8">
        <v>1</v>
      </c>
      <c r="D120" s="4" t="s">
        <v>1020</v>
      </c>
      <c r="E120" s="5" t="s">
        <v>1021</v>
      </c>
      <c r="F120" s="5" t="s">
        <v>294</v>
      </c>
      <c r="G120" s="5" t="s">
        <v>1022</v>
      </c>
      <c r="H120" s="4" t="s">
        <v>1023</v>
      </c>
      <c r="I120" s="5" t="s">
        <v>1024</v>
      </c>
      <c r="J120" s="4" t="s">
        <v>174</v>
      </c>
      <c r="K120" s="4" t="s">
        <v>175</v>
      </c>
      <c r="L120" s="4" t="s">
        <v>1025</v>
      </c>
      <c r="M120" s="10" t="s">
        <v>177</v>
      </c>
      <c r="N120" s="10" t="s">
        <v>177</v>
      </c>
      <c r="O120" s="11">
        <v>7</v>
      </c>
      <c r="P120" s="11">
        <v>0</v>
      </c>
      <c r="Q120" s="13">
        <v>0.27</v>
      </c>
      <c r="R120" s="14">
        <f>IF(OR($M120="Yes",$M120="Owner"),$C120*Cost!$B$6,0)</f>
        <v>5</v>
      </c>
      <c r="S120" s="16">
        <f t="shared" si="17"/>
        <v>1.35</v>
      </c>
      <c r="T120" s="4" t="s">
        <v>222</v>
      </c>
      <c r="U120" s="19"/>
      <c r="V120" s="14">
        <f>IF($M120="Owner",$R120,IF($M120&lt;&gt;"Yes",0,MAX(IF(LEFT($T120,7)="Passive",$R120+MAX(Cost!$B$8,ROUNDUP(Cost!$B$7*$R120,0)),$R120+Cost!$B$9),N($U120))))</f>
        <v>6</v>
      </c>
      <c r="W120" s="16">
        <f t="shared" si="18"/>
        <v>1.62</v>
      </c>
      <c r="X120" s="20" t="s">
        <v>1026</v>
      </c>
      <c r="Y120" s="4" t="s">
        <v>1027</v>
      </c>
      <c r="Z120" s="21" t="s">
        <v>1028</v>
      </c>
      <c r="AA120" s="22">
        <f t="shared" si="19"/>
        <v>1</v>
      </c>
      <c r="AB120" s="22">
        <f>IF(OR($M120="Yes",$M120="Owner"),IF(COUNTIFS($H$4:$H120,$H120,$M$4:$M120,"Yes")+COUNTIFS($H$4:$H120,$H120,$M$4:$M120,"Owner")=1,1,0),0)</f>
        <v>1</v>
      </c>
      <c r="AC120" s="21"/>
      <c r="AD120" s="21"/>
      <c r="AE120" s="23"/>
      <c r="AF120" s="23"/>
      <c r="AG120" s="24"/>
    </row>
    <row r="121" spans="1:33" ht="27.75" customHeight="1" x14ac:dyDescent="0.2">
      <c r="A121" s="6" t="s">
        <v>795</v>
      </c>
      <c r="B121" s="4" t="s">
        <v>1029</v>
      </c>
      <c r="C121" s="8">
        <v>1</v>
      </c>
      <c r="D121" s="4" t="s">
        <v>1030</v>
      </c>
      <c r="E121" s="5" t="s">
        <v>162</v>
      </c>
      <c r="F121" s="5" t="s">
        <v>612</v>
      </c>
      <c r="G121" s="5" t="s">
        <v>1031</v>
      </c>
      <c r="H121" s="4" t="s">
        <v>1032</v>
      </c>
      <c r="I121" s="5" t="s">
        <v>1033</v>
      </c>
      <c r="J121" s="4" t="s">
        <v>174</v>
      </c>
      <c r="K121" s="4" t="s">
        <v>175</v>
      </c>
      <c r="L121" s="4" t="s">
        <v>1034</v>
      </c>
      <c r="M121" s="10" t="s">
        <v>177</v>
      </c>
      <c r="N121" s="10"/>
      <c r="O121" s="11">
        <v>5</v>
      </c>
      <c r="P121" s="11">
        <v>0</v>
      </c>
      <c r="Q121" s="13">
        <v>0.45</v>
      </c>
      <c r="R121" s="14">
        <f>IF(OR($M121="Yes",$M121="Owner"),$C121*Cost!$B$6,0)</f>
        <v>5</v>
      </c>
      <c r="S121" s="16">
        <f t="shared" si="17"/>
        <v>2.25</v>
      </c>
      <c r="T121" s="4" t="s">
        <v>222</v>
      </c>
      <c r="U121" s="19"/>
      <c r="V121" s="14">
        <f>IF($M121="Owner",$R121,IF($M121&lt;&gt;"Yes",0,MAX(IF(LEFT($T121,7)="Passive",$R121+MAX(Cost!$B$8,ROUNDUP(Cost!$B$7*$R121,0)),$R121+Cost!$B$9),N($U121))))</f>
        <v>6</v>
      </c>
      <c r="W121" s="16">
        <f t="shared" si="18"/>
        <v>2.7</v>
      </c>
      <c r="X121" s="20" t="s">
        <v>1035</v>
      </c>
      <c r="Y121" s="4" t="s">
        <v>1036</v>
      </c>
      <c r="Z121" s="21" t="s">
        <v>1037</v>
      </c>
      <c r="AA121" s="22">
        <f t="shared" si="19"/>
        <v>1</v>
      </c>
      <c r="AB121" s="22">
        <f>IF(OR($M121="Yes",$M121="Owner"),IF(COUNTIFS($H$4:$H121,$H121,$M$4:$M121,"Yes")+COUNTIFS($H$4:$H121,$H121,$M$4:$M121,"Owner")=1,1,0),0)</f>
        <v>1</v>
      </c>
      <c r="AC121" s="21"/>
      <c r="AD121" s="21"/>
      <c r="AE121" s="23"/>
      <c r="AF121" s="23"/>
      <c r="AG121" s="24"/>
    </row>
    <row r="122" spans="1:33" ht="40.5" customHeight="1" x14ac:dyDescent="0.2">
      <c r="A122" s="7" t="s">
        <v>1038</v>
      </c>
      <c r="B122" s="4" t="s">
        <v>1039</v>
      </c>
      <c r="C122" s="8">
        <v>5</v>
      </c>
      <c r="D122" s="4" t="s">
        <v>1040</v>
      </c>
      <c r="E122" s="5" t="s">
        <v>1041</v>
      </c>
      <c r="F122" s="5" t="s">
        <v>170</v>
      </c>
      <c r="G122" s="5" t="s">
        <v>1042</v>
      </c>
      <c r="H122" s="4" t="s">
        <v>1043</v>
      </c>
      <c r="I122" s="5" t="s">
        <v>1044</v>
      </c>
      <c r="J122" s="4" t="s">
        <v>158</v>
      </c>
      <c r="K122" s="4" t="s">
        <v>175</v>
      </c>
      <c r="L122" s="4" t="s">
        <v>1045</v>
      </c>
      <c r="M122" s="10" t="s">
        <v>177</v>
      </c>
      <c r="N122" s="10"/>
      <c r="O122" s="11">
        <v>2</v>
      </c>
      <c r="P122" s="11">
        <v>0</v>
      </c>
      <c r="Q122" s="13">
        <v>1.52E-2</v>
      </c>
      <c r="R122" s="14">
        <f>IF(OR($M122="Yes",$M122="Owner"),$C122*Cost!$B$6,0)</f>
        <v>25</v>
      </c>
      <c r="S122" s="16">
        <f t="shared" si="17"/>
        <v>0.38</v>
      </c>
      <c r="T122" s="4" t="s">
        <v>178</v>
      </c>
      <c r="U122" s="19"/>
      <c r="V122" s="14">
        <f>IF($M122="Owner",$R122,IF($M122&lt;&gt;"Yes",0,MAX(IF(LEFT($T122,7)="Passive",$R122+MAX(Cost!$B$8,ROUNDUP(Cost!$B$7*$R122,0)),$R122+Cost!$B$9),N($U122))))</f>
        <v>27</v>
      </c>
      <c r="W122" s="16">
        <f t="shared" si="18"/>
        <v>0.41039999999999999</v>
      </c>
      <c r="X122" s="20" t="s">
        <v>1046</v>
      </c>
      <c r="Y122" s="4"/>
      <c r="Z122" s="21" t="s">
        <v>1047</v>
      </c>
      <c r="AA122" s="22">
        <f t="shared" si="19"/>
        <v>5</v>
      </c>
      <c r="AB122" s="22">
        <f>IF(OR($M122="Yes",$M122="Owner"),IF(COUNTIFS($H$4:$H122,$H122,$M$4:$M122,"Yes")+COUNTIFS($H$4:$H122,$H122,$M$4:$M122,"Owner")=1,1,0),0)</f>
        <v>1</v>
      </c>
      <c r="AC122" s="21" t="s">
        <v>181</v>
      </c>
      <c r="AD122" s="21" t="str">
        <f>MID($H122,FIND("CL",$H122)+5,3)</f>
        <v>475</v>
      </c>
      <c r="AE122" s="23">
        <f t="shared" ref="AE122:AE128" si="22">IF(ISNUMBER(FIND("R",$AD122)),SUBSTITUTE($AD122,"R",".")*1,LEFT($AD122,2)*10^RIGHT($AD122,1))*10^-12</f>
        <v>4.6999999999999999E-6</v>
      </c>
      <c r="AF122" s="23" cm="1">
        <f t="array" ref="AF122">LEFT($E122,FIND(" ",$E122)-1)*IFERROR(INDEX({1000,1000000,0.000000000001,0.000000001,0.000001},MATCH(MID($E122,FIND(" ",$E122)+1,1),{"k","M","p","n","µ"},0)),1)</f>
        <v>4.6999999999999999E-6</v>
      </c>
      <c r="AG122" s="24" t="str">
        <f>IF(AND(RIGHT($E122,1)="F",ABS($AF122-$AE122)&lt;=Checks!$C$6*$AE122),"OK","CHECK")</f>
        <v>OK</v>
      </c>
    </row>
    <row r="123" spans="1:33" ht="27.75" customHeight="1" x14ac:dyDescent="0.2">
      <c r="A123" s="6" t="s">
        <v>1038</v>
      </c>
      <c r="B123" s="4" t="s">
        <v>1048</v>
      </c>
      <c r="C123" s="8">
        <v>1</v>
      </c>
      <c r="D123" s="4" t="s">
        <v>1049</v>
      </c>
      <c r="E123" s="5" t="s">
        <v>346</v>
      </c>
      <c r="F123" s="5" t="s">
        <v>347</v>
      </c>
      <c r="G123" s="5" t="s">
        <v>1050</v>
      </c>
      <c r="H123" s="4" t="s">
        <v>349</v>
      </c>
      <c r="I123" s="5" t="s">
        <v>350</v>
      </c>
      <c r="J123" s="4" t="s">
        <v>1051</v>
      </c>
      <c r="K123" s="4" t="s">
        <v>175</v>
      </c>
      <c r="L123" s="4" t="s">
        <v>1052</v>
      </c>
      <c r="M123" s="10" t="s">
        <v>177</v>
      </c>
      <c r="N123" s="10"/>
      <c r="O123" s="11">
        <v>2</v>
      </c>
      <c r="P123" s="11">
        <v>0</v>
      </c>
      <c r="Q123" s="13">
        <v>6.0000000000000001E-3</v>
      </c>
      <c r="R123" s="14">
        <f>IF(OR($M123="Yes",$M123="Owner"),$C123*Cost!$B$6,0)</f>
        <v>5</v>
      </c>
      <c r="S123" s="16">
        <f t="shared" si="17"/>
        <v>0.03</v>
      </c>
      <c r="T123" s="4" t="s">
        <v>178</v>
      </c>
      <c r="U123" s="19"/>
      <c r="V123" s="14">
        <f>IF($M123="Owner",$R123,IF($M123&lt;&gt;"Yes",0,MAX(IF(LEFT($T123,7)="Passive",$R123+MAX(Cost!$B$8,ROUNDUP(Cost!$B$7*$R123,0)),$R123+Cost!$B$9),N($U123))))</f>
        <v>7</v>
      </c>
      <c r="W123" s="16">
        <f t="shared" si="18"/>
        <v>4.2000000000000003E-2</v>
      </c>
      <c r="X123" s="20" t="s">
        <v>351</v>
      </c>
      <c r="Y123" s="4" t="s">
        <v>1053</v>
      </c>
      <c r="Z123" s="21" t="s">
        <v>1054</v>
      </c>
      <c r="AA123" s="22">
        <f t="shared" si="19"/>
        <v>1</v>
      </c>
      <c r="AB123" s="22">
        <f>IF(OR($M123="Yes",$M123="Owner"),IF(COUNTIFS($H$4:$H123,$H123,$M$4:$M123,"Yes")+COUNTIFS($H$4:$H123,$H123,$M$4:$M123,"Owner")=1,1,0),0)</f>
        <v>0</v>
      </c>
      <c r="AC123" s="21" t="s">
        <v>181</v>
      </c>
      <c r="AD123" s="21" t="str">
        <f>MID($H123,FIND("CL",$H123)+5,3)</f>
        <v>105</v>
      </c>
      <c r="AE123" s="23">
        <f t="shared" si="22"/>
        <v>9.9999999999999995E-7</v>
      </c>
      <c r="AF123" s="23" cm="1">
        <f t="array" ref="AF123">LEFT($E123,FIND(" ",$E123)-1)*IFERROR(INDEX({1000,1000000,0.000000000001,0.000000001,0.000001},MATCH(MID($E123,FIND(" ",$E123)+1,1),{"k","M","p","n","µ"},0)),1)</f>
        <v>9.9999999999999995E-7</v>
      </c>
      <c r="AG123" s="24" t="str">
        <f>IF(AND(RIGHT($E123,1)="F",ABS($AF123-$AE123)&lt;=Checks!$C$6*$AE123),"OK","CHECK")</f>
        <v>OK</v>
      </c>
    </row>
    <row r="124" spans="1:33" ht="78.75" customHeight="1" x14ac:dyDescent="0.2">
      <c r="A124" s="6" t="s">
        <v>1038</v>
      </c>
      <c r="B124" s="4" t="s">
        <v>1055</v>
      </c>
      <c r="C124" s="8">
        <v>24</v>
      </c>
      <c r="D124" s="4" t="s">
        <v>1056</v>
      </c>
      <c r="E124" s="5" t="s">
        <v>194</v>
      </c>
      <c r="F124" s="5" t="s">
        <v>154</v>
      </c>
      <c r="G124" s="5" t="s">
        <v>325</v>
      </c>
      <c r="H124" s="4" t="s">
        <v>196</v>
      </c>
      <c r="I124" s="5" t="s">
        <v>197</v>
      </c>
      <c r="J124" s="4" t="s">
        <v>158</v>
      </c>
      <c r="K124" s="4" t="s">
        <v>175</v>
      </c>
      <c r="L124" s="4" t="s">
        <v>1057</v>
      </c>
      <c r="M124" s="10" t="s">
        <v>177</v>
      </c>
      <c r="N124" s="10"/>
      <c r="O124" s="11">
        <v>2</v>
      </c>
      <c r="P124" s="11">
        <v>0</v>
      </c>
      <c r="Q124" s="13">
        <v>1.1000000000000001E-3</v>
      </c>
      <c r="R124" s="14">
        <f>IF(OR($M124="Yes",$M124="Owner"),$C124*Cost!$B$6,0)</f>
        <v>120</v>
      </c>
      <c r="S124" s="16">
        <f t="shared" si="17"/>
        <v>0.13200000000000001</v>
      </c>
      <c r="T124" s="4" t="s">
        <v>178</v>
      </c>
      <c r="U124" s="19"/>
      <c r="V124" s="14">
        <f>IF($M124="Owner",$R124,IF($M124&lt;&gt;"Yes",0,MAX(IF(LEFT($T124,7)="Passive",$R124+MAX(Cost!$B$8,ROUNDUP(Cost!$B$7*$R124,0)),$R124+Cost!$B$9),N($U124))))</f>
        <v>126</v>
      </c>
      <c r="W124" s="16">
        <f t="shared" si="18"/>
        <v>0.1386</v>
      </c>
      <c r="X124" s="20" t="s">
        <v>198</v>
      </c>
      <c r="Y124" s="4" t="s">
        <v>1058</v>
      </c>
      <c r="Z124" s="21" t="s">
        <v>1059</v>
      </c>
      <c r="AA124" s="22">
        <f t="shared" si="19"/>
        <v>24</v>
      </c>
      <c r="AB124" s="22">
        <f>IF(OR($M124="Yes",$M124="Owner"),IF(COUNTIFS($H$4:$H124,$H124,$M$4:$M124,"Yes")+COUNTIFS($H$4:$H124,$H124,$M$4:$M124,"Owner")=1,1,0),0)</f>
        <v>0</v>
      </c>
      <c r="AC124" s="21" t="s">
        <v>181</v>
      </c>
      <c r="AD124" s="21" t="str">
        <f>MID($H124,FIND("CL",$H124)+5,3)</f>
        <v>104</v>
      </c>
      <c r="AE124" s="23">
        <f t="shared" si="22"/>
        <v>9.9999999999999995E-8</v>
      </c>
      <c r="AF124" s="23" cm="1">
        <f t="array" ref="AF124">LEFT($E124,FIND(" ",$E124)-1)*IFERROR(INDEX({1000,1000000,0.000000000001,0.000000001,0.000001},MATCH(MID($E124,FIND(" ",$E124)+1,1),{"k","M","p","n","µ"},0)),1)</f>
        <v>1.0000000000000001E-7</v>
      </c>
      <c r="AG124" s="24" t="str">
        <f>IF(AND(RIGHT($E124,1)="F",ABS($AF124-$AE124)&lt;=Checks!$C$6*$AE124),"OK","CHECK")</f>
        <v>OK</v>
      </c>
    </row>
    <row r="125" spans="1:33" ht="27.75" customHeight="1" x14ac:dyDescent="0.2">
      <c r="A125" s="6" t="s">
        <v>1038</v>
      </c>
      <c r="B125" s="4" t="s">
        <v>1060</v>
      </c>
      <c r="C125" s="8">
        <v>2</v>
      </c>
      <c r="D125" s="4" t="s">
        <v>1061</v>
      </c>
      <c r="E125" s="5" t="s">
        <v>338</v>
      </c>
      <c r="F125" s="5" t="s">
        <v>154</v>
      </c>
      <c r="G125" s="5" t="s">
        <v>155</v>
      </c>
      <c r="H125" s="4" t="s">
        <v>339</v>
      </c>
      <c r="I125" s="5" t="s">
        <v>340</v>
      </c>
      <c r="J125" s="4" t="s">
        <v>158</v>
      </c>
      <c r="K125" s="4" t="s">
        <v>175</v>
      </c>
      <c r="L125" s="4" t="s">
        <v>1057</v>
      </c>
      <c r="M125" s="10" t="s">
        <v>177</v>
      </c>
      <c r="N125" s="10"/>
      <c r="O125" s="11">
        <v>2</v>
      </c>
      <c r="P125" s="11">
        <v>0</v>
      </c>
      <c r="Q125" s="13">
        <v>1.1000000000000001E-3</v>
      </c>
      <c r="R125" s="14">
        <f>IF(OR($M125="Yes",$M125="Owner"),$C125*Cost!$B$6,0)</f>
        <v>10</v>
      </c>
      <c r="S125" s="16">
        <f t="shared" si="17"/>
        <v>1.1000000000000001E-2</v>
      </c>
      <c r="T125" s="4" t="s">
        <v>178</v>
      </c>
      <c r="U125" s="19"/>
      <c r="V125" s="14">
        <f>IF($M125="Owner",$R125,IF($M125&lt;&gt;"Yes",0,MAX(IF(LEFT($T125,7)="Passive",$R125+MAX(Cost!$B$8,ROUNDUP(Cost!$B$7*$R125,0)),$R125+Cost!$B$9),N($U125))))</f>
        <v>12</v>
      </c>
      <c r="W125" s="16">
        <f t="shared" si="18"/>
        <v>1.32E-2</v>
      </c>
      <c r="X125" s="20" t="s">
        <v>341</v>
      </c>
      <c r="Y125" s="4"/>
      <c r="Z125" s="21" t="s">
        <v>1062</v>
      </c>
      <c r="AA125" s="22">
        <f t="shared" si="19"/>
        <v>2</v>
      </c>
      <c r="AB125" s="22">
        <f>IF(OR($M125="Yes",$M125="Owner"),IF(COUNTIFS($H$4:$H125,$H125,$M$4:$M125,"Yes")+COUNTIFS($H$4:$H125,$H125,$M$4:$M125,"Owner")=1,1,0),0)</f>
        <v>0</v>
      </c>
      <c r="AC125" s="21" t="s">
        <v>181</v>
      </c>
      <c r="AD125" s="21" t="str">
        <f>MID($H125,FIND("CL",$H125)+5,3)</f>
        <v>103</v>
      </c>
      <c r="AE125" s="23">
        <f t="shared" si="22"/>
        <v>1E-8</v>
      </c>
      <c r="AF125" s="23" cm="1">
        <f t="array" ref="AF125">LEFT($E125,FIND(" ",$E125)-1)*IFERROR(INDEX({1000,1000000,0.000000000001,0.000000001,0.000001},MATCH(MID($E125,FIND(" ",$E125)+1,1),{"k","M","p","n","µ"},0)),1)</f>
        <v>1E-8</v>
      </c>
      <c r="AG125" s="24" t="str">
        <f>IF(AND(RIGHT($E125,1)="F",ABS($AF125-$AE125)&lt;=Checks!$C$6*$AE125),"OK","CHECK")</f>
        <v>OK</v>
      </c>
    </row>
    <row r="126" spans="1:33" ht="15" customHeight="1" x14ac:dyDescent="0.2">
      <c r="A126" s="6" t="s">
        <v>1038</v>
      </c>
      <c r="B126" s="4" t="s">
        <v>1063</v>
      </c>
      <c r="C126" s="8">
        <v>1</v>
      </c>
      <c r="D126" s="4" t="s">
        <v>1064</v>
      </c>
      <c r="E126" s="5" t="s">
        <v>184</v>
      </c>
      <c r="F126" s="5" t="s">
        <v>154</v>
      </c>
      <c r="G126" s="5" t="s">
        <v>185</v>
      </c>
      <c r="H126" s="4" t="s">
        <v>186</v>
      </c>
      <c r="I126" s="5" t="s">
        <v>187</v>
      </c>
      <c r="J126" s="4" t="s">
        <v>158</v>
      </c>
      <c r="K126" s="4" t="s">
        <v>175</v>
      </c>
      <c r="L126" s="4" t="s">
        <v>1065</v>
      </c>
      <c r="M126" s="10" t="s">
        <v>177</v>
      </c>
      <c r="N126" s="10"/>
      <c r="O126" s="11">
        <v>2</v>
      </c>
      <c r="P126" s="11">
        <v>0</v>
      </c>
      <c r="Q126" s="13">
        <v>2E-3</v>
      </c>
      <c r="R126" s="14">
        <f>IF(OR($M126="Yes",$M126="Owner"),$C126*Cost!$B$6,0)</f>
        <v>5</v>
      </c>
      <c r="S126" s="16">
        <f t="shared" si="17"/>
        <v>0.01</v>
      </c>
      <c r="T126" s="4" t="s">
        <v>178</v>
      </c>
      <c r="U126" s="19"/>
      <c r="V126" s="14">
        <f>IF($M126="Owner",$R126,IF($M126&lt;&gt;"Yes",0,MAX(IF(LEFT($T126,7)="Passive",$R126+MAX(Cost!$B$8,ROUNDUP(Cost!$B$7*$R126,0)),$R126+Cost!$B$9),N($U126))))</f>
        <v>7</v>
      </c>
      <c r="W126" s="16">
        <f t="shared" si="18"/>
        <v>1.4E-2</v>
      </c>
      <c r="X126" s="20"/>
      <c r="Y126" s="4"/>
      <c r="Z126" s="21" t="s">
        <v>1066</v>
      </c>
      <c r="AA126" s="22">
        <f t="shared" si="19"/>
        <v>1</v>
      </c>
      <c r="AB126" s="22">
        <f>IF(OR($M126="Yes",$M126="Owner"),IF(COUNTIFS($H$4:$H126,$H126,$M$4:$M126,"Yes")+COUNTIFS($H$4:$H126,$H126,$M$4:$M126,"Owner")=1,1,0),0)</f>
        <v>0</v>
      </c>
      <c r="AC126" s="21" t="s">
        <v>181</v>
      </c>
      <c r="AD126" s="21" t="str">
        <f>MID($H126,FIND("CL",$H126)+5,3)</f>
        <v>101</v>
      </c>
      <c r="AE126" s="23">
        <f t="shared" si="22"/>
        <v>1E-10</v>
      </c>
      <c r="AF126" s="23" cm="1">
        <f t="array" ref="AF126">LEFT($E126,FIND(" ",$E126)-1)*IFERROR(INDEX({1000,1000000,0.000000000001,0.000000001,0.000001},MATCH(MID($E126,FIND(" ",$E126)+1,1),{"k","M","p","n","µ"},0)),1)</f>
        <v>1E-10</v>
      </c>
      <c r="AG126" s="24" t="str">
        <f>IF(AND(RIGHT($E126,1)="F",ABS($AF126-$AE126)&lt;=Checks!$C$6*$AE126),"OK","CHECK")</f>
        <v>OK</v>
      </c>
    </row>
    <row r="127" spans="1:33" ht="66" customHeight="1" x14ac:dyDescent="0.2">
      <c r="A127" s="6" t="s">
        <v>1038</v>
      </c>
      <c r="B127" s="4" t="s">
        <v>1067</v>
      </c>
      <c r="C127" s="8">
        <v>1</v>
      </c>
      <c r="D127" s="4" t="s">
        <v>1068</v>
      </c>
      <c r="E127" s="5" t="s">
        <v>1069</v>
      </c>
      <c r="F127" s="5" t="s">
        <v>154</v>
      </c>
      <c r="G127" s="5" t="s">
        <v>185</v>
      </c>
      <c r="H127" s="4" t="s">
        <v>1070</v>
      </c>
      <c r="I127" s="5" t="s">
        <v>1071</v>
      </c>
      <c r="J127" s="4" t="s">
        <v>174</v>
      </c>
      <c r="K127" s="4" t="s">
        <v>175</v>
      </c>
      <c r="L127" s="4" t="s">
        <v>1072</v>
      </c>
      <c r="M127" s="10" t="s">
        <v>177</v>
      </c>
      <c r="N127" s="10"/>
      <c r="O127" s="11">
        <v>2</v>
      </c>
      <c r="P127" s="11">
        <v>0</v>
      </c>
      <c r="Q127" s="13">
        <v>2.8E-3</v>
      </c>
      <c r="R127" s="14">
        <f>IF(OR($M127="Yes",$M127="Owner"),$C127*Cost!$B$6,0)</f>
        <v>5</v>
      </c>
      <c r="S127" s="16">
        <f t="shared" si="17"/>
        <v>1.4E-2</v>
      </c>
      <c r="T127" s="4" t="s">
        <v>178</v>
      </c>
      <c r="U127" s="19"/>
      <c r="V127" s="14">
        <f>IF($M127="Owner",$R127,IF($M127&lt;&gt;"Yes",0,MAX(IF(LEFT($T127,7)="Passive",$R127+MAX(Cost!$B$8,ROUNDUP(Cost!$B$7*$R127,0)),$R127+Cost!$B$9),N($U127))))</f>
        <v>7</v>
      </c>
      <c r="W127" s="16">
        <f t="shared" si="18"/>
        <v>1.9599999999999999E-2</v>
      </c>
      <c r="X127" s="20" t="s">
        <v>1073</v>
      </c>
      <c r="Y127" s="4" t="s">
        <v>1074</v>
      </c>
      <c r="Z127" s="21" t="s">
        <v>1075</v>
      </c>
      <c r="AA127" s="22">
        <f t="shared" si="19"/>
        <v>1</v>
      </c>
      <c r="AB127" s="22">
        <f>IF(OR($M127="Yes",$M127="Owner"),IF(COUNTIFS($H$4:$H127,$H127,$M$4:$M127,"Yes")+COUNTIFS($H$4:$H127,$H127,$M$4:$M127,"Owner")=1,1,0),0)</f>
        <v>1</v>
      </c>
      <c r="AC127" s="21" t="s">
        <v>166</v>
      </c>
      <c r="AD127" s="21" t="str">
        <f>IF(ISNUMBER(FIND("CG",$H127)),MID($H127,FIND("CG",$H127)+2,3),MID($H127,FIND(" 0",$H127)+6,3))</f>
        <v>820</v>
      </c>
      <c r="AE127" s="23">
        <f t="shared" si="22"/>
        <v>8.2000000000000001E-11</v>
      </c>
      <c r="AF127" s="23" cm="1">
        <f t="array" ref="AF127">LEFT($E127,FIND(" ",$E127)-1)*IFERROR(INDEX({1000,1000000,0.000000000001,0.000000001,0.000001},MATCH(MID($E127,FIND(" ",$E127)+1,1),{"k","M","p","n","µ"},0)),1)</f>
        <v>8.2000000000000001E-11</v>
      </c>
      <c r="AG127" s="24" t="str">
        <f>IF(AND(RIGHT($E127,1)="F",ABS($AF127-$AE127)&lt;=Checks!$C$6*$AE127),"OK","CHECK")</f>
        <v>OK</v>
      </c>
    </row>
    <row r="128" spans="1:33" ht="40.5" customHeight="1" x14ac:dyDescent="0.2">
      <c r="A128" s="6" t="s">
        <v>1038</v>
      </c>
      <c r="B128" s="4" t="s">
        <v>1076</v>
      </c>
      <c r="C128" s="8">
        <v>5</v>
      </c>
      <c r="D128" s="4" t="s">
        <v>1077</v>
      </c>
      <c r="E128" s="5" t="s">
        <v>1078</v>
      </c>
      <c r="F128" s="5" t="s">
        <v>154</v>
      </c>
      <c r="G128" s="5" t="s">
        <v>185</v>
      </c>
      <c r="H128" s="4" t="s">
        <v>1079</v>
      </c>
      <c r="I128" s="5" t="s">
        <v>1080</v>
      </c>
      <c r="J128" s="4" t="s">
        <v>174</v>
      </c>
      <c r="K128" s="4" t="s">
        <v>175</v>
      </c>
      <c r="L128" s="4" t="s">
        <v>1081</v>
      </c>
      <c r="M128" s="10" t="s">
        <v>177</v>
      </c>
      <c r="N128" s="10"/>
      <c r="O128" s="11">
        <v>2</v>
      </c>
      <c r="P128" s="11">
        <v>0</v>
      </c>
      <c r="Q128" s="13">
        <v>6.8999999999999999E-3</v>
      </c>
      <c r="R128" s="14">
        <f>IF(OR($M128="Yes",$M128="Owner"),$C128*Cost!$B$6,0)</f>
        <v>25</v>
      </c>
      <c r="S128" s="16">
        <f t="shared" si="17"/>
        <v>0.17249999999999999</v>
      </c>
      <c r="T128" s="4" t="s">
        <v>178</v>
      </c>
      <c r="U128" s="19"/>
      <c r="V128" s="14">
        <f>IF($M128="Owner",$R128,IF($M128&lt;&gt;"Yes",0,MAX(IF(LEFT($T128,7)="Passive",$R128+MAX(Cost!$B$8,ROUNDUP(Cost!$B$7*$R128,0)),$R128+Cost!$B$9),N($U128))))</f>
        <v>27</v>
      </c>
      <c r="W128" s="16">
        <f t="shared" si="18"/>
        <v>0.18629999999999999</v>
      </c>
      <c r="X128" s="20" t="s">
        <v>1082</v>
      </c>
      <c r="Y128" s="4" t="s">
        <v>1083</v>
      </c>
      <c r="Z128" s="21" t="s">
        <v>1084</v>
      </c>
      <c r="AA128" s="22">
        <f t="shared" si="19"/>
        <v>5</v>
      </c>
      <c r="AB128" s="22">
        <f>IF(OR($M128="Yes",$M128="Owner"),IF(COUNTIFS($H$4:$H128,$H128,$M$4:$M128,"Yes")+COUNTIFS($H$4:$H128,$H128,$M$4:$M128,"Owner")=1,1,0),0)</f>
        <v>1</v>
      </c>
      <c r="AC128" s="21" t="s">
        <v>181</v>
      </c>
      <c r="AD128" s="21" t="str">
        <f>MID($H128,FIND("CL",$H128)+5,3)</f>
        <v>102</v>
      </c>
      <c r="AE128" s="23">
        <f t="shared" si="22"/>
        <v>1.0000000000000001E-9</v>
      </c>
      <c r="AF128" s="23" cm="1">
        <f t="array" ref="AF128">LEFT($E128,FIND(" ",$E128)-1)*IFERROR(INDEX({1000,1000000,0.000000000001,0.000000001,0.000001},MATCH(MID($E128,FIND(" ",$E128)+1,1),{"k","M","p","n","µ"},0)),1)</f>
        <v>1.0000000000000001E-9</v>
      </c>
      <c r="AG128" s="24" t="str">
        <f>IF(AND(RIGHT($E128,1)="F",ABS($AF128-$AE128)&lt;=Checks!$C$6*$AE128),"OK","CHECK")</f>
        <v>OK</v>
      </c>
    </row>
    <row r="129" spans="1:33" ht="78.75" customHeight="1" x14ac:dyDescent="0.2">
      <c r="A129" s="6" t="s">
        <v>1038</v>
      </c>
      <c r="B129" s="4" t="s">
        <v>1085</v>
      </c>
      <c r="C129" s="8">
        <v>4</v>
      </c>
      <c r="D129" s="4" t="s">
        <v>1086</v>
      </c>
      <c r="E129" s="5" t="s">
        <v>1087</v>
      </c>
      <c r="F129" s="5" t="s">
        <v>1088</v>
      </c>
      <c r="G129" s="5" t="s">
        <v>1089</v>
      </c>
      <c r="H129" s="4" t="s">
        <v>1090</v>
      </c>
      <c r="I129" s="5" t="s">
        <v>162</v>
      </c>
      <c r="J129" s="4" t="s">
        <v>220</v>
      </c>
      <c r="K129" s="4" t="s">
        <v>220</v>
      </c>
      <c r="L129" s="4" t="s">
        <v>1091</v>
      </c>
      <c r="M129" s="10" t="s">
        <v>177</v>
      </c>
      <c r="N129" s="10"/>
      <c r="O129" s="11">
        <v>2</v>
      </c>
      <c r="P129" s="11">
        <v>0</v>
      </c>
      <c r="Q129" s="13">
        <v>1.36</v>
      </c>
      <c r="R129" s="14">
        <f>IF(OR($M129="Yes",$M129="Owner"),$C129*Cost!$B$6,0)</f>
        <v>20</v>
      </c>
      <c r="S129" s="16">
        <f t="shared" si="17"/>
        <v>27.200000000000003</v>
      </c>
      <c r="T129" s="4" t="s">
        <v>178</v>
      </c>
      <c r="U129" s="19"/>
      <c r="V129" s="14">
        <f>IF($M129="Owner",$R129,IF($M129&lt;&gt;"Yes",0,MAX(IF(LEFT($T129,7)="Passive",$R129+MAX(Cost!$B$8,ROUNDUP(Cost!$B$7*$R129,0)),$R129+Cost!$B$9),N($U129))))</f>
        <v>22</v>
      </c>
      <c r="W129" s="16">
        <f t="shared" si="18"/>
        <v>29.92</v>
      </c>
      <c r="X129" s="20"/>
      <c r="Y129" s="4" t="s">
        <v>1092</v>
      </c>
      <c r="Z129" s="21" t="s">
        <v>1093</v>
      </c>
      <c r="AA129" s="22">
        <f t="shared" si="19"/>
        <v>4</v>
      </c>
      <c r="AB129" s="22">
        <f>IF(OR($M129="Yes",$M129="Owner"),IF(COUNTIFS($H$4:$H129,$H129,$M$4:$M129,"Yes")+COUNTIFS($H$4:$H129,$H129,$M$4:$M129,"Owner")=1,1,0),0)</f>
        <v>1</v>
      </c>
      <c r="AC129" s="21"/>
      <c r="AD129" s="21"/>
      <c r="AE129" s="23"/>
      <c r="AF129" s="23"/>
      <c r="AG129" s="24"/>
    </row>
    <row r="130" spans="1:33" ht="66" customHeight="1" x14ac:dyDescent="0.2">
      <c r="A130" s="6" t="s">
        <v>1038</v>
      </c>
      <c r="B130" s="4" t="s">
        <v>1094</v>
      </c>
      <c r="C130" s="8">
        <v>4</v>
      </c>
      <c r="D130" s="4" t="s">
        <v>1095</v>
      </c>
      <c r="E130" s="5" t="s">
        <v>1096</v>
      </c>
      <c r="F130" s="5" t="s">
        <v>347</v>
      </c>
      <c r="G130" s="5" t="s">
        <v>1097</v>
      </c>
      <c r="H130" s="4" t="s">
        <v>1098</v>
      </c>
      <c r="I130" s="5" t="s">
        <v>1099</v>
      </c>
      <c r="J130" s="4" t="s">
        <v>174</v>
      </c>
      <c r="K130" s="4" t="s">
        <v>175</v>
      </c>
      <c r="L130" s="4" t="s">
        <v>1100</v>
      </c>
      <c r="M130" s="10" t="s">
        <v>177</v>
      </c>
      <c r="N130" s="10"/>
      <c r="O130" s="11">
        <v>2</v>
      </c>
      <c r="P130" s="11">
        <v>0</v>
      </c>
      <c r="Q130" s="13">
        <v>2.4299999999999999E-2</v>
      </c>
      <c r="R130" s="14">
        <f>IF(OR($M130="Yes",$M130="Owner"),$C130*Cost!$B$6,0)</f>
        <v>20</v>
      </c>
      <c r="S130" s="16">
        <f t="shared" si="17"/>
        <v>0.48599999999999999</v>
      </c>
      <c r="T130" s="4" t="s">
        <v>178</v>
      </c>
      <c r="U130" s="19"/>
      <c r="V130" s="14">
        <f>IF($M130="Owner",$R130,IF($M130&lt;&gt;"Yes",0,MAX(IF(LEFT($T130,7)="Passive",$R130+MAX(Cost!$B$8,ROUNDUP(Cost!$B$7*$R130,0)),$R130+Cost!$B$9),N($U130))))</f>
        <v>22</v>
      </c>
      <c r="W130" s="16">
        <f t="shared" si="18"/>
        <v>0.53459999999999996</v>
      </c>
      <c r="X130" s="20"/>
      <c r="Y130" s="4" t="s">
        <v>1101</v>
      </c>
      <c r="Z130" s="21" t="s">
        <v>1102</v>
      </c>
      <c r="AA130" s="22">
        <f t="shared" si="19"/>
        <v>4</v>
      </c>
      <c r="AB130" s="22">
        <f>IF(OR($M130="Yes",$M130="Owner"),IF(COUNTIFS($H$4:$H130,$H130,$M$4:$M130,"Yes")+COUNTIFS($H$4:$H130,$H130,$M$4:$M130,"Owner")=1,1,0),0)</f>
        <v>1</v>
      </c>
      <c r="AC130" s="21" t="s">
        <v>166</v>
      </c>
      <c r="AD130" s="21" t="str">
        <f>IF(ISNUMBER(FIND("CG",$H130)),MID($H130,FIND("CG",$H130)+2,3),MID($H130,FIND(" 0",$H130)+6,3))</f>
        <v>332</v>
      </c>
      <c r="AE130" s="23">
        <f>IF(ISNUMBER(FIND("R",$AD130)),SUBSTITUTE($AD130,"R",".")*1,LEFT($AD130,2)*10^RIGHT($AD130,1))*10^-12</f>
        <v>3.2999999999999998E-9</v>
      </c>
      <c r="AF130" s="23" cm="1">
        <f t="array" ref="AF130">LEFT($E130,FIND(" ",$E130)-1)*IFERROR(INDEX({1000,1000000,0.000000000001,0.000000001,0.000001},MATCH(MID($E130,FIND(" ",$E130)+1,1),{"k","M","p","n","µ"},0)),1)</f>
        <v>3.3000000000000002E-9</v>
      </c>
      <c r="AG130" s="24" t="str">
        <f>IF(AND(RIGHT($E130,1)="F",ABS($AF130-$AE130)&lt;=Checks!$C$6*$AE130),"OK","CHECK")</f>
        <v>OK</v>
      </c>
    </row>
    <row r="131" spans="1:33" ht="53.25" customHeight="1" x14ac:dyDescent="0.2">
      <c r="A131" s="6" t="s">
        <v>1038</v>
      </c>
      <c r="B131" s="4" t="s">
        <v>1103</v>
      </c>
      <c r="C131" s="8">
        <v>8</v>
      </c>
      <c r="D131" s="4" t="s">
        <v>1104</v>
      </c>
      <c r="E131" s="5" t="s">
        <v>194</v>
      </c>
      <c r="F131" s="5" t="s">
        <v>1105</v>
      </c>
      <c r="G131" s="5" t="s">
        <v>1106</v>
      </c>
      <c r="H131" s="4" t="s">
        <v>1107</v>
      </c>
      <c r="I131" s="5" t="s">
        <v>1108</v>
      </c>
      <c r="J131" s="4" t="s">
        <v>174</v>
      </c>
      <c r="K131" s="4" t="s">
        <v>175</v>
      </c>
      <c r="L131" s="4" t="s">
        <v>1109</v>
      </c>
      <c r="M131" s="10" t="s">
        <v>177</v>
      </c>
      <c r="N131" s="10"/>
      <c r="O131" s="11">
        <v>2</v>
      </c>
      <c r="P131" s="11">
        <v>0</v>
      </c>
      <c r="Q131" s="13">
        <v>0.3296</v>
      </c>
      <c r="R131" s="14">
        <f>IF(OR($M131="Yes",$M131="Owner"),$C131*Cost!$B$6,0)</f>
        <v>40</v>
      </c>
      <c r="S131" s="16">
        <f t="shared" si="17"/>
        <v>13.184000000000001</v>
      </c>
      <c r="T131" s="4" t="s">
        <v>178</v>
      </c>
      <c r="U131" s="19"/>
      <c r="V131" s="14">
        <f>IF($M131="Owner",$R131,IF($M131&lt;&gt;"Yes",0,MAX(IF(LEFT($T131,7)="Passive",$R131+MAX(Cost!$B$8,ROUNDUP(Cost!$B$7*$R131,0)),$R131+Cost!$B$9),N($U131))))</f>
        <v>42</v>
      </c>
      <c r="W131" s="16">
        <f t="shared" si="18"/>
        <v>13.8432</v>
      </c>
      <c r="X131" s="20"/>
      <c r="Y131" s="4" t="s">
        <v>1110</v>
      </c>
      <c r="Z131" s="21" t="s">
        <v>1111</v>
      </c>
      <c r="AA131" s="22">
        <f t="shared" si="19"/>
        <v>8</v>
      </c>
      <c r="AB131" s="22">
        <f>IF(OR($M131="Yes",$M131="Owner"),IF(COUNTIFS($H$4:$H131,$H131,$M$4:$M131,"Yes")+COUNTIFS($H$4:$H131,$H131,$M$4:$M131,"Owner")=1,1,0),0)</f>
        <v>1</v>
      </c>
      <c r="AC131" s="21" t="s">
        <v>166</v>
      </c>
      <c r="AD131" s="21" t="str">
        <f>IF(ISNUMBER(FIND("CG",$H131)),MID($H131,FIND("CG",$H131)+2,3),MID($H131,FIND(" 0",$H131)+6,3))</f>
        <v>104</v>
      </c>
      <c r="AE131" s="23">
        <f>IF(ISNUMBER(FIND("R",$AD131)),SUBSTITUTE($AD131,"R",".")*1,LEFT($AD131,2)*10^RIGHT($AD131,1))*10^-12</f>
        <v>9.9999999999999995E-8</v>
      </c>
      <c r="AF131" s="23" cm="1">
        <f t="array" ref="AF131">LEFT($E131,FIND(" ",$E131)-1)*IFERROR(INDEX({1000,1000000,0.000000000001,0.000000001,0.000001},MATCH(MID($E131,FIND(" ",$E131)+1,1),{"k","M","p","n","µ"},0)),1)</f>
        <v>1.0000000000000001E-7</v>
      </c>
      <c r="AG131" s="24" t="str">
        <f>IF(AND(RIGHT($E131,1)="F",ABS($AF131-$AE131)&lt;=Checks!$C$6*$AE131),"OK","CHECK")</f>
        <v>OK</v>
      </c>
    </row>
    <row r="132" spans="1:33" ht="53.25" customHeight="1" x14ac:dyDescent="0.2">
      <c r="A132" s="6" t="s">
        <v>1038</v>
      </c>
      <c r="B132" s="4" t="s">
        <v>1112</v>
      </c>
      <c r="C132" s="8">
        <v>2</v>
      </c>
      <c r="D132" s="4" t="s">
        <v>1113</v>
      </c>
      <c r="E132" s="5" t="s">
        <v>1114</v>
      </c>
      <c r="F132" s="5" t="s">
        <v>378</v>
      </c>
      <c r="G132" s="5" t="s">
        <v>1115</v>
      </c>
      <c r="H132" s="4" t="s">
        <v>1116</v>
      </c>
      <c r="I132" s="5" t="s">
        <v>1117</v>
      </c>
      <c r="J132" s="4" t="s">
        <v>174</v>
      </c>
      <c r="K132" s="4" t="s">
        <v>175</v>
      </c>
      <c r="L132" s="4" t="s">
        <v>1118</v>
      </c>
      <c r="M132" s="10" t="s">
        <v>177</v>
      </c>
      <c r="N132" s="10"/>
      <c r="O132" s="11">
        <v>3</v>
      </c>
      <c r="P132" s="11">
        <v>0</v>
      </c>
      <c r="Q132" s="13">
        <v>9.6199999999999994E-2</v>
      </c>
      <c r="R132" s="14">
        <f>IF(OR($M132="Yes",$M132="Owner"),$C132*Cost!$B$6,0)</f>
        <v>10</v>
      </c>
      <c r="S132" s="16">
        <f t="shared" ref="S132:S163" si="23">$R132*$Q132</f>
        <v>0.96199999999999997</v>
      </c>
      <c r="T132" s="4" t="s">
        <v>222</v>
      </c>
      <c r="U132" s="19"/>
      <c r="V132" s="14">
        <f>IF($M132="Owner",$R132,IF($M132&lt;&gt;"Yes",0,MAX(IF(LEFT($T132,7)="Passive",$R132+MAX(Cost!$B$8,ROUNDUP(Cost!$B$7*$R132,0)),$R132+Cost!$B$9),N($U132))))</f>
        <v>11</v>
      </c>
      <c r="W132" s="16">
        <f t="shared" ref="W132:W163" si="24">$V132*$Q132</f>
        <v>1.0582</v>
      </c>
      <c r="X132" s="20" t="s">
        <v>1119</v>
      </c>
      <c r="Y132" s="4" t="s">
        <v>1120</v>
      </c>
      <c r="Z132" s="21" t="s">
        <v>1121</v>
      </c>
      <c r="AA132" s="22">
        <f t="shared" ref="AA132:AA163" si="25">IF($Z132="",0,LEN($Z132)-LEN(SUBSTITUTE($Z132,",",""))-1)</f>
        <v>2</v>
      </c>
      <c r="AB132" s="22">
        <f>IF(OR($M132="Yes",$M132="Owner"),IF(COUNTIFS($H$4:$H132,$H132,$M$4:$M132,"Yes")+COUNTIFS($H$4:$H132,$H132,$M$4:$M132,"Owner")=1,1,0),0)</f>
        <v>1</v>
      </c>
      <c r="AC132" s="21"/>
      <c r="AD132" s="21"/>
      <c r="AE132" s="23"/>
      <c r="AF132" s="23"/>
      <c r="AG132" s="24"/>
    </row>
    <row r="133" spans="1:33" ht="91.5" customHeight="1" x14ac:dyDescent="0.2">
      <c r="A133" s="6" t="s">
        <v>1038</v>
      </c>
      <c r="B133" s="4" t="s">
        <v>1122</v>
      </c>
      <c r="C133" s="8">
        <v>4</v>
      </c>
      <c r="D133" s="4" t="s">
        <v>1123</v>
      </c>
      <c r="E133" s="5" t="s">
        <v>1124</v>
      </c>
      <c r="F133" s="5" t="s">
        <v>1125</v>
      </c>
      <c r="G133" s="5" t="s">
        <v>1126</v>
      </c>
      <c r="H133" s="4" t="s">
        <v>1127</v>
      </c>
      <c r="I133" s="5" t="s">
        <v>162</v>
      </c>
      <c r="J133" s="4" t="s">
        <v>162</v>
      </c>
      <c r="K133" s="4" t="s">
        <v>207</v>
      </c>
      <c r="L133" s="4" t="s">
        <v>1128</v>
      </c>
      <c r="M133" s="10" t="s">
        <v>209</v>
      </c>
      <c r="N133" s="10"/>
      <c r="O133" s="11">
        <v>6</v>
      </c>
      <c r="P133" s="11">
        <v>0</v>
      </c>
      <c r="Q133" s="13">
        <v>3.6840000000000002</v>
      </c>
      <c r="R133" s="14">
        <f>IF(OR($M133="Yes",$M133="Owner"),$C133*Cost!$B$6,0)</f>
        <v>20</v>
      </c>
      <c r="S133" s="16">
        <f t="shared" si="23"/>
        <v>73.680000000000007</v>
      </c>
      <c r="T133" s="4" t="s">
        <v>210</v>
      </c>
      <c r="U133" s="19"/>
      <c r="V133" s="14">
        <f>IF($M133="Owner",$R133,IF($M133&lt;&gt;"Yes",0,MAX(IF(LEFT($T133,7)="Passive",$R133+MAX(Cost!$B$8,ROUNDUP(Cost!$B$7*$R133,0)),$R133+Cost!$B$9),N($U133))))</f>
        <v>20</v>
      </c>
      <c r="W133" s="16">
        <f t="shared" si="24"/>
        <v>73.680000000000007</v>
      </c>
      <c r="X133" s="20" t="s">
        <v>1129</v>
      </c>
      <c r="Y133" s="4" t="s">
        <v>1130</v>
      </c>
      <c r="Z133" s="21" t="s">
        <v>1131</v>
      </c>
      <c r="AA133" s="22">
        <f t="shared" si="25"/>
        <v>4</v>
      </c>
      <c r="AB133" s="22">
        <f>IF(OR($M133="Yes",$M133="Owner"),IF(COUNTIFS($H$4:$H133,$H133,$M$4:$M133,"Yes")+COUNTIFS($H$4:$H133,$H133,$M$4:$M133,"Owner")=1,1,0),0)</f>
        <v>1</v>
      </c>
      <c r="AC133" s="21"/>
      <c r="AD133" s="21"/>
      <c r="AE133" s="23"/>
      <c r="AF133" s="23"/>
      <c r="AG133" s="24"/>
    </row>
    <row r="134" spans="1:33" ht="27.75" customHeight="1" x14ac:dyDescent="0.2">
      <c r="A134" s="6" t="s">
        <v>1038</v>
      </c>
      <c r="B134" s="4" t="s">
        <v>1132</v>
      </c>
      <c r="C134" s="8">
        <v>2</v>
      </c>
      <c r="D134" s="4" t="s">
        <v>1133</v>
      </c>
      <c r="E134" s="5" t="s">
        <v>862</v>
      </c>
      <c r="F134" s="5" t="s">
        <v>378</v>
      </c>
      <c r="G134" s="5" t="s">
        <v>1134</v>
      </c>
      <c r="H134" s="4" t="s">
        <v>864</v>
      </c>
      <c r="I134" s="5" t="s">
        <v>865</v>
      </c>
      <c r="J134" s="4" t="s">
        <v>158</v>
      </c>
      <c r="K134" s="4" t="s">
        <v>175</v>
      </c>
      <c r="L134" s="4" t="s">
        <v>1135</v>
      </c>
      <c r="M134" s="10" t="s">
        <v>177</v>
      </c>
      <c r="N134" s="10"/>
      <c r="O134" s="11">
        <v>3</v>
      </c>
      <c r="P134" s="11">
        <v>0</v>
      </c>
      <c r="Q134" s="13">
        <v>1.04E-2</v>
      </c>
      <c r="R134" s="14">
        <f>IF(OR($M134="Yes",$M134="Owner"),$C134*Cost!$B$6,0)</f>
        <v>10</v>
      </c>
      <c r="S134" s="16">
        <f t="shared" si="23"/>
        <v>0.104</v>
      </c>
      <c r="T134" s="4" t="s">
        <v>222</v>
      </c>
      <c r="U134" s="19"/>
      <c r="V134" s="14">
        <f>IF($M134="Owner",$R134,IF($M134&lt;&gt;"Yes",0,MAX(IF(LEFT($T134,7)="Passive",$R134+MAX(Cost!$B$8,ROUNDUP(Cost!$B$7*$R134,0)),$R134+Cost!$B$9),N($U134))))</f>
        <v>11</v>
      </c>
      <c r="W134" s="16">
        <f t="shared" si="24"/>
        <v>0.1144</v>
      </c>
      <c r="X134" s="20" t="s">
        <v>867</v>
      </c>
      <c r="Y134" s="4"/>
      <c r="Z134" s="21" t="s">
        <v>1136</v>
      </c>
      <c r="AA134" s="22">
        <f t="shared" si="25"/>
        <v>2</v>
      </c>
      <c r="AB134" s="22">
        <f>IF(OR($M134="Yes",$M134="Owner"),IF(COUNTIFS($H$4:$H134,$H134,$M$4:$M134,"Yes")+COUNTIFS($H$4:$H134,$H134,$M$4:$M134,"Owner")=1,1,0),0)</f>
        <v>0</v>
      </c>
      <c r="AC134" s="21"/>
      <c r="AD134" s="21"/>
      <c r="AE134" s="23"/>
      <c r="AF134" s="23"/>
      <c r="AG134" s="24"/>
    </row>
    <row r="135" spans="1:33" ht="78.75" customHeight="1" x14ac:dyDescent="0.2">
      <c r="A135" s="6" t="s">
        <v>1038</v>
      </c>
      <c r="B135" s="4" t="s">
        <v>1137</v>
      </c>
      <c r="C135" s="8">
        <v>5</v>
      </c>
      <c r="D135" s="4" t="s">
        <v>1138</v>
      </c>
      <c r="E135" s="5" t="s">
        <v>377</v>
      </c>
      <c r="F135" s="5" t="s">
        <v>378</v>
      </c>
      <c r="G135" s="5" t="s">
        <v>1139</v>
      </c>
      <c r="H135" s="4" t="s">
        <v>380</v>
      </c>
      <c r="I135" s="5" t="s">
        <v>381</v>
      </c>
      <c r="J135" s="4" t="s">
        <v>158</v>
      </c>
      <c r="K135" s="4" t="s">
        <v>175</v>
      </c>
      <c r="L135" s="4" t="s">
        <v>1140</v>
      </c>
      <c r="M135" s="10" t="s">
        <v>177</v>
      </c>
      <c r="N135" s="10"/>
      <c r="O135" s="11">
        <v>3</v>
      </c>
      <c r="P135" s="11">
        <v>0</v>
      </c>
      <c r="Q135" s="13">
        <v>5.2400000000000002E-2</v>
      </c>
      <c r="R135" s="14">
        <f>IF(OR($M135="Yes",$M135="Owner"),$C135*Cost!$B$6,0)</f>
        <v>25</v>
      </c>
      <c r="S135" s="16">
        <f t="shared" si="23"/>
        <v>1.31</v>
      </c>
      <c r="T135" s="4" t="s">
        <v>222</v>
      </c>
      <c r="U135" s="19"/>
      <c r="V135" s="14">
        <f>IF($M135="Owner",$R135,IF($M135&lt;&gt;"Yes",0,MAX(IF(LEFT($T135,7)="Passive",$R135+MAX(Cost!$B$8,ROUNDUP(Cost!$B$7*$R135,0)),$R135+Cost!$B$9),N($U135))))</f>
        <v>26</v>
      </c>
      <c r="W135" s="16">
        <f t="shared" si="24"/>
        <v>1.3624000000000001</v>
      </c>
      <c r="X135" s="20" t="s">
        <v>1141</v>
      </c>
      <c r="Y135" s="4" t="s">
        <v>1142</v>
      </c>
      <c r="Z135" s="21" t="s">
        <v>1143</v>
      </c>
      <c r="AA135" s="22">
        <f t="shared" si="25"/>
        <v>5</v>
      </c>
      <c r="AB135" s="22">
        <f>IF(OR($M135="Yes",$M135="Owner"),IF(COUNTIFS($H$4:$H135,$H135,$M$4:$M135,"Yes")+COUNTIFS($H$4:$H135,$H135,$M$4:$M135,"Owner")=1,1,0),0)</f>
        <v>0</v>
      </c>
      <c r="AC135" s="21"/>
      <c r="AD135" s="21"/>
      <c r="AE135" s="23"/>
      <c r="AF135" s="23"/>
      <c r="AG135" s="24"/>
    </row>
    <row r="136" spans="1:33" ht="40.5" customHeight="1" x14ac:dyDescent="0.2">
      <c r="A136" s="6" t="s">
        <v>1038</v>
      </c>
      <c r="B136" s="4" t="s">
        <v>1144</v>
      </c>
      <c r="C136" s="8">
        <v>2</v>
      </c>
      <c r="D136" s="4" t="s">
        <v>1145</v>
      </c>
      <c r="E136" s="5" t="s">
        <v>1146</v>
      </c>
      <c r="F136" s="5" t="s">
        <v>378</v>
      </c>
      <c r="G136" s="5" t="s">
        <v>1147</v>
      </c>
      <c r="H136" s="4" t="s">
        <v>1148</v>
      </c>
      <c r="I136" s="5" t="s">
        <v>1149</v>
      </c>
      <c r="J136" s="4" t="s">
        <v>158</v>
      </c>
      <c r="K136" s="4" t="s">
        <v>175</v>
      </c>
      <c r="L136" s="4" t="s">
        <v>1057</v>
      </c>
      <c r="M136" s="10" t="s">
        <v>177</v>
      </c>
      <c r="N136" s="10"/>
      <c r="O136" s="11">
        <v>3</v>
      </c>
      <c r="P136" s="11">
        <v>0</v>
      </c>
      <c r="Q136" s="13">
        <v>1.77E-2</v>
      </c>
      <c r="R136" s="14">
        <f>IF(OR($M136="Yes",$M136="Owner"),$C136*Cost!$B$6,0)</f>
        <v>10</v>
      </c>
      <c r="S136" s="16">
        <f t="shared" si="23"/>
        <v>0.17699999999999999</v>
      </c>
      <c r="T136" s="4" t="s">
        <v>222</v>
      </c>
      <c r="U136" s="19"/>
      <c r="V136" s="14">
        <f>IF($M136="Owner",$R136,IF($M136&lt;&gt;"Yes",0,MAX(IF(LEFT($T136,7)="Passive",$R136+MAX(Cost!$B$8,ROUNDUP(Cost!$B$7*$R136,0)),$R136+Cost!$B$9),N($U136))))</f>
        <v>11</v>
      </c>
      <c r="W136" s="16">
        <f t="shared" si="24"/>
        <v>0.19470000000000001</v>
      </c>
      <c r="X136" s="20" t="s">
        <v>1150</v>
      </c>
      <c r="Y136" s="4" t="s">
        <v>1151</v>
      </c>
      <c r="Z136" s="21" t="s">
        <v>1152</v>
      </c>
      <c r="AA136" s="22">
        <f t="shared" si="25"/>
        <v>2</v>
      </c>
      <c r="AB136" s="22">
        <f>IF(OR($M136="Yes",$M136="Owner"),IF(COUNTIFS($H$4:$H136,$H136,$M$4:$M136,"Yes")+COUNTIFS($H$4:$H136,$H136,$M$4:$M136,"Owner")=1,1,0),0)</f>
        <v>1</v>
      </c>
      <c r="AC136" s="21"/>
      <c r="AD136" s="21"/>
      <c r="AE136" s="23"/>
      <c r="AF136" s="23"/>
      <c r="AG136" s="24"/>
    </row>
    <row r="137" spans="1:33" ht="66" customHeight="1" x14ac:dyDescent="0.2">
      <c r="A137" s="6" t="s">
        <v>1038</v>
      </c>
      <c r="B137" s="4" t="s">
        <v>1153</v>
      </c>
      <c r="C137" s="8">
        <v>5</v>
      </c>
      <c r="D137" s="4" t="s">
        <v>1154</v>
      </c>
      <c r="E137" s="5" t="s">
        <v>862</v>
      </c>
      <c r="F137" s="5" t="s">
        <v>378</v>
      </c>
      <c r="G137" s="5" t="s">
        <v>1155</v>
      </c>
      <c r="H137" s="4" t="s">
        <v>1156</v>
      </c>
      <c r="I137" s="5" t="s">
        <v>1157</v>
      </c>
      <c r="J137" s="4" t="s">
        <v>174</v>
      </c>
      <c r="K137" s="4" t="s">
        <v>175</v>
      </c>
      <c r="L137" s="4" t="s">
        <v>1158</v>
      </c>
      <c r="M137" s="10" t="s">
        <v>177</v>
      </c>
      <c r="N137" s="10"/>
      <c r="O137" s="11">
        <v>3</v>
      </c>
      <c r="P137" s="11">
        <v>0</v>
      </c>
      <c r="Q137" s="13">
        <v>1.67E-2</v>
      </c>
      <c r="R137" s="14">
        <f>IF(OR($M137="Yes",$M137="Owner"),$C137*Cost!$B$6,0)</f>
        <v>25</v>
      </c>
      <c r="S137" s="16">
        <f t="shared" si="23"/>
        <v>0.41749999999999998</v>
      </c>
      <c r="T137" s="4" t="s">
        <v>222</v>
      </c>
      <c r="U137" s="19"/>
      <c r="V137" s="14">
        <f>IF($M137="Owner",$R137,IF($M137&lt;&gt;"Yes",0,MAX(IF(LEFT($T137,7)="Passive",$R137+MAX(Cost!$B$8,ROUNDUP(Cost!$B$7*$R137,0)),$R137+Cost!$B$9),N($U137))))</f>
        <v>26</v>
      </c>
      <c r="W137" s="16">
        <f t="shared" si="24"/>
        <v>0.43419999999999997</v>
      </c>
      <c r="X137" s="20" t="s">
        <v>1159</v>
      </c>
      <c r="Y137" s="4" t="s">
        <v>1160</v>
      </c>
      <c r="Z137" s="21" t="s">
        <v>1161</v>
      </c>
      <c r="AA137" s="22">
        <f t="shared" si="25"/>
        <v>5</v>
      </c>
      <c r="AB137" s="22">
        <f>IF(OR($M137="Yes",$M137="Owner"),IF(COUNTIFS($H$4:$H137,$H137,$M$4:$M137,"Yes")+COUNTIFS($H$4:$H137,$H137,$M$4:$M137,"Owner")=1,1,0),0)</f>
        <v>1</v>
      </c>
      <c r="AC137" s="21"/>
      <c r="AD137" s="21"/>
      <c r="AE137" s="23"/>
      <c r="AF137" s="23"/>
      <c r="AG137" s="24"/>
    </row>
    <row r="138" spans="1:33" ht="27.75" customHeight="1" x14ac:dyDescent="0.2">
      <c r="A138" s="6" t="s">
        <v>1038</v>
      </c>
      <c r="B138" s="4" t="s">
        <v>1162</v>
      </c>
      <c r="C138" s="8">
        <v>6</v>
      </c>
      <c r="D138" s="4" t="s">
        <v>1163</v>
      </c>
      <c r="E138" s="5" t="s">
        <v>1164</v>
      </c>
      <c r="F138" s="5" t="s">
        <v>154</v>
      </c>
      <c r="G138" s="5" t="s">
        <v>1165</v>
      </c>
      <c r="H138" s="4" t="s">
        <v>1166</v>
      </c>
      <c r="I138" s="5" t="s">
        <v>1167</v>
      </c>
      <c r="J138" s="4" t="s">
        <v>174</v>
      </c>
      <c r="K138" s="4" t="s">
        <v>175</v>
      </c>
      <c r="L138" s="4" t="s">
        <v>1168</v>
      </c>
      <c r="M138" s="10" t="s">
        <v>177</v>
      </c>
      <c r="N138" s="10"/>
      <c r="O138" s="11">
        <v>2</v>
      </c>
      <c r="P138" s="11">
        <v>0</v>
      </c>
      <c r="Q138" s="13">
        <v>3.3799999999999997E-2</v>
      </c>
      <c r="R138" s="14">
        <f>IF(OR($M138="Yes",$M138="Owner"),$C138*Cost!$B$6,0)</f>
        <v>30</v>
      </c>
      <c r="S138" s="16">
        <f t="shared" si="23"/>
        <v>1.0139999999999998</v>
      </c>
      <c r="T138" s="4" t="s">
        <v>178</v>
      </c>
      <c r="U138" s="19"/>
      <c r="V138" s="14">
        <f>IF($M138="Owner",$R138,IF($M138&lt;&gt;"Yes",0,MAX(IF(LEFT($T138,7)="Passive",$R138+MAX(Cost!$B$8,ROUNDUP(Cost!$B$7*$R138,0)),$R138+Cost!$B$9),N($U138))))</f>
        <v>32</v>
      </c>
      <c r="W138" s="16">
        <f t="shared" si="24"/>
        <v>1.0815999999999999</v>
      </c>
      <c r="X138" s="20" t="s">
        <v>1169</v>
      </c>
      <c r="Y138" s="4"/>
      <c r="Z138" s="21" t="s">
        <v>1170</v>
      </c>
      <c r="AA138" s="22">
        <f t="shared" si="25"/>
        <v>6</v>
      </c>
      <c r="AB138" s="22">
        <f>IF(OR($M138="Yes",$M138="Owner"),IF(COUNTIFS($H$4:$H138,$H138,$M$4:$M138,"Yes")+COUNTIFS($H$4:$H138,$H138,$M$4:$M138,"Owner")=1,1,0),0)</f>
        <v>1</v>
      </c>
      <c r="AC138" s="21" t="s">
        <v>579</v>
      </c>
      <c r="AD138" s="21" t="str">
        <f>MID($H138,18,FIND("L",$H138,18)-18)</f>
        <v>6K8</v>
      </c>
      <c r="AE138" s="23">
        <f>(SUBSTITUTE(SUBSTITUTE(SUBSTITUTE($AD138,"R","."),"K","."),"M",".")&amp;"0")*IF(ISNUMBER(FIND("K",$AD138)),1000,IF(ISNUMBER(FIND("M",$AD138)),10^6,1))</f>
        <v>6800</v>
      </c>
      <c r="AF138" s="23" cm="1">
        <f t="array" ref="AF138">LEFT($E138,FIND(" ",$E138)-1)*IFERROR(INDEX({1000,1000000,0.000000000001,0.000000001,0.000001},MATCH(MID($E138,FIND(" ",$E138)+1,1),{"k","M","p","n","µ"},0)),1)</f>
        <v>6800</v>
      </c>
      <c r="AG138" s="24" t="str">
        <f>IF(AND(RIGHT($E138,1)="Ω",ABS($AF138-$AE138)&lt;=Checks!$C$6*$AE138),"OK","CHECK")</f>
        <v>OK</v>
      </c>
    </row>
    <row r="139" spans="1:33" ht="40.5" customHeight="1" x14ac:dyDescent="0.2">
      <c r="A139" s="6" t="s">
        <v>1038</v>
      </c>
      <c r="B139" s="4" t="s">
        <v>1171</v>
      </c>
      <c r="C139" s="8">
        <v>6</v>
      </c>
      <c r="D139" s="4" t="s">
        <v>1172</v>
      </c>
      <c r="E139" s="5" t="s">
        <v>228</v>
      </c>
      <c r="F139" s="5" t="s">
        <v>154</v>
      </c>
      <c r="G139" s="5" t="s">
        <v>1165</v>
      </c>
      <c r="H139" s="4" t="s">
        <v>1173</v>
      </c>
      <c r="I139" s="5" t="s">
        <v>1174</v>
      </c>
      <c r="J139" s="4" t="s">
        <v>174</v>
      </c>
      <c r="K139" s="4" t="s">
        <v>220</v>
      </c>
      <c r="L139" s="4" t="s">
        <v>1175</v>
      </c>
      <c r="M139" s="10" t="s">
        <v>177</v>
      </c>
      <c r="N139" s="10"/>
      <c r="O139" s="11">
        <v>2</v>
      </c>
      <c r="P139" s="11">
        <v>0</v>
      </c>
      <c r="Q139" s="13">
        <v>1.41E-2</v>
      </c>
      <c r="R139" s="14">
        <f>IF(OR($M139="Yes",$M139="Owner"),$C139*Cost!$B$6,0)</f>
        <v>30</v>
      </c>
      <c r="S139" s="16">
        <f t="shared" si="23"/>
        <v>0.42299999999999999</v>
      </c>
      <c r="T139" s="4" t="s">
        <v>178</v>
      </c>
      <c r="U139" s="19"/>
      <c r="V139" s="14">
        <f>IF($M139="Owner",$R139,IF($M139&lt;&gt;"Yes",0,MAX(IF(LEFT($T139,7)="Passive",$R139+MAX(Cost!$B$8,ROUNDUP(Cost!$B$7*$R139,0)),$R139+Cost!$B$9),N($U139))))</f>
        <v>32</v>
      </c>
      <c r="W139" s="16">
        <f t="shared" si="24"/>
        <v>0.45119999999999999</v>
      </c>
      <c r="X139" s="20" t="s">
        <v>1176</v>
      </c>
      <c r="Y139" s="4"/>
      <c r="Z139" s="21" t="s">
        <v>1177</v>
      </c>
      <c r="AA139" s="22">
        <f t="shared" si="25"/>
        <v>6</v>
      </c>
      <c r="AB139" s="22">
        <f>IF(OR($M139="Yes",$M139="Owner"),IF(COUNTIFS($H$4:$H139,$H139,$M$4:$M139,"Yes")+COUNTIFS($H$4:$H139,$H139,$M$4:$M139,"Owner")=1,1,0),0)</f>
        <v>1</v>
      </c>
      <c r="AC139" s="21" t="s">
        <v>579</v>
      </c>
      <c r="AD139" s="21" t="str">
        <f>MID($H139,18,FIND("L",$H139,18)-18)</f>
        <v>5K1</v>
      </c>
      <c r="AE139" s="23">
        <f>(SUBSTITUTE(SUBSTITUTE(SUBSTITUTE($AD139,"R","."),"K","."),"M",".")&amp;"0")*IF(ISNUMBER(FIND("K",$AD139)),1000,IF(ISNUMBER(FIND("M",$AD139)),10^6,1))</f>
        <v>5100</v>
      </c>
      <c r="AF139" s="23" cm="1">
        <f t="array" ref="AF139">LEFT($E139,FIND(" ",$E139)-1)*IFERROR(INDEX({1000,1000000,0.000000000001,0.000000001,0.000001},MATCH(MID($E139,FIND(" ",$E139)+1,1),{"k","M","p","n","µ"},0)),1)</f>
        <v>5100</v>
      </c>
      <c r="AG139" s="24" t="str">
        <f>IF(AND(RIGHT($E139,1)="Ω",ABS($AF139-$AE139)&lt;=Checks!$C$6*$AE139),"OK","CHECK")</f>
        <v>OK</v>
      </c>
    </row>
    <row r="140" spans="1:33" ht="27.75" customHeight="1" x14ac:dyDescent="0.2">
      <c r="A140" s="6" t="s">
        <v>1038</v>
      </c>
      <c r="B140" s="4" t="s">
        <v>1178</v>
      </c>
      <c r="C140" s="8">
        <v>5</v>
      </c>
      <c r="D140" s="4" t="s">
        <v>1179</v>
      </c>
      <c r="E140" s="5" t="s">
        <v>1180</v>
      </c>
      <c r="F140" s="5" t="s">
        <v>154</v>
      </c>
      <c r="G140" s="5" t="s">
        <v>1165</v>
      </c>
      <c r="H140" s="4" t="s">
        <v>1181</v>
      </c>
      <c r="I140" s="5" t="s">
        <v>1182</v>
      </c>
      <c r="J140" s="4" t="s">
        <v>174</v>
      </c>
      <c r="K140" s="4" t="s">
        <v>175</v>
      </c>
      <c r="L140" s="4" t="s">
        <v>1183</v>
      </c>
      <c r="M140" s="10" t="s">
        <v>177</v>
      </c>
      <c r="N140" s="10"/>
      <c r="O140" s="11">
        <v>2</v>
      </c>
      <c r="P140" s="11">
        <v>0</v>
      </c>
      <c r="Q140" s="13">
        <v>1.24E-2</v>
      </c>
      <c r="R140" s="14">
        <f>IF(OR($M140="Yes",$M140="Owner"),$C140*Cost!$B$6,0)</f>
        <v>25</v>
      </c>
      <c r="S140" s="16">
        <f t="shared" si="23"/>
        <v>0.31</v>
      </c>
      <c r="T140" s="4" t="s">
        <v>178</v>
      </c>
      <c r="U140" s="19"/>
      <c r="V140" s="14">
        <f>IF($M140="Owner",$R140,IF($M140&lt;&gt;"Yes",0,MAX(IF(LEFT($T140,7)="Passive",$R140+MAX(Cost!$B$8,ROUNDUP(Cost!$B$7*$R140,0)),$R140+Cost!$B$9),N($U140))))</f>
        <v>27</v>
      </c>
      <c r="W140" s="16">
        <f t="shared" si="24"/>
        <v>0.33479999999999999</v>
      </c>
      <c r="X140" s="20" t="s">
        <v>1184</v>
      </c>
      <c r="Y140" s="4"/>
      <c r="Z140" s="21" t="s">
        <v>1185</v>
      </c>
      <c r="AA140" s="22">
        <f t="shared" si="25"/>
        <v>5</v>
      </c>
      <c r="AB140" s="22">
        <f>IF(OR($M140="Yes",$M140="Owner"),IF(COUNTIFS($H$4:$H140,$H140,$M$4:$M140,"Yes")+COUNTIFS($H$4:$H140,$H140,$M$4:$M140,"Owner")=1,1,0),0)</f>
        <v>1</v>
      </c>
      <c r="AC140" s="21" t="s">
        <v>579</v>
      </c>
      <c r="AD140" s="21" t="str">
        <f>MID($H140,18,FIND("L",$H140,18)-18)</f>
        <v>16K9</v>
      </c>
      <c r="AE140" s="23">
        <f>(SUBSTITUTE(SUBSTITUTE(SUBSTITUTE($AD140,"R","."),"K","."),"M",".")&amp;"0")*IF(ISNUMBER(FIND("K",$AD140)),1000,IF(ISNUMBER(FIND("M",$AD140)),10^6,1))</f>
        <v>16900</v>
      </c>
      <c r="AF140" s="23" cm="1">
        <f t="array" ref="AF140">LEFT($E140,FIND(" ",$E140)-1)*IFERROR(INDEX({1000,1000000,0.000000000001,0.000000001,0.000001},MATCH(MID($E140,FIND(" ",$E140)+1,1),{"k","M","p","n","µ"},0)),1)</f>
        <v>16900</v>
      </c>
      <c r="AG140" s="24" t="str">
        <f>IF(AND(RIGHT($E140,1)="Ω",ABS($AF140-$AE140)&lt;=Checks!$C$6*$AE140),"OK","CHECK")</f>
        <v>OK</v>
      </c>
    </row>
    <row r="141" spans="1:33" ht="40.5" customHeight="1" x14ac:dyDescent="0.2">
      <c r="A141" s="6" t="s">
        <v>1038</v>
      </c>
      <c r="B141" s="4" t="s">
        <v>1186</v>
      </c>
      <c r="C141" s="8">
        <v>2</v>
      </c>
      <c r="D141" s="4" t="s">
        <v>1187</v>
      </c>
      <c r="E141" s="5" t="s">
        <v>1188</v>
      </c>
      <c r="F141" s="5" t="s">
        <v>154</v>
      </c>
      <c r="G141" s="5" t="s">
        <v>1189</v>
      </c>
      <c r="H141" s="4" t="s">
        <v>1190</v>
      </c>
      <c r="I141" s="5" t="s">
        <v>1191</v>
      </c>
      <c r="J141" s="4" t="s">
        <v>174</v>
      </c>
      <c r="K141" s="4" t="s">
        <v>175</v>
      </c>
      <c r="L141" s="4" t="s">
        <v>1192</v>
      </c>
      <c r="M141" s="10" t="s">
        <v>177</v>
      </c>
      <c r="N141" s="10"/>
      <c r="O141" s="11">
        <v>2</v>
      </c>
      <c r="P141" s="11">
        <v>0</v>
      </c>
      <c r="Q141" s="13">
        <v>3.4299999999999997E-2</v>
      </c>
      <c r="R141" s="14">
        <f>IF(OR($M141="Yes",$M141="Owner"),$C141*Cost!$B$6,0)</f>
        <v>10</v>
      </c>
      <c r="S141" s="16">
        <f t="shared" si="23"/>
        <v>0.34299999999999997</v>
      </c>
      <c r="T141" s="4" t="s">
        <v>178</v>
      </c>
      <c r="U141" s="19"/>
      <c r="V141" s="14">
        <f>IF($M141="Owner",$R141,IF($M141&lt;&gt;"Yes",0,MAX(IF(LEFT($T141,7)="Passive",$R141+MAX(Cost!$B$8,ROUNDUP(Cost!$B$7*$R141,0)),$R141+Cost!$B$9),N($U141))))</f>
        <v>12</v>
      </c>
      <c r="W141" s="16">
        <f t="shared" si="24"/>
        <v>0.41159999999999997</v>
      </c>
      <c r="X141" s="20" t="s">
        <v>1193</v>
      </c>
      <c r="Y141" s="4" t="s">
        <v>1194</v>
      </c>
      <c r="Z141" s="21" t="s">
        <v>1195</v>
      </c>
      <c r="AA141" s="22">
        <f t="shared" si="25"/>
        <v>2</v>
      </c>
      <c r="AB141" s="22">
        <f>IF(OR($M141="Yes",$M141="Owner"),IF(COUNTIFS($H$4:$H141,$H141,$M$4:$M141,"Yes")+COUNTIFS($H$4:$H141,$H141,$M$4:$M141,"Owner")=1,1,0),0)</f>
        <v>1</v>
      </c>
      <c r="AC141" s="21" t="s">
        <v>579</v>
      </c>
      <c r="AD141" s="21" t="str">
        <f>MID($H141,18,FIND("L",$H141,18)-18)</f>
        <v>24R9</v>
      </c>
      <c r="AE141" s="23">
        <f>(SUBSTITUTE(SUBSTITUTE(SUBSTITUTE($AD141,"R","."),"K","."),"M",".")&amp;"0")*IF(ISNUMBER(FIND("K",$AD141)),1000,IF(ISNUMBER(FIND("M",$AD141)),10^6,1))</f>
        <v>24.9</v>
      </c>
      <c r="AF141" s="23" cm="1">
        <f t="array" ref="AF141">LEFT($E141,FIND(" ",$E141)-1)*IFERROR(INDEX({1000,1000000,0.000000000001,0.000000001,0.000001},MATCH(MID($E141,FIND(" ",$E141)+1,1),{"k","M","p","n","µ"},0)),1)</f>
        <v>24.9</v>
      </c>
      <c r="AG141" s="24" t="str">
        <f>IF(AND(RIGHT($E141,1)="Ω",ABS($AF141-$AE141)&lt;=Checks!$C$6*$AE141),"OK","CHECK")</f>
        <v>OK</v>
      </c>
    </row>
    <row r="142" spans="1:33" ht="27.75" customHeight="1" x14ac:dyDescent="0.2">
      <c r="A142" s="6" t="s">
        <v>1038</v>
      </c>
      <c r="B142" s="4" t="s">
        <v>1196</v>
      </c>
      <c r="C142" s="8">
        <v>2</v>
      </c>
      <c r="D142" s="4" t="s">
        <v>1197</v>
      </c>
      <c r="E142" s="5" t="s">
        <v>412</v>
      </c>
      <c r="F142" s="5" t="s">
        <v>154</v>
      </c>
      <c r="G142" s="5" t="s">
        <v>229</v>
      </c>
      <c r="H142" s="4" t="s">
        <v>413</v>
      </c>
      <c r="I142" s="5" t="s">
        <v>414</v>
      </c>
      <c r="J142" s="4" t="s">
        <v>158</v>
      </c>
      <c r="K142" s="4" t="s">
        <v>175</v>
      </c>
      <c r="L142" s="4" t="s">
        <v>1057</v>
      </c>
      <c r="M142" s="10" t="s">
        <v>177</v>
      </c>
      <c r="N142" s="10"/>
      <c r="O142" s="11">
        <v>2</v>
      </c>
      <c r="P142" s="11">
        <v>0</v>
      </c>
      <c r="Q142" s="13">
        <v>5.0000000000000001E-4</v>
      </c>
      <c r="R142" s="14">
        <f>IF(OR($M142="Yes",$M142="Owner"),$C142*Cost!$B$6,0)</f>
        <v>10</v>
      </c>
      <c r="S142" s="16">
        <f t="shared" si="23"/>
        <v>5.0000000000000001E-3</v>
      </c>
      <c r="T142" s="4" t="s">
        <v>178</v>
      </c>
      <c r="U142" s="19"/>
      <c r="V142" s="14">
        <f>IF($M142="Owner",$R142,IF($M142&lt;&gt;"Yes",0,MAX(IF(LEFT($T142,7)="Passive",$R142+MAX(Cost!$B$8,ROUNDUP(Cost!$B$7*$R142,0)),$R142+Cost!$B$9),N($U142))))</f>
        <v>12</v>
      </c>
      <c r="W142" s="16">
        <f t="shared" si="24"/>
        <v>6.0000000000000001E-3</v>
      </c>
      <c r="X142" s="20" t="s">
        <v>415</v>
      </c>
      <c r="Y142" s="4"/>
      <c r="Z142" s="21" t="s">
        <v>1198</v>
      </c>
      <c r="AA142" s="22">
        <f t="shared" si="25"/>
        <v>2</v>
      </c>
      <c r="AB142" s="22">
        <f>IF(OR($M142="Yes",$M142="Owner"),IF(COUNTIFS($H$4:$H142,$H142,$M$4:$M142,"Yes")+COUNTIFS($H$4:$H142,$H142,$M$4:$M142,"Owner")=1,1,0),0)</f>
        <v>0</v>
      </c>
      <c r="AC142" s="21" t="s">
        <v>234</v>
      </c>
      <c r="AD142" s="21" t="str">
        <f>MID($H142,18,4)</f>
        <v>4701</v>
      </c>
      <c r="AE142" s="23">
        <f>LEFT($AD142,3)*IF(ISNUMBER(--RIGHT($AD142,1)),10^RIGHT($AD142,1),10^(0-FIND(RIGHT($AD142,1),"JKLM")))</f>
        <v>4700</v>
      </c>
      <c r="AF142" s="23" cm="1">
        <f t="array" ref="AF142">LEFT($E142,FIND(" ",$E142)-1)*IFERROR(INDEX({1000,1000000,0.000000000001,0.000000001,0.000001},MATCH(MID($E142,FIND(" ",$E142)+1,1),{"k","M","p","n","µ"},0)),1)</f>
        <v>4700</v>
      </c>
      <c r="AG142" s="24" t="str">
        <f>IF(AND(RIGHT($E142,1)="Ω",ABS($AF142-$AE142)&lt;=Checks!$C$6*$AE142),"OK","CHECK")</f>
        <v>OK</v>
      </c>
    </row>
    <row r="143" spans="1:33" ht="40.5" customHeight="1" x14ac:dyDescent="0.2">
      <c r="A143" s="6" t="s">
        <v>1038</v>
      </c>
      <c r="B143" s="4" t="s">
        <v>1199</v>
      </c>
      <c r="C143" s="8">
        <v>2</v>
      </c>
      <c r="D143" s="4" t="s">
        <v>1200</v>
      </c>
      <c r="E143" s="5" t="s">
        <v>1201</v>
      </c>
      <c r="F143" s="5" t="s">
        <v>154</v>
      </c>
      <c r="G143" s="5" t="s">
        <v>229</v>
      </c>
      <c r="H143" s="4" t="s">
        <v>1202</v>
      </c>
      <c r="I143" s="5" t="s">
        <v>1203</v>
      </c>
      <c r="J143" s="4" t="s">
        <v>158</v>
      </c>
      <c r="K143" s="4" t="s">
        <v>175</v>
      </c>
      <c r="L143" s="4" t="s">
        <v>1057</v>
      </c>
      <c r="M143" s="10" t="s">
        <v>177</v>
      </c>
      <c r="N143" s="10"/>
      <c r="O143" s="11">
        <v>2</v>
      </c>
      <c r="P143" s="11">
        <v>0</v>
      </c>
      <c r="Q143" s="13">
        <v>5.0000000000000001E-4</v>
      </c>
      <c r="R143" s="14">
        <f>IF(OR($M143="Yes",$M143="Owner"),$C143*Cost!$B$6,0)</f>
        <v>10</v>
      </c>
      <c r="S143" s="16">
        <f t="shared" si="23"/>
        <v>5.0000000000000001E-3</v>
      </c>
      <c r="T143" s="4" t="s">
        <v>178</v>
      </c>
      <c r="U143" s="19"/>
      <c r="V143" s="14">
        <f>IF($M143="Owner",$R143,IF($M143&lt;&gt;"Yes",0,MAX(IF(LEFT($T143,7)="Passive",$R143+MAX(Cost!$B$8,ROUNDUP(Cost!$B$7*$R143,0)),$R143+Cost!$B$9),N($U143))))</f>
        <v>12</v>
      </c>
      <c r="W143" s="16">
        <f t="shared" si="24"/>
        <v>6.0000000000000001E-3</v>
      </c>
      <c r="X143" s="20" t="s">
        <v>1204</v>
      </c>
      <c r="Y143" s="4" t="s">
        <v>1205</v>
      </c>
      <c r="Z143" s="21" t="s">
        <v>1206</v>
      </c>
      <c r="AA143" s="22">
        <f t="shared" si="25"/>
        <v>2</v>
      </c>
      <c r="AB143" s="22">
        <f>IF(OR($M143="Yes",$M143="Owner"),IF(COUNTIFS($H$4:$H143,$H143,$M$4:$M143,"Yes")+COUNTIFS($H$4:$H143,$H143,$M$4:$M143,"Owner")=1,1,0),0)</f>
        <v>1</v>
      </c>
      <c r="AC143" s="21" t="s">
        <v>234</v>
      </c>
      <c r="AD143" s="21" t="str">
        <f>MID($H143,18,4)</f>
        <v>1001</v>
      </c>
      <c r="AE143" s="23">
        <f>LEFT($AD143,3)*IF(ISNUMBER(--RIGHT($AD143,1)),10^RIGHT($AD143,1),10^(0-FIND(RIGHT($AD143,1),"JKLM")))</f>
        <v>1000</v>
      </c>
      <c r="AF143" s="23" cm="1">
        <f t="array" ref="AF143">LEFT($E143,FIND(" ",$E143)-1)*IFERROR(INDEX({1000,1000000,0.000000000001,0.000000001,0.000001},MATCH(MID($E143,FIND(" ",$E143)+1,1),{"k","M","p","n","µ"},0)),1)</f>
        <v>1000</v>
      </c>
      <c r="AG143" s="24" t="str">
        <f>IF(AND(RIGHT($E143,1)="Ω",ABS($AF143-$AE143)&lt;=Checks!$C$6*$AE143),"OK","CHECK")</f>
        <v>OK</v>
      </c>
    </row>
    <row r="144" spans="1:33" ht="117" customHeight="1" x14ac:dyDescent="0.2">
      <c r="A144" s="6" t="s">
        <v>1038</v>
      </c>
      <c r="B144" s="4" t="s">
        <v>1207</v>
      </c>
      <c r="C144" s="8">
        <v>13</v>
      </c>
      <c r="D144" s="4" t="s">
        <v>1208</v>
      </c>
      <c r="E144" s="5" t="s">
        <v>244</v>
      </c>
      <c r="F144" s="5" t="s">
        <v>154</v>
      </c>
      <c r="G144" s="5" t="s">
        <v>268</v>
      </c>
      <c r="H144" s="4" t="s">
        <v>245</v>
      </c>
      <c r="I144" s="5" t="s">
        <v>246</v>
      </c>
      <c r="J144" s="4" t="s">
        <v>158</v>
      </c>
      <c r="K144" s="4" t="s">
        <v>175</v>
      </c>
      <c r="L144" s="4" t="s">
        <v>1057</v>
      </c>
      <c r="M144" s="10" t="s">
        <v>177</v>
      </c>
      <c r="N144" s="10"/>
      <c r="O144" s="11">
        <v>2</v>
      </c>
      <c r="P144" s="11">
        <v>0</v>
      </c>
      <c r="Q144" s="13">
        <v>5.0000000000000001E-4</v>
      </c>
      <c r="R144" s="14">
        <f>IF(OR($M144="Yes",$M144="Owner"),$C144*Cost!$B$6,0)</f>
        <v>65</v>
      </c>
      <c r="S144" s="16">
        <f t="shared" si="23"/>
        <v>3.2500000000000001E-2</v>
      </c>
      <c r="T144" s="4" t="s">
        <v>178</v>
      </c>
      <c r="U144" s="19"/>
      <c r="V144" s="14">
        <f>IF($M144="Owner",$R144,IF($M144&lt;&gt;"Yes",0,MAX(IF(LEFT($T144,7)="Passive",$R144+MAX(Cost!$B$8,ROUNDUP(Cost!$B$7*$R144,0)),$R144+Cost!$B$9),N($U144))))</f>
        <v>69</v>
      </c>
      <c r="W144" s="16">
        <f t="shared" si="24"/>
        <v>3.4500000000000003E-2</v>
      </c>
      <c r="X144" s="20" t="s">
        <v>247</v>
      </c>
      <c r="Y144" s="4" t="s">
        <v>1209</v>
      </c>
      <c r="Z144" s="21" t="s">
        <v>1210</v>
      </c>
      <c r="AA144" s="22">
        <f t="shared" si="25"/>
        <v>13</v>
      </c>
      <c r="AB144" s="22">
        <f>IF(OR($M144="Yes",$M144="Owner"),IF(COUNTIFS($H$4:$H144,$H144,$M$4:$M144,"Yes")+COUNTIFS($H$4:$H144,$H144,$M$4:$M144,"Owner")=1,1,0),0)</f>
        <v>0</v>
      </c>
      <c r="AC144" s="21" t="s">
        <v>234</v>
      </c>
      <c r="AD144" s="21" t="str">
        <f>MID($H144,18,4)</f>
        <v>1003</v>
      </c>
      <c r="AE144" s="23">
        <f>LEFT($AD144,3)*IF(ISNUMBER(--RIGHT($AD144,1)),10^RIGHT($AD144,1),10^(0-FIND(RIGHT($AD144,1),"JKLM")))</f>
        <v>100000</v>
      </c>
      <c r="AF144" s="23" cm="1">
        <f t="array" ref="AF144">LEFT($E144,FIND(" ",$E144)-1)*IFERROR(INDEX({1000,1000000,0.000000000001,0.000000001,0.000001},MATCH(MID($E144,FIND(" ",$E144)+1,1),{"k","M","p","n","µ"},0)),1)</f>
        <v>100000</v>
      </c>
      <c r="AG144" s="24" t="str">
        <f>IF(AND(RIGHT($E144,1)="Ω",ABS($AF144-$AE144)&lt;=Checks!$C$6*$AE144),"OK","CHECK")</f>
        <v>OK</v>
      </c>
    </row>
    <row r="145" spans="1:33" ht="53.25" customHeight="1" x14ac:dyDescent="0.2">
      <c r="A145" s="6" t="s">
        <v>1038</v>
      </c>
      <c r="B145" s="4" t="s">
        <v>1211</v>
      </c>
      <c r="C145" s="8">
        <v>7</v>
      </c>
      <c r="D145" s="4" t="s">
        <v>1212</v>
      </c>
      <c r="E145" s="5" t="s">
        <v>244</v>
      </c>
      <c r="F145" s="5" t="s">
        <v>154</v>
      </c>
      <c r="G145" s="5" t="s">
        <v>1165</v>
      </c>
      <c r="H145" s="4" t="s">
        <v>1213</v>
      </c>
      <c r="I145" s="5" t="s">
        <v>1214</v>
      </c>
      <c r="J145" s="4" t="s">
        <v>174</v>
      </c>
      <c r="K145" s="4" t="s">
        <v>175</v>
      </c>
      <c r="L145" s="4" t="s">
        <v>1215</v>
      </c>
      <c r="M145" s="10" t="s">
        <v>177</v>
      </c>
      <c r="N145" s="10"/>
      <c r="O145" s="11">
        <v>2</v>
      </c>
      <c r="P145" s="11">
        <v>0</v>
      </c>
      <c r="Q145" s="13">
        <v>1.95E-2</v>
      </c>
      <c r="R145" s="14">
        <f>IF(OR($M145="Yes",$M145="Owner"),$C145*Cost!$B$6,0)</f>
        <v>35</v>
      </c>
      <c r="S145" s="16">
        <f t="shared" si="23"/>
        <v>0.6825</v>
      </c>
      <c r="T145" s="4" t="s">
        <v>178</v>
      </c>
      <c r="U145" s="19"/>
      <c r="V145" s="14">
        <f>IF($M145="Owner",$R145,IF($M145&lt;&gt;"Yes",0,MAX(IF(LEFT($T145,7)="Passive",$R145+MAX(Cost!$B$8,ROUNDUP(Cost!$B$7*$R145,0)),$R145+Cost!$B$9),N($U145))))</f>
        <v>37</v>
      </c>
      <c r="W145" s="16">
        <f t="shared" si="24"/>
        <v>0.72150000000000003</v>
      </c>
      <c r="X145" s="20" t="s">
        <v>1216</v>
      </c>
      <c r="Y145" s="4" t="s">
        <v>1217</v>
      </c>
      <c r="Z145" s="21" t="s">
        <v>1218</v>
      </c>
      <c r="AA145" s="22">
        <f t="shared" si="25"/>
        <v>7</v>
      </c>
      <c r="AB145" s="22">
        <f>IF(OR($M145="Yes",$M145="Owner"),IF(COUNTIFS($H$4:$H145,$H145,$M$4:$M145,"Yes")+COUNTIFS($H$4:$H145,$H145,$M$4:$M145,"Owner")=1,1,0),0)</f>
        <v>1</v>
      </c>
      <c r="AC145" s="21" t="s">
        <v>579</v>
      </c>
      <c r="AD145" s="21" t="str">
        <f>MID($H145,18,FIND("L",$H145,18)-18)</f>
        <v>100K</v>
      </c>
      <c r="AE145" s="23">
        <f>(SUBSTITUTE(SUBSTITUTE(SUBSTITUTE($AD145,"R","."),"K","."),"M",".")&amp;"0")*IF(ISNUMBER(FIND("K",$AD145)),1000,IF(ISNUMBER(FIND("M",$AD145)),10^6,1))</f>
        <v>100000</v>
      </c>
      <c r="AF145" s="23" cm="1">
        <f t="array" ref="AF145">LEFT($E145,FIND(" ",$E145)-1)*IFERROR(INDEX({1000,1000000,0.000000000001,0.000000001,0.000001},MATCH(MID($E145,FIND(" ",$E145)+1,1),{"k","M","p","n","µ"},0)),1)</f>
        <v>100000</v>
      </c>
      <c r="AG145" s="24" t="str">
        <f>IF(AND(RIGHT($E145,1)="Ω",ABS($AF145-$AE145)&lt;=Checks!$C$6*$AE145),"OK","CHECK")</f>
        <v>OK</v>
      </c>
    </row>
    <row r="146" spans="1:33" ht="27.75" customHeight="1" x14ac:dyDescent="0.2">
      <c r="A146" s="6" t="s">
        <v>1038</v>
      </c>
      <c r="B146" s="4" t="s">
        <v>1219</v>
      </c>
      <c r="C146" s="8">
        <v>3</v>
      </c>
      <c r="D146" s="4" t="s">
        <v>1220</v>
      </c>
      <c r="E146" s="5" t="s">
        <v>750</v>
      </c>
      <c r="F146" s="5" t="s">
        <v>154</v>
      </c>
      <c r="G146" s="5" t="s">
        <v>1165</v>
      </c>
      <c r="H146" s="4" t="s">
        <v>1221</v>
      </c>
      <c r="I146" s="5" t="s">
        <v>1222</v>
      </c>
      <c r="J146" s="4" t="s">
        <v>174</v>
      </c>
      <c r="K146" s="4" t="s">
        <v>175</v>
      </c>
      <c r="L146" s="4" t="s">
        <v>1223</v>
      </c>
      <c r="M146" s="10" t="s">
        <v>177</v>
      </c>
      <c r="N146" s="10"/>
      <c r="O146" s="11">
        <v>2</v>
      </c>
      <c r="P146" s="11">
        <v>0</v>
      </c>
      <c r="Q146" s="13">
        <v>1.04E-2</v>
      </c>
      <c r="R146" s="14">
        <f>IF(OR($M146="Yes",$M146="Owner"),$C146*Cost!$B$6,0)</f>
        <v>15</v>
      </c>
      <c r="S146" s="16">
        <f t="shared" si="23"/>
        <v>0.156</v>
      </c>
      <c r="T146" s="4" t="s">
        <v>178</v>
      </c>
      <c r="U146" s="19"/>
      <c r="V146" s="14">
        <f>IF($M146="Owner",$R146,IF($M146&lt;&gt;"Yes",0,MAX(IF(LEFT($T146,7)="Passive",$R146+MAX(Cost!$B$8,ROUNDUP(Cost!$B$7*$R146,0)),$R146+Cost!$B$9),N($U146))))</f>
        <v>17</v>
      </c>
      <c r="W146" s="16">
        <f t="shared" si="24"/>
        <v>0.17679999999999998</v>
      </c>
      <c r="X146" s="20" t="s">
        <v>1224</v>
      </c>
      <c r="Z146" s="21" t="s">
        <v>1225</v>
      </c>
      <c r="AA146" s="22">
        <f t="shared" si="25"/>
        <v>3</v>
      </c>
      <c r="AB146" s="22">
        <f>IF(OR($M146="Yes",$M146="Owner"),IF(COUNTIFS($H$4:$H146,$H146,$M$4:$M146,"Yes")+COUNTIFS($H$4:$H146,$H146,$M$4:$M146,"Owner")=1,1,0),0)</f>
        <v>1</v>
      </c>
      <c r="AC146" s="21" t="s">
        <v>579</v>
      </c>
      <c r="AD146" s="21" t="str">
        <f>MID($H146,18,FIND("L",$H146,18)-18)</f>
        <v>10K</v>
      </c>
      <c r="AE146" s="23">
        <f>(SUBSTITUTE(SUBSTITUTE(SUBSTITUTE($AD146,"R","."),"K","."),"M",".")&amp;"0")*IF(ISNUMBER(FIND("K",$AD146)),1000,IF(ISNUMBER(FIND("M",$AD146)),10^6,1))</f>
        <v>10000</v>
      </c>
      <c r="AF146" s="23" cm="1">
        <f t="array" ref="AF146">LEFT($E146,FIND(" ",$E146)-1)*IFERROR(INDEX({1000,1000000,0.000000000001,0.000000001,0.000001},MATCH(MID($E146,FIND(" ",$E146)+1,1),{"k","M","p","n","µ"},0)),1)</f>
        <v>10000</v>
      </c>
      <c r="AG146" s="24" t="str">
        <f>IF(AND(RIGHT($E146,1)="Ω",ABS($AF146-$AE146)&lt;=Checks!$C$6*$AE146),"OK","CHECK")</f>
        <v>OK</v>
      </c>
    </row>
    <row r="147" spans="1:33" ht="78.75" customHeight="1" x14ac:dyDescent="0.2">
      <c r="A147" s="6" t="s">
        <v>1038</v>
      </c>
      <c r="B147" s="4" t="s">
        <v>1226</v>
      </c>
      <c r="C147" s="8">
        <v>11</v>
      </c>
      <c r="D147" s="4" t="s">
        <v>1227</v>
      </c>
      <c r="E147" s="5" t="s">
        <v>1228</v>
      </c>
      <c r="F147" s="5" t="s">
        <v>154</v>
      </c>
      <c r="G147" s="5" t="s">
        <v>1229</v>
      </c>
      <c r="H147" s="4" t="s">
        <v>1230</v>
      </c>
      <c r="I147" s="5" t="s">
        <v>1231</v>
      </c>
      <c r="J147" s="4" t="s">
        <v>174</v>
      </c>
      <c r="K147" s="4" t="s">
        <v>175</v>
      </c>
      <c r="L147" s="4" t="s">
        <v>1232</v>
      </c>
      <c r="M147" s="10" t="s">
        <v>177</v>
      </c>
      <c r="N147" s="10"/>
      <c r="O147" s="11">
        <v>2</v>
      </c>
      <c r="P147" s="11">
        <v>0</v>
      </c>
      <c r="Q147" s="13">
        <v>8.0000000000000004E-4</v>
      </c>
      <c r="R147" s="14">
        <f>IF(OR($M147="Yes",$M147="Owner"),$C147*Cost!$B$6,0)</f>
        <v>55</v>
      </c>
      <c r="S147" s="16">
        <f t="shared" si="23"/>
        <v>4.4000000000000004E-2</v>
      </c>
      <c r="T147" s="4" t="s">
        <v>178</v>
      </c>
      <c r="U147" s="19"/>
      <c r="V147" s="14">
        <f>IF($M147="Owner",$R147,IF($M147&lt;&gt;"Yes",0,MAX(IF(LEFT($T147,7)="Passive",$R147+MAX(Cost!$B$8,ROUNDUP(Cost!$B$7*$R147,0)),$R147+Cost!$B$9),N($U147))))</f>
        <v>58</v>
      </c>
      <c r="W147" s="16">
        <f t="shared" si="24"/>
        <v>4.6400000000000004E-2</v>
      </c>
      <c r="X147" s="20" t="s">
        <v>1233</v>
      </c>
      <c r="Y147" s="4" t="s">
        <v>1234</v>
      </c>
      <c r="Z147" s="21" t="s">
        <v>1235</v>
      </c>
      <c r="AA147" s="22">
        <f t="shared" si="25"/>
        <v>11</v>
      </c>
      <c r="AB147" s="22">
        <f>IF(OR($M147="Yes",$M147="Owner"),IF(COUNTIFS($H$4:$H147,$H147,$M$4:$M147,"Yes")+COUNTIFS($H$4:$H147,$H147,$M$4:$M147,"Owner")=1,1,0),0)</f>
        <v>1</v>
      </c>
      <c r="AC147" s="21" t="s">
        <v>234</v>
      </c>
      <c r="AD147" s="21" t="str">
        <f>MID($H147,18,4)</f>
        <v>3303</v>
      </c>
      <c r="AE147" s="23">
        <f>LEFT($AD147,3)*IF(ISNUMBER(--RIGHT($AD147,1)),10^RIGHT($AD147,1),10^(0-FIND(RIGHT($AD147,1),"JKLM")))</f>
        <v>330000</v>
      </c>
      <c r="AF147" s="23" cm="1">
        <f t="array" ref="AF147">LEFT($E147,FIND(" ",$E147)-1)*IFERROR(INDEX({1000,1000000,0.000000000001,0.000000001,0.000001},MATCH(MID($E147,FIND(" ",$E147)+1,1),{"k","M","p","n","µ"},0)),1)</f>
        <v>330000</v>
      </c>
      <c r="AG147" s="24" t="str">
        <f>IF(AND(RIGHT($E147,1)="Ω",ABS($AF147-$AE147)&lt;=Checks!$C$6*$AE147),"OK","CHECK")</f>
        <v>OK</v>
      </c>
    </row>
    <row r="148" spans="1:33" ht="40.5" customHeight="1" x14ac:dyDescent="0.2">
      <c r="A148" s="6" t="s">
        <v>1038</v>
      </c>
      <c r="B148" s="4" t="s">
        <v>1236</v>
      </c>
      <c r="C148" s="8">
        <v>1</v>
      </c>
      <c r="D148" s="4" t="s">
        <v>1237</v>
      </c>
      <c r="E148" s="5" t="s">
        <v>400</v>
      </c>
      <c r="F148" s="5" t="s">
        <v>154</v>
      </c>
      <c r="G148" s="5" t="s">
        <v>229</v>
      </c>
      <c r="H148" s="4" t="s">
        <v>401</v>
      </c>
      <c r="I148" s="5" t="s">
        <v>402</v>
      </c>
      <c r="J148" s="4" t="s">
        <v>158</v>
      </c>
      <c r="K148" s="4" t="s">
        <v>175</v>
      </c>
      <c r="L148" s="4" t="s">
        <v>1238</v>
      </c>
      <c r="M148" s="10" t="s">
        <v>177</v>
      </c>
      <c r="N148" s="10"/>
      <c r="O148" s="11">
        <v>2</v>
      </c>
      <c r="P148" s="11">
        <v>0</v>
      </c>
      <c r="Q148" s="13">
        <v>1E-3</v>
      </c>
      <c r="R148" s="14">
        <f>IF(OR($M148="Yes",$M148="Owner"),$C148*Cost!$B$6,0)</f>
        <v>5</v>
      </c>
      <c r="S148" s="16">
        <f t="shared" si="23"/>
        <v>5.0000000000000001E-3</v>
      </c>
      <c r="T148" s="4" t="s">
        <v>178</v>
      </c>
      <c r="U148" s="19"/>
      <c r="V148" s="14">
        <f>IF($M148="Owner",$R148,IF($M148&lt;&gt;"Yes",0,MAX(IF(LEFT($T148,7)="Passive",$R148+MAX(Cost!$B$8,ROUNDUP(Cost!$B$7*$R148,0)),$R148+Cost!$B$9),N($U148))))</f>
        <v>7</v>
      </c>
      <c r="W148" s="16">
        <f t="shared" si="24"/>
        <v>7.0000000000000001E-3</v>
      </c>
      <c r="X148" s="20"/>
      <c r="Y148" s="4" t="s">
        <v>1239</v>
      </c>
      <c r="Z148" s="21" t="s">
        <v>1240</v>
      </c>
      <c r="AA148" s="22">
        <f t="shared" si="25"/>
        <v>1</v>
      </c>
      <c r="AB148" s="22">
        <f>IF(OR($M148="Yes",$M148="Owner"),IF(COUNTIFS($H$4:$H148,$H148,$M$4:$M148,"Yes")+COUNTIFS($H$4:$H148,$H148,$M$4:$M148,"Owner")=1,1,0),0)</f>
        <v>0</v>
      </c>
      <c r="AC148" s="21" t="s">
        <v>234</v>
      </c>
      <c r="AD148" s="21" t="str">
        <f>MID($H148,18,4)</f>
        <v>3300</v>
      </c>
      <c r="AE148" s="23">
        <f>LEFT($AD148,3)*IF(ISNUMBER(--RIGHT($AD148,1)),10^RIGHT($AD148,1),10^(0-FIND(RIGHT($AD148,1),"JKLM")))</f>
        <v>330</v>
      </c>
      <c r="AF148" s="23" cm="1">
        <f t="array" ref="AF148">LEFT($E148,FIND(" ",$E148)-1)*IFERROR(INDEX({1000,1000000,0.000000000001,0.000000001,0.000001},MATCH(MID($E148,FIND(" ",$E148)+1,1),{"k","M","p","n","µ"},0)),1)</f>
        <v>330</v>
      </c>
      <c r="AG148" s="24" t="str">
        <f>IF(AND(RIGHT($E148,1)="Ω",ABS($AF148-$AE148)&lt;=Checks!$C$6*$AE148),"OK","CHECK")</f>
        <v>OK</v>
      </c>
    </row>
    <row r="149" spans="1:33" ht="66" customHeight="1" x14ac:dyDescent="0.2">
      <c r="A149" s="6" t="s">
        <v>1038</v>
      </c>
      <c r="B149" s="4" t="s">
        <v>1241</v>
      </c>
      <c r="C149" s="8">
        <v>8</v>
      </c>
      <c r="D149" s="4" t="s">
        <v>1242</v>
      </c>
      <c r="E149" s="5" t="s">
        <v>1243</v>
      </c>
      <c r="F149" s="5" t="s">
        <v>154</v>
      </c>
      <c r="G149" s="5" t="s">
        <v>1229</v>
      </c>
      <c r="H149" s="4" t="s">
        <v>1244</v>
      </c>
      <c r="I149" s="5" t="s">
        <v>1245</v>
      </c>
      <c r="J149" s="4" t="s">
        <v>158</v>
      </c>
      <c r="K149" s="4" t="s">
        <v>175</v>
      </c>
      <c r="L149" s="4" t="s">
        <v>1246</v>
      </c>
      <c r="M149" s="10" t="s">
        <v>177</v>
      </c>
      <c r="N149" s="10"/>
      <c r="O149" s="11">
        <v>2</v>
      </c>
      <c r="P149" s="11">
        <v>0</v>
      </c>
      <c r="Q149" s="13">
        <v>2.5999999999999999E-3</v>
      </c>
      <c r="R149" s="14">
        <f>IF(OR($M149="Yes",$M149="Owner"),$C149*Cost!$B$6,0)</f>
        <v>40</v>
      </c>
      <c r="S149" s="16">
        <f t="shared" si="23"/>
        <v>0.104</v>
      </c>
      <c r="T149" s="4" t="s">
        <v>178</v>
      </c>
      <c r="U149" s="19"/>
      <c r="V149" s="14">
        <f>IF($M149="Owner",$R149,IF($M149&lt;&gt;"Yes",0,MAX(IF(LEFT($T149,7)="Passive",$R149+MAX(Cost!$B$8,ROUNDUP(Cost!$B$7*$R149,0)),$R149+Cost!$B$9),N($U149))))</f>
        <v>42</v>
      </c>
      <c r="W149" s="16">
        <f t="shared" si="24"/>
        <v>0.10919999999999999</v>
      </c>
      <c r="X149" s="20" t="s">
        <v>1247</v>
      </c>
      <c r="Y149" s="4" t="s">
        <v>1248</v>
      </c>
      <c r="Z149" s="21" t="s">
        <v>1249</v>
      </c>
      <c r="AA149" s="22">
        <f t="shared" si="25"/>
        <v>8</v>
      </c>
      <c r="AB149" s="22">
        <f>IF(OR($M149="Yes",$M149="Owner"),IF(COUNTIFS($H$4:$H149,$H149,$M$4:$M149,"Yes")+COUNTIFS($H$4:$H149,$H149,$M$4:$M149,"Owner")=1,1,0),0)</f>
        <v>1</v>
      </c>
      <c r="AC149" s="21" t="s">
        <v>234</v>
      </c>
      <c r="AD149" s="21" t="str">
        <f>MID($H149,18,4)</f>
        <v>1004</v>
      </c>
      <c r="AE149" s="23">
        <f>LEFT($AD149,3)*IF(ISNUMBER(--RIGHT($AD149,1)),10^RIGHT($AD149,1),10^(0-FIND(RIGHT($AD149,1),"JKLM")))</f>
        <v>1000000</v>
      </c>
      <c r="AF149" s="23" cm="1">
        <f t="array" ref="AF149">LEFT($E149,FIND(" ",$E149)-1)*IFERROR(INDEX({1000,1000000,0.000000000001,0.000000001,0.000001},MATCH(MID($E149,FIND(" ",$E149)+1,1),{"k","M","p","n","µ"},0)),1)</f>
        <v>1000000</v>
      </c>
      <c r="AG149" s="24" t="str">
        <f>IF(AND(RIGHT($E149,1)="Ω",ABS($AF149-$AE149)&lt;=Checks!$C$6*$AE149),"OK","CHECK")</f>
        <v>OK</v>
      </c>
    </row>
    <row r="150" spans="1:33" ht="78.75" customHeight="1" x14ac:dyDescent="0.2">
      <c r="A150" s="6" t="s">
        <v>1038</v>
      </c>
      <c r="B150" s="4" t="s">
        <v>1250</v>
      </c>
      <c r="C150" s="8">
        <v>1</v>
      </c>
      <c r="D150" s="4" t="s">
        <v>1251</v>
      </c>
      <c r="E150" s="5" t="s">
        <v>1252</v>
      </c>
      <c r="F150" s="5" t="s">
        <v>154</v>
      </c>
      <c r="G150" s="5" t="s">
        <v>1229</v>
      </c>
      <c r="H150" s="4" t="s">
        <v>1253</v>
      </c>
      <c r="I150" s="5" t="s">
        <v>1254</v>
      </c>
      <c r="J150" s="4" t="s">
        <v>174</v>
      </c>
      <c r="K150" s="4" t="s">
        <v>175</v>
      </c>
      <c r="L150" s="4" t="s">
        <v>1255</v>
      </c>
      <c r="M150" s="10" t="s">
        <v>177</v>
      </c>
      <c r="N150" s="10"/>
      <c r="O150" s="11">
        <v>2</v>
      </c>
      <c r="P150" s="11">
        <v>0</v>
      </c>
      <c r="Q150" s="13">
        <v>8.0000000000000004E-4</v>
      </c>
      <c r="R150" s="14">
        <f>IF(OR($M150="Yes",$M150="Owner"),$C150*Cost!$B$6,0)</f>
        <v>5</v>
      </c>
      <c r="S150" s="16">
        <f t="shared" si="23"/>
        <v>4.0000000000000001E-3</v>
      </c>
      <c r="T150" s="4" t="s">
        <v>178</v>
      </c>
      <c r="U150" s="19"/>
      <c r="V150" s="14">
        <f>IF($M150="Owner",$R150,IF($M150&lt;&gt;"Yes",0,MAX(IF(LEFT($T150,7)="Passive",$R150+MAX(Cost!$B$8,ROUNDUP(Cost!$B$7*$R150,0)),$R150+Cost!$B$9),N($U150))))</f>
        <v>7</v>
      </c>
      <c r="W150" s="16">
        <f t="shared" si="24"/>
        <v>5.5999999999999999E-3</v>
      </c>
      <c r="X150" s="20" t="s">
        <v>1256</v>
      </c>
      <c r="Y150" s="4" t="s">
        <v>1257</v>
      </c>
      <c r="Z150" s="21" t="s">
        <v>1258</v>
      </c>
      <c r="AA150" s="22">
        <f t="shared" si="25"/>
        <v>1</v>
      </c>
      <c r="AB150" s="22">
        <f>IF(OR($M150="Yes",$M150="Owner"),IF(COUNTIFS($H$4:$H150,$H150,$M$4:$M150,"Yes")+COUNTIFS($H$4:$H150,$H150,$M$4:$M150,"Owner")=1,1,0),0)</f>
        <v>1</v>
      </c>
      <c r="AC150" s="21" t="s">
        <v>1259</v>
      </c>
      <c r="AD150" s="21" t="str">
        <f>MID($H150,13,4)</f>
        <v>2204</v>
      </c>
      <c r="AE150" s="23">
        <f>LEFT($AD150,3)*IF(ISNUMBER(--RIGHT($AD150,1)),10^RIGHT($AD150,1),10^(0-FIND(RIGHT($AD150,1),"JKLM")))</f>
        <v>2200000</v>
      </c>
      <c r="AF150" s="23" cm="1">
        <f t="array" ref="AF150">LEFT($E150,FIND(" ",$E150)-1)*IFERROR(INDEX({1000,1000000,0.000000000001,0.000000001,0.000001},MATCH(MID($E150,FIND(" ",$E150)+1,1),{"k","M","p","n","µ"},0)),1)</f>
        <v>2200000</v>
      </c>
      <c r="AG150" s="24" t="str">
        <f>IF(AND(RIGHT($E150,1)="Ω",ABS($AF150-$AE150)&lt;=Checks!$C$6*$AE150),"OK","CHECK")</f>
        <v>OK</v>
      </c>
    </row>
    <row r="151" spans="1:33" ht="40.5" customHeight="1" x14ac:dyDescent="0.2">
      <c r="A151" s="6" t="s">
        <v>1038</v>
      </c>
      <c r="B151" s="4" t="s">
        <v>1260</v>
      </c>
      <c r="C151" s="8">
        <v>1</v>
      </c>
      <c r="D151" s="4" t="s">
        <v>1261</v>
      </c>
      <c r="E151" s="5" t="s">
        <v>1262</v>
      </c>
      <c r="F151" s="5" t="s">
        <v>154</v>
      </c>
      <c r="G151" s="5" t="s">
        <v>1165</v>
      </c>
      <c r="H151" s="4" t="s">
        <v>1263</v>
      </c>
      <c r="I151" s="5" t="s">
        <v>1264</v>
      </c>
      <c r="J151" s="4" t="s">
        <v>174</v>
      </c>
      <c r="K151" s="4" t="s">
        <v>175</v>
      </c>
      <c r="L151" s="4" t="s">
        <v>1265</v>
      </c>
      <c r="M151" s="10" t="s">
        <v>177</v>
      </c>
      <c r="N151" s="10"/>
      <c r="O151" s="11">
        <v>2</v>
      </c>
      <c r="P151" s="11">
        <v>0</v>
      </c>
      <c r="Q151" s="13">
        <v>2.9499999999999998E-2</v>
      </c>
      <c r="R151" s="14">
        <f>IF(OR($M151="Yes",$M151="Owner"),$C151*Cost!$B$6,0)</f>
        <v>5</v>
      </c>
      <c r="S151" s="16">
        <f t="shared" si="23"/>
        <v>0.14749999999999999</v>
      </c>
      <c r="T151" s="4" t="s">
        <v>178</v>
      </c>
      <c r="U151" s="19"/>
      <c r="V151" s="14">
        <f>IF($M151="Owner",$R151,IF($M151&lt;&gt;"Yes",0,MAX(IF(LEFT($T151,7)="Passive",$R151+MAX(Cost!$B$8,ROUNDUP(Cost!$B$7*$R151,0)),$R151+Cost!$B$9),N($U151))))</f>
        <v>7</v>
      </c>
      <c r="W151" s="16">
        <f t="shared" si="24"/>
        <v>0.20649999999999999</v>
      </c>
      <c r="X151" s="20" t="s">
        <v>1266</v>
      </c>
      <c r="Y151" s="4" t="s">
        <v>1267</v>
      </c>
      <c r="Z151" s="21" t="s">
        <v>1268</v>
      </c>
      <c r="AA151" s="22">
        <f t="shared" si="25"/>
        <v>1</v>
      </c>
      <c r="AB151" s="22">
        <f>IF(OR($M151="Yes",$M151="Owner"),IF(COUNTIFS($H$4:$H151,$H151,$M$4:$M151,"Yes")+COUNTIFS($H$4:$H151,$H151,$M$4:$M151,"Owner")=1,1,0),0)</f>
        <v>1</v>
      </c>
      <c r="AC151" s="21" t="s">
        <v>579</v>
      </c>
      <c r="AD151" s="21" t="str">
        <f>MID($H151,18,FIND("L",$H151,18)-18)</f>
        <v>237K</v>
      </c>
      <c r="AE151" s="23">
        <f>(SUBSTITUTE(SUBSTITUTE(SUBSTITUTE($AD151,"R","."),"K","."),"M",".")&amp;"0")*IF(ISNUMBER(FIND("K",$AD151)),1000,IF(ISNUMBER(FIND("M",$AD151)),10^6,1))</f>
        <v>237000</v>
      </c>
      <c r="AF151" s="23" cm="1">
        <f t="array" ref="AF151">LEFT($E151,FIND(" ",$E151)-1)*IFERROR(INDEX({1000,1000000,0.000000000001,0.000000001,0.000001},MATCH(MID($E151,FIND(" ",$E151)+1,1),{"k","M","p","n","µ"},0)),1)</f>
        <v>237000</v>
      </c>
      <c r="AG151" s="24" t="str">
        <f>IF(AND(RIGHT($E151,1)="Ω",ABS($AF151-$AE151)&lt;=Checks!$C$6*$AE151),"OK","CHECK")</f>
        <v>OK</v>
      </c>
    </row>
    <row r="152" spans="1:33" ht="27.75" customHeight="1" x14ac:dyDescent="0.2">
      <c r="A152" s="6" t="s">
        <v>1038</v>
      </c>
      <c r="B152" s="4" t="s">
        <v>1269</v>
      </c>
      <c r="C152" s="8">
        <v>1</v>
      </c>
      <c r="D152" s="4" t="s">
        <v>1270</v>
      </c>
      <c r="E152" s="5" t="s">
        <v>1271</v>
      </c>
      <c r="F152" s="5" t="s">
        <v>154</v>
      </c>
      <c r="G152" s="5" t="s">
        <v>229</v>
      </c>
      <c r="H152" s="4" t="s">
        <v>1272</v>
      </c>
      <c r="I152" s="5" t="s">
        <v>1273</v>
      </c>
      <c r="J152" s="4" t="s">
        <v>158</v>
      </c>
      <c r="K152" s="4" t="s">
        <v>175</v>
      </c>
      <c r="L152" s="4" t="s">
        <v>1274</v>
      </c>
      <c r="M152" s="10" t="s">
        <v>177</v>
      </c>
      <c r="N152" s="10"/>
      <c r="O152" s="11">
        <v>2</v>
      </c>
      <c r="P152" s="11">
        <v>0</v>
      </c>
      <c r="Q152" s="13">
        <v>2E-3</v>
      </c>
      <c r="R152" s="14">
        <f>IF(OR($M152="Yes",$M152="Owner"),$C152*Cost!$B$6,0)</f>
        <v>5</v>
      </c>
      <c r="S152" s="16">
        <f t="shared" si="23"/>
        <v>0.01</v>
      </c>
      <c r="T152" s="4" t="s">
        <v>178</v>
      </c>
      <c r="U152" s="19"/>
      <c r="V152" s="14">
        <f>IF($M152="Owner",$R152,IF($M152&lt;&gt;"Yes",0,MAX(IF(LEFT($T152,7)="Passive",$R152+MAX(Cost!$B$8,ROUNDUP(Cost!$B$7*$R152,0)),$R152+Cost!$B$9),N($U152))))</f>
        <v>7</v>
      </c>
      <c r="W152" s="16">
        <f t="shared" si="24"/>
        <v>1.4E-2</v>
      </c>
      <c r="X152" s="20" t="s">
        <v>1275</v>
      </c>
      <c r="Y152" s="4" t="s">
        <v>1276</v>
      </c>
      <c r="Z152" s="21" t="s">
        <v>1277</v>
      </c>
      <c r="AA152" s="22">
        <f t="shared" si="25"/>
        <v>1</v>
      </c>
      <c r="AB152" s="22">
        <f>IF(OR($M152="Yes",$M152="Owner"),IF(COUNTIFS($H$4:$H152,$H152,$M$4:$M152,"Yes")+COUNTIFS($H$4:$H152,$H152,$M$4:$M152,"Owner")=1,1,0),0)</f>
        <v>1</v>
      </c>
      <c r="AC152" s="21" t="s">
        <v>234</v>
      </c>
      <c r="AD152" s="21" t="str">
        <f>MID($H152,18,4)</f>
        <v>2201</v>
      </c>
      <c r="AE152" s="23">
        <f>LEFT($AD152,3)*IF(ISNUMBER(--RIGHT($AD152,1)),10^RIGHT($AD152,1),10^(0-FIND(RIGHT($AD152,1),"JKLM")))</f>
        <v>2200</v>
      </c>
      <c r="AF152" s="23" cm="1">
        <f t="array" ref="AF152">LEFT($E152,FIND(" ",$E152)-1)*IFERROR(INDEX({1000,1000000,0.000000000001,0.000000001,0.000001},MATCH(MID($E152,FIND(" ",$E152)+1,1),{"k","M","p","n","µ"},0)),1)</f>
        <v>2200</v>
      </c>
      <c r="AG152" s="24" t="str">
        <f>IF(AND(RIGHT($E152,1)="Ω",ABS($AF152-$AE152)&lt;=Checks!$C$6*$AE152),"OK","CHECK")</f>
        <v>OK</v>
      </c>
    </row>
    <row r="153" spans="1:33" ht="27.75" customHeight="1" x14ac:dyDescent="0.2">
      <c r="A153" s="6" t="s">
        <v>1038</v>
      </c>
      <c r="B153" s="4" t="s">
        <v>1278</v>
      </c>
      <c r="C153" s="8">
        <v>2</v>
      </c>
      <c r="D153" s="4" t="s">
        <v>1279</v>
      </c>
      <c r="E153" s="5" t="s">
        <v>1280</v>
      </c>
      <c r="F153" s="5" t="s">
        <v>154</v>
      </c>
      <c r="G153" s="5" t="s">
        <v>1165</v>
      </c>
      <c r="H153" s="4" t="s">
        <v>1281</v>
      </c>
      <c r="I153" s="5" t="s">
        <v>1282</v>
      </c>
      <c r="J153" s="4" t="s">
        <v>174</v>
      </c>
      <c r="K153" s="4" t="s">
        <v>175</v>
      </c>
      <c r="L153" s="4" t="s">
        <v>1283</v>
      </c>
      <c r="M153" s="10" t="s">
        <v>177</v>
      </c>
      <c r="N153" s="10"/>
      <c r="O153" s="11">
        <v>2</v>
      </c>
      <c r="P153" s="11">
        <v>0</v>
      </c>
      <c r="Q153" s="13">
        <v>0.02</v>
      </c>
      <c r="R153" s="14">
        <f>IF(OR($M153="Yes",$M153="Owner"),$C153*Cost!$B$6,0)</f>
        <v>10</v>
      </c>
      <c r="S153" s="16">
        <f t="shared" si="23"/>
        <v>0.2</v>
      </c>
      <c r="T153" s="4" t="s">
        <v>178</v>
      </c>
      <c r="U153" s="19"/>
      <c r="V153" s="14">
        <f>IF($M153="Owner",$R153,IF($M153&lt;&gt;"Yes",0,MAX(IF(LEFT($T153,7)="Passive",$R153+MAX(Cost!$B$8,ROUNDUP(Cost!$B$7*$R153,0)),$R153+Cost!$B$9),N($U153))))</f>
        <v>12</v>
      </c>
      <c r="W153" s="16">
        <f t="shared" si="24"/>
        <v>0.24</v>
      </c>
      <c r="X153" s="20"/>
      <c r="Y153" s="4" t="s">
        <v>1284</v>
      </c>
      <c r="Z153" s="21" t="s">
        <v>1285</v>
      </c>
      <c r="AA153" s="22">
        <f t="shared" si="25"/>
        <v>2</v>
      </c>
      <c r="AB153" s="22">
        <f>IF(OR($M153="Yes",$M153="Owner"),IF(COUNTIFS($H$4:$H153,$H153,$M$4:$M153,"Yes")+COUNTIFS($H$4:$H153,$H153,$M$4:$M153,"Owner")=1,1,0),0)</f>
        <v>1</v>
      </c>
      <c r="AC153" s="21" t="s">
        <v>579</v>
      </c>
      <c r="AD153" s="21" t="str">
        <f>MID($H153,18,FIND("L",$H153,18)-18)</f>
        <v>44K2</v>
      </c>
      <c r="AE153" s="23">
        <f>(SUBSTITUTE(SUBSTITUTE(SUBSTITUTE($AD153,"R","."),"K","."),"M",".")&amp;"0")*IF(ISNUMBER(FIND("K",$AD153)),1000,IF(ISNUMBER(FIND("M",$AD153)),10^6,1))</f>
        <v>44200</v>
      </c>
      <c r="AF153" s="23" cm="1">
        <f t="array" ref="AF153">LEFT($E153,FIND(" ",$E153)-1)*IFERROR(INDEX({1000,1000000,0.000000000001,0.000000001,0.000001},MATCH(MID($E153,FIND(" ",$E153)+1,1),{"k","M","p","n","µ"},0)),1)</f>
        <v>44200</v>
      </c>
      <c r="AG153" s="24" t="str">
        <f>IF(AND(RIGHT($E153,1)="Ω",ABS($AF153-$AE153)&lt;=Checks!$C$6*$AE153),"OK","CHECK")</f>
        <v>OK</v>
      </c>
    </row>
    <row r="154" spans="1:33" ht="40.5" customHeight="1" x14ac:dyDescent="0.2">
      <c r="A154" s="6" t="s">
        <v>1038</v>
      </c>
      <c r="B154" s="4" t="s">
        <v>1286</v>
      </c>
      <c r="C154" s="8">
        <v>2</v>
      </c>
      <c r="D154" s="4" t="s">
        <v>1287</v>
      </c>
      <c r="E154" s="5" t="s">
        <v>1288</v>
      </c>
      <c r="F154" s="5" t="s">
        <v>154</v>
      </c>
      <c r="G154" s="5" t="s">
        <v>1165</v>
      </c>
      <c r="H154" s="4" t="s">
        <v>1289</v>
      </c>
      <c r="I154" s="5" t="s">
        <v>1290</v>
      </c>
      <c r="J154" s="4" t="s">
        <v>220</v>
      </c>
      <c r="K154" s="4" t="s">
        <v>220</v>
      </c>
      <c r="L154" s="4" t="s">
        <v>1291</v>
      </c>
      <c r="M154" s="10" t="s">
        <v>177</v>
      </c>
      <c r="N154" s="10"/>
      <c r="O154" s="11">
        <v>2</v>
      </c>
      <c r="P154" s="11">
        <v>0</v>
      </c>
      <c r="Q154" s="13">
        <v>2E-3</v>
      </c>
      <c r="R154" s="14">
        <f>IF(OR($M154="Yes",$M154="Owner"),$C154*Cost!$B$6,0)</f>
        <v>10</v>
      </c>
      <c r="S154" s="16">
        <f t="shared" si="23"/>
        <v>0.02</v>
      </c>
      <c r="T154" s="4" t="s">
        <v>178</v>
      </c>
      <c r="U154" s="19"/>
      <c r="V154" s="14">
        <f>IF($M154="Owner",$R154,IF($M154&lt;&gt;"Yes",0,MAX(IF(LEFT($T154,7)="Passive",$R154+MAX(Cost!$B$8,ROUNDUP(Cost!$B$7*$R154,0)),$R154+Cost!$B$9),N($U154))))</f>
        <v>12</v>
      </c>
      <c r="W154" s="16">
        <f t="shared" si="24"/>
        <v>2.4E-2</v>
      </c>
      <c r="X154" s="20"/>
      <c r="Y154" s="4" t="s">
        <v>1292</v>
      </c>
      <c r="Z154" s="21" t="s">
        <v>1293</v>
      </c>
      <c r="AA154" s="22">
        <f t="shared" si="25"/>
        <v>2</v>
      </c>
      <c r="AB154" s="22">
        <f>IF(OR($M154="Yes",$M154="Owner"),IF(COUNTIFS($H$4:$H154,$H154,$M$4:$M154,"Yes")+COUNTIFS($H$4:$H154,$H154,$M$4:$M154,"Owner")=1,1,0),0)</f>
        <v>1</v>
      </c>
      <c r="AC154" s="21" t="s">
        <v>579</v>
      </c>
      <c r="AD154" s="21" t="str">
        <f>MID($H154,18,FIND("L",$H154,18)-18)</f>
        <v>200K</v>
      </c>
      <c r="AE154" s="23">
        <f>(SUBSTITUTE(SUBSTITUTE(SUBSTITUTE($AD154,"R","."),"K","."),"M",".")&amp;"0")*IF(ISNUMBER(FIND("K",$AD154)),1000,IF(ISNUMBER(FIND("M",$AD154)),10^6,1))</f>
        <v>200000</v>
      </c>
      <c r="AF154" s="23" cm="1">
        <f t="array" ref="AF154">LEFT($E154,FIND(" ",$E154)-1)*IFERROR(INDEX({1000,1000000,0.000000000001,0.000000001,0.000001},MATCH(MID($E154,FIND(" ",$E154)+1,1),{"k","M","p","n","µ"},0)),1)</f>
        <v>200000</v>
      </c>
      <c r="AG154" s="24" t="str">
        <f>IF(AND(RIGHT($E154,1)="Ω",ABS($AF154-$AE154)&lt;=Checks!$C$6*$AE154),"OK","CHECK")</f>
        <v>OK</v>
      </c>
    </row>
    <row r="155" spans="1:33" ht="40.5" customHeight="1" x14ac:dyDescent="0.2">
      <c r="A155" s="6" t="s">
        <v>1038</v>
      </c>
      <c r="B155" s="4" t="s">
        <v>1294</v>
      </c>
      <c r="C155" s="8">
        <v>2</v>
      </c>
      <c r="D155" s="4" t="s">
        <v>1295</v>
      </c>
      <c r="E155" s="5" t="s">
        <v>1296</v>
      </c>
      <c r="F155" s="5" t="s">
        <v>347</v>
      </c>
      <c r="G155" s="5" t="s">
        <v>1297</v>
      </c>
      <c r="H155" s="4" t="s">
        <v>1298</v>
      </c>
      <c r="I155" s="5" t="s">
        <v>1299</v>
      </c>
      <c r="J155" s="4" t="s">
        <v>174</v>
      </c>
      <c r="K155" s="4" t="s">
        <v>175</v>
      </c>
      <c r="L155" s="4" t="s">
        <v>1300</v>
      </c>
      <c r="M155" s="10" t="s">
        <v>177</v>
      </c>
      <c r="N155" s="10"/>
      <c r="O155" s="11">
        <v>2</v>
      </c>
      <c r="P155" s="11">
        <v>0</v>
      </c>
      <c r="Q155" s="13">
        <v>2E-3</v>
      </c>
      <c r="R155" s="14">
        <f>IF(OR($M155="Yes",$M155="Owner"),$C155*Cost!$B$6,0)</f>
        <v>10</v>
      </c>
      <c r="S155" s="16">
        <f t="shared" si="23"/>
        <v>0.02</v>
      </c>
      <c r="T155" s="4" t="s">
        <v>178</v>
      </c>
      <c r="U155" s="19"/>
      <c r="V155" s="14">
        <f>IF($M155="Owner",$R155,IF($M155&lt;&gt;"Yes",0,MAX(IF(LEFT($T155,7)="Passive",$R155+MAX(Cost!$B$8,ROUNDUP(Cost!$B$7*$R155,0)),$R155+Cost!$B$9),N($U155))))</f>
        <v>12</v>
      </c>
      <c r="W155" s="16">
        <f t="shared" si="24"/>
        <v>2.4E-2</v>
      </c>
      <c r="X155" s="20"/>
      <c r="Y155" s="4" t="s">
        <v>1301</v>
      </c>
      <c r="Z155" s="21" t="s">
        <v>1302</v>
      </c>
      <c r="AA155" s="22">
        <f t="shared" si="25"/>
        <v>2</v>
      </c>
      <c r="AB155" s="22">
        <f>IF(OR($M155="Yes",$M155="Owner"),IF(COUNTIFS($H$4:$H155,$H155,$M$4:$M155,"Yes")+COUNTIFS($H$4:$H155,$H155,$M$4:$M155,"Owner")=1,1,0),0)</f>
        <v>1</v>
      </c>
      <c r="AC155" s="21" t="s">
        <v>579</v>
      </c>
      <c r="AD155" s="21" t="str">
        <f>MID($H155,18,FIND("L",$H155,18)-18)</f>
        <v>300K</v>
      </c>
      <c r="AE155" s="23">
        <f>(SUBSTITUTE(SUBSTITUTE(SUBSTITUTE($AD155,"R","."),"K","."),"M",".")&amp;"0")*IF(ISNUMBER(FIND("K",$AD155)),1000,IF(ISNUMBER(FIND("M",$AD155)),10^6,1))</f>
        <v>300000</v>
      </c>
      <c r="AF155" s="23" cm="1">
        <f t="array" ref="AF155">LEFT($E155,FIND(" ",$E155)-1)*IFERROR(INDEX({1000,1000000,0.000000000001,0.000000001,0.000001},MATCH(MID($E155,FIND(" ",$E155)+1,1),{"k","M","p","n","µ"},0)),1)</f>
        <v>300000</v>
      </c>
      <c r="AG155" s="24" t="str">
        <f>IF(AND(RIGHT($E155,1)="Ω",ABS($AF155-$AE155)&lt;=Checks!$C$6*$AE155),"OK","CHECK")</f>
        <v>OK</v>
      </c>
    </row>
    <row r="156" spans="1:33" ht="40.5" customHeight="1" x14ac:dyDescent="0.2">
      <c r="A156" s="6" t="s">
        <v>1038</v>
      </c>
      <c r="B156" s="4" t="s">
        <v>1303</v>
      </c>
      <c r="C156" s="8">
        <v>10</v>
      </c>
      <c r="D156" s="4" t="s">
        <v>1304</v>
      </c>
      <c r="E156" s="5" t="s">
        <v>1243</v>
      </c>
      <c r="F156" s="5" t="s">
        <v>347</v>
      </c>
      <c r="G156" s="5" t="s">
        <v>1297</v>
      </c>
      <c r="H156" s="4" t="s">
        <v>1305</v>
      </c>
      <c r="I156" s="5" t="s">
        <v>1306</v>
      </c>
      <c r="J156" s="4" t="s">
        <v>174</v>
      </c>
      <c r="K156" s="4" t="s">
        <v>175</v>
      </c>
      <c r="L156" s="4" t="s">
        <v>1307</v>
      </c>
      <c r="M156" s="10" t="s">
        <v>177</v>
      </c>
      <c r="N156" s="10"/>
      <c r="O156" s="11">
        <v>2</v>
      </c>
      <c r="P156" s="11">
        <v>0</v>
      </c>
      <c r="Q156" s="13">
        <v>0.03</v>
      </c>
      <c r="R156" s="14">
        <f>IF(OR($M156="Yes",$M156="Owner"),$C156*Cost!$B$6,0)</f>
        <v>50</v>
      </c>
      <c r="S156" s="16">
        <f t="shared" si="23"/>
        <v>1.5</v>
      </c>
      <c r="T156" s="4" t="s">
        <v>178</v>
      </c>
      <c r="U156" s="19"/>
      <c r="V156" s="14">
        <f>IF($M156="Owner",$R156,IF($M156&lt;&gt;"Yes",0,MAX(IF(LEFT($T156,7)="Passive",$R156+MAX(Cost!$B$8,ROUNDUP(Cost!$B$7*$R156,0)),$R156+Cost!$B$9),N($U156))))</f>
        <v>53</v>
      </c>
      <c r="W156" s="16">
        <f t="shared" si="24"/>
        <v>1.5899999999999999</v>
      </c>
      <c r="X156" s="20"/>
      <c r="Y156" s="4" t="s">
        <v>1308</v>
      </c>
      <c r="Z156" s="21" t="s">
        <v>1309</v>
      </c>
      <c r="AA156" s="22">
        <f t="shared" si="25"/>
        <v>10</v>
      </c>
      <c r="AB156" s="22">
        <f>IF(OR($M156="Yes",$M156="Owner"),IF(COUNTIFS($H$4:$H156,$H156,$M$4:$M156,"Yes")+COUNTIFS($H$4:$H156,$H156,$M$4:$M156,"Owner")=1,1,0),0)</f>
        <v>1</v>
      </c>
      <c r="AC156" s="21" t="s">
        <v>579</v>
      </c>
      <c r="AD156" s="21" t="str">
        <f>MID($H156,18,FIND("L",$H156,18)-18)</f>
        <v>1M</v>
      </c>
      <c r="AE156" s="23">
        <f>(SUBSTITUTE(SUBSTITUTE(SUBSTITUTE($AD156,"R","."),"K","."),"M",".")&amp;"0")*IF(ISNUMBER(FIND("K",$AD156)),1000,IF(ISNUMBER(FIND("M",$AD156)),10^6,1))</f>
        <v>1000000</v>
      </c>
      <c r="AF156" s="23" cm="1">
        <f t="array" ref="AF156">LEFT($E156,FIND(" ",$E156)-1)*IFERROR(INDEX({1000,1000000,0.000000000001,0.000000001,0.000001},MATCH(MID($E156,FIND(" ",$E156)+1,1),{"k","M","p","n","µ"},0)),1)</f>
        <v>1000000</v>
      </c>
      <c r="AG156" s="24" t="str">
        <f>IF(AND(RIGHT($E156,1)="Ω",ABS($AF156-$AE156)&lt;=Checks!$C$6*$AE156),"OK","CHECK")</f>
        <v>OK</v>
      </c>
    </row>
    <row r="157" spans="1:33" ht="40.5" customHeight="1" x14ac:dyDescent="0.2">
      <c r="A157" s="6" t="s">
        <v>1038</v>
      </c>
      <c r="B157" s="4" t="s">
        <v>1310</v>
      </c>
      <c r="C157" s="8">
        <v>2</v>
      </c>
      <c r="D157" s="4" t="s">
        <v>1311</v>
      </c>
      <c r="E157" s="5" t="s">
        <v>1312</v>
      </c>
      <c r="F157" s="5" t="s">
        <v>154</v>
      </c>
      <c r="G157" s="5" t="s">
        <v>1229</v>
      </c>
      <c r="H157" s="4" t="s">
        <v>1313</v>
      </c>
      <c r="I157" s="5" t="s">
        <v>1314</v>
      </c>
      <c r="J157" s="4" t="s">
        <v>174</v>
      </c>
      <c r="K157" s="4" t="s">
        <v>220</v>
      </c>
      <c r="L157" s="4" t="s">
        <v>1315</v>
      </c>
      <c r="M157" s="10" t="s">
        <v>177</v>
      </c>
      <c r="N157" s="10"/>
      <c r="O157" s="11">
        <v>2</v>
      </c>
      <c r="P157" s="11">
        <v>0</v>
      </c>
      <c r="Q157" s="13">
        <v>2E-3</v>
      </c>
      <c r="R157" s="14">
        <f>IF(OR($M157="Yes",$M157="Owner"),$C157*Cost!$B$6,0)</f>
        <v>10</v>
      </c>
      <c r="S157" s="16">
        <f t="shared" si="23"/>
        <v>0.02</v>
      </c>
      <c r="T157" s="4" t="s">
        <v>178</v>
      </c>
      <c r="U157" s="19"/>
      <c r="V157" s="14">
        <f>IF($M157="Owner",$R157,IF($M157&lt;&gt;"Yes",0,MAX(IF(LEFT($T157,7)="Passive",$R157+MAX(Cost!$B$8,ROUNDUP(Cost!$B$7*$R157,0)),$R157+Cost!$B$9),N($U157))))</f>
        <v>12</v>
      </c>
      <c r="W157" s="16">
        <f t="shared" si="24"/>
        <v>2.4E-2</v>
      </c>
      <c r="X157" s="20"/>
      <c r="Y157" s="4" t="s">
        <v>1316</v>
      </c>
      <c r="Z157" s="21" t="s">
        <v>1317</v>
      </c>
      <c r="AA157" s="22">
        <f t="shared" si="25"/>
        <v>2</v>
      </c>
      <c r="AB157" s="22">
        <f>IF(OR($M157="Yes",$M157="Owner"),IF(COUNTIFS($H$4:$H157,$H157,$M$4:$M157,"Yes")+COUNTIFS($H$4:$H157,$H157,$M$4:$M157,"Owner")=1,1,0),0)</f>
        <v>1</v>
      </c>
      <c r="AC157" s="21" t="s">
        <v>234</v>
      </c>
      <c r="AD157" s="21" t="str">
        <f>MID($H157,18,4)</f>
        <v>2205</v>
      </c>
      <c r="AE157" s="23">
        <f>LEFT($AD157,3)*IF(ISNUMBER(--RIGHT($AD157,1)),10^RIGHT($AD157,1),10^(0-FIND(RIGHT($AD157,1),"JKLM")))</f>
        <v>22000000</v>
      </c>
      <c r="AF157" s="23" cm="1">
        <f t="array" ref="AF157">LEFT($E157,FIND(" ",$E157)-1)*IFERROR(INDEX({1000,1000000,0.000000000001,0.000000001,0.000001},MATCH(MID($E157,FIND(" ",$E157)+1,1),{"k","M","p","n","µ"},0)),1)</f>
        <v>22000000</v>
      </c>
      <c r="AG157" s="24" t="str">
        <f>IF(AND(RIGHT($E157,1)="Ω",ABS($AF157-$AE157)&lt;=Checks!$C$6*$AE157),"OK","CHECK")</f>
        <v>OK</v>
      </c>
    </row>
    <row r="158" spans="1:33" ht="66" customHeight="1" x14ac:dyDescent="0.2">
      <c r="A158" s="6" t="s">
        <v>1038</v>
      </c>
      <c r="B158" s="4" t="s">
        <v>1318</v>
      </c>
      <c r="C158" s="8">
        <v>1</v>
      </c>
      <c r="D158" s="4" t="s">
        <v>1319</v>
      </c>
      <c r="E158" s="5" t="s">
        <v>1320</v>
      </c>
      <c r="F158" s="5" t="s">
        <v>154</v>
      </c>
      <c r="G158" s="5" t="s">
        <v>1229</v>
      </c>
      <c r="H158" s="4" t="s">
        <v>1321</v>
      </c>
      <c r="I158" s="5" t="s">
        <v>1322</v>
      </c>
      <c r="J158" s="4" t="s">
        <v>174</v>
      </c>
      <c r="K158" s="4" t="s">
        <v>175</v>
      </c>
      <c r="L158" s="4" t="s">
        <v>1323</v>
      </c>
      <c r="M158" s="10" t="s">
        <v>177</v>
      </c>
      <c r="N158" s="10"/>
      <c r="O158" s="11">
        <v>2</v>
      </c>
      <c r="P158" s="11">
        <v>0</v>
      </c>
      <c r="Q158" s="13">
        <v>2.3E-3</v>
      </c>
      <c r="R158" s="14">
        <f>IF(OR($M158="Yes",$M158="Owner"),$C158*Cost!$B$6,0)</f>
        <v>5</v>
      </c>
      <c r="S158" s="16">
        <f t="shared" si="23"/>
        <v>1.15E-2</v>
      </c>
      <c r="T158" s="4" t="s">
        <v>178</v>
      </c>
      <c r="U158" s="19"/>
      <c r="V158" s="14">
        <f>IF($M158="Owner",$R158,IF($M158&lt;&gt;"Yes",0,MAX(IF(LEFT($T158,7)="Passive",$R158+MAX(Cost!$B$8,ROUNDUP(Cost!$B$7*$R158,0)),$R158+Cost!$B$9),N($U158))))</f>
        <v>7</v>
      </c>
      <c r="W158" s="16">
        <f t="shared" si="24"/>
        <v>1.61E-2</v>
      </c>
      <c r="X158" s="20" t="s">
        <v>1324</v>
      </c>
      <c r="Y158" s="4" t="s">
        <v>1325</v>
      </c>
      <c r="Z158" s="21" t="s">
        <v>1326</v>
      </c>
      <c r="AA158" s="22">
        <f t="shared" si="25"/>
        <v>1</v>
      </c>
      <c r="AB158" s="22">
        <f>IF(OR($M158="Yes",$M158="Owner"),IF(COUNTIFS($H$4:$H158,$H158,$M$4:$M158,"Yes")+COUNTIFS($H$4:$H158,$H158,$M$4:$M158,"Owner")=1,1,0),0)</f>
        <v>1</v>
      </c>
      <c r="AC158" s="21" t="s">
        <v>1259</v>
      </c>
      <c r="AD158" s="21" t="str">
        <f>MID($H158,13,4)</f>
        <v>4704</v>
      </c>
      <c r="AE158" s="23">
        <f>LEFT($AD158,3)*IF(ISNUMBER(--RIGHT($AD158,1)),10^RIGHT($AD158,1),10^(0-FIND(RIGHT($AD158,1),"JKLM")))</f>
        <v>4700000</v>
      </c>
      <c r="AF158" s="23" cm="1">
        <f t="array" ref="AF158">LEFT($E158,FIND(" ",$E158)-1)*IFERROR(INDEX({1000,1000000,0.000000000001,0.000000001,0.000001},MATCH(MID($E158,FIND(" ",$E158)+1,1),{"k","M","p","n","µ"},0)),1)</f>
        <v>4700000</v>
      </c>
      <c r="AG158" s="24" t="str">
        <f>IF(AND(RIGHT($E158,1)="Ω",ABS($AF158-$AE158)&lt;=Checks!$C$6*$AE158),"OK","CHECK")</f>
        <v>OK</v>
      </c>
    </row>
    <row r="159" spans="1:33" ht="53.25" customHeight="1" x14ac:dyDescent="0.2">
      <c r="A159" s="6" t="s">
        <v>1038</v>
      </c>
      <c r="B159" s="4" t="s">
        <v>1327</v>
      </c>
      <c r="C159" s="8">
        <v>5</v>
      </c>
      <c r="D159" s="4" t="s">
        <v>1328</v>
      </c>
      <c r="E159" s="5" t="s">
        <v>275</v>
      </c>
      <c r="F159" s="5" t="s">
        <v>154</v>
      </c>
      <c r="G159" s="5" t="s">
        <v>229</v>
      </c>
      <c r="H159" s="4" t="s">
        <v>276</v>
      </c>
      <c r="I159" s="5" t="s">
        <v>277</v>
      </c>
      <c r="J159" s="4" t="s">
        <v>174</v>
      </c>
      <c r="K159" s="4" t="s">
        <v>175</v>
      </c>
      <c r="L159" s="4" t="s">
        <v>1329</v>
      </c>
      <c r="M159" s="10" t="s">
        <v>177</v>
      </c>
      <c r="N159" s="10"/>
      <c r="O159" s="11">
        <v>2</v>
      </c>
      <c r="P159" s="11">
        <v>0</v>
      </c>
      <c r="Q159" s="13">
        <v>3.3E-3</v>
      </c>
      <c r="R159" s="14">
        <f>IF(OR($M159="Yes",$M159="Owner"),$C159*Cost!$B$6,0)</f>
        <v>25</v>
      </c>
      <c r="S159" s="16">
        <f t="shared" si="23"/>
        <v>8.2500000000000004E-2</v>
      </c>
      <c r="T159" s="4" t="s">
        <v>178</v>
      </c>
      <c r="U159" s="19"/>
      <c r="V159" s="14">
        <f>IF($M159="Owner",$R159,IF($M159&lt;&gt;"Yes",0,MAX(IF(LEFT($T159,7)="Passive",$R159+MAX(Cost!$B$8,ROUNDUP(Cost!$B$7*$R159,0)),$R159+Cost!$B$9),N($U159))))</f>
        <v>27</v>
      </c>
      <c r="W159" s="16">
        <f t="shared" si="24"/>
        <v>8.9099999999999999E-2</v>
      </c>
      <c r="X159" s="20"/>
      <c r="Y159" s="4" t="s">
        <v>1330</v>
      </c>
      <c r="Z159" s="21" t="s">
        <v>1331</v>
      </c>
      <c r="AA159" s="22">
        <f t="shared" si="25"/>
        <v>5</v>
      </c>
      <c r="AB159" s="22">
        <f>IF(OR($M159="Yes",$M159="Owner"),IF(COUNTIFS($H$4:$H159,$H159,$M$4:$M159,"Yes")+COUNTIFS($H$4:$H159,$H159,$M$4:$M159,"Owner")=1,1,0),0)</f>
        <v>0</v>
      </c>
      <c r="AC159" s="21" t="s">
        <v>234</v>
      </c>
      <c r="AD159" s="21" t="str">
        <f>MID($H159,18,4)</f>
        <v>4703</v>
      </c>
      <c r="AE159" s="23">
        <f>LEFT($AD159,3)*IF(ISNUMBER(--RIGHT($AD159,1)),10^RIGHT($AD159,1),10^(0-FIND(RIGHT($AD159,1),"JKLM")))</f>
        <v>470000</v>
      </c>
      <c r="AF159" s="23" cm="1">
        <f t="array" ref="AF159">LEFT($E159,FIND(" ",$E159)-1)*IFERROR(INDEX({1000,1000000,0.000000000001,0.000000001,0.000001},MATCH(MID($E159,FIND(" ",$E159)+1,1),{"k","M","p","n","µ"},0)),1)</f>
        <v>470000</v>
      </c>
      <c r="AG159" s="24" t="str">
        <f>IF(AND(RIGHT($E159,1)="Ω",ABS($AF159-$AE159)&lt;=Checks!$C$6*$AE159),"OK","CHECK")</f>
        <v>OK</v>
      </c>
    </row>
    <row r="160" spans="1:33" ht="40.5" customHeight="1" x14ac:dyDescent="0.2">
      <c r="A160" s="6" t="s">
        <v>1038</v>
      </c>
      <c r="B160" s="4" t="s">
        <v>1332</v>
      </c>
      <c r="C160" s="8">
        <v>8</v>
      </c>
      <c r="D160" s="4" t="s">
        <v>1333</v>
      </c>
      <c r="E160" s="5" t="s">
        <v>1334</v>
      </c>
      <c r="F160" s="5" t="s">
        <v>347</v>
      </c>
      <c r="G160" s="5" t="s">
        <v>1297</v>
      </c>
      <c r="H160" s="4" t="s">
        <v>1335</v>
      </c>
      <c r="I160" s="5" t="s">
        <v>1336</v>
      </c>
      <c r="J160" s="4" t="s">
        <v>174</v>
      </c>
      <c r="K160" s="4" t="s">
        <v>175</v>
      </c>
      <c r="L160" s="4" t="s">
        <v>1337</v>
      </c>
      <c r="M160" s="10" t="s">
        <v>177</v>
      </c>
      <c r="N160" s="10"/>
      <c r="O160" s="11">
        <v>2</v>
      </c>
      <c r="P160" s="11">
        <v>0</v>
      </c>
      <c r="Q160" s="13">
        <v>0.03</v>
      </c>
      <c r="R160" s="14">
        <f>IF(OR($M160="Yes",$M160="Owner"),$C160*Cost!$B$6,0)</f>
        <v>40</v>
      </c>
      <c r="S160" s="16">
        <f t="shared" si="23"/>
        <v>1.2</v>
      </c>
      <c r="T160" s="4" t="s">
        <v>178</v>
      </c>
      <c r="U160" s="19"/>
      <c r="V160" s="14">
        <f>IF($M160="Owner",$R160,IF($M160&lt;&gt;"Yes",0,MAX(IF(LEFT($T160,7)="Passive",$R160+MAX(Cost!$B$8,ROUNDUP(Cost!$B$7*$R160,0)),$R160+Cost!$B$9),N($U160))))</f>
        <v>42</v>
      </c>
      <c r="W160" s="16">
        <f t="shared" si="24"/>
        <v>1.26</v>
      </c>
      <c r="X160" s="20"/>
      <c r="Y160" s="4" t="s">
        <v>1338</v>
      </c>
      <c r="Z160" s="21" t="s">
        <v>1339</v>
      </c>
      <c r="AA160" s="22">
        <f t="shared" si="25"/>
        <v>8</v>
      </c>
      <c r="AB160" s="22">
        <f>IF(OR($M160="Yes",$M160="Owner"),IF(COUNTIFS($H$4:$H160,$H160,$M$4:$M160,"Yes")+COUNTIFS($H$4:$H160,$H160,$M$4:$M160,"Owner")=1,1,0),0)</f>
        <v>1</v>
      </c>
      <c r="AC160" s="21" t="s">
        <v>579</v>
      </c>
      <c r="AD160" s="21" t="str">
        <f>MID($H160,18,FIND("L",$H160,18)-18)</f>
        <v>487K</v>
      </c>
      <c r="AE160" s="23">
        <f>(SUBSTITUTE(SUBSTITUTE(SUBSTITUTE($AD160,"R","."),"K","."),"M",".")&amp;"0")*IF(ISNUMBER(FIND("K",$AD160)),1000,IF(ISNUMBER(FIND("M",$AD160)),10^6,1))</f>
        <v>487000</v>
      </c>
      <c r="AF160" s="23" cm="1">
        <f t="array" ref="AF160">LEFT($E160,FIND(" ",$E160)-1)*IFERROR(INDEX({1000,1000000,0.000000000001,0.000000001,0.000001},MATCH(MID($E160,FIND(" ",$E160)+1,1),{"k","M","p","n","µ"},0)),1)</f>
        <v>487000</v>
      </c>
      <c r="AG160" s="24" t="str">
        <f>IF(AND(RIGHT($E160,1)="Ω",ABS($AF160-$AE160)&lt;=Checks!$C$6*$AE160),"OK","CHECK")</f>
        <v>OK</v>
      </c>
    </row>
    <row r="161" spans="1:33" ht="27.75" customHeight="1" x14ac:dyDescent="0.2">
      <c r="A161" s="6" t="s">
        <v>1038</v>
      </c>
      <c r="B161" s="4" t="s">
        <v>1340</v>
      </c>
      <c r="C161" s="8">
        <v>4</v>
      </c>
      <c r="D161" s="4" t="s">
        <v>1341</v>
      </c>
      <c r="E161" s="5" t="s">
        <v>1342</v>
      </c>
      <c r="F161" s="5" t="s">
        <v>154</v>
      </c>
      <c r="G161" s="5" t="s">
        <v>1165</v>
      </c>
      <c r="H161" s="4" t="s">
        <v>1343</v>
      </c>
      <c r="I161" s="5" t="s">
        <v>1344</v>
      </c>
      <c r="J161" s="4" t="s">
        <v>174</v>
      </c>
      <c r="K161" s="4" t="s">
        <v>175</v>
      </c>
      <c r="L161" s="4" t="s">
        <v>1345</v>
      </c>
      <c r="M161" s="10" t="s">
        <v>177</v>
      </c>
      <c r="N161" s="10"/>
      <c r="O161" s="11">
        <v>2</v>
      </c>
      <c r="P161" s="11">
        <v>0</v>
      </c>
      <c r="Q161" s="13">
        <v>0.02</v>
      </c>
      <c r="R161" s="14">
        <f>IF(OR($M161="Yes",$M161="Owner"),$C161*Cost!$B$6,0)</f>
        <v>20</v>
      </c>
      <c r="S161" s="16">
        <f t="shared" si="23"/>
        <v>0.4</v>
      </c>
      <c r="T161" s="4" t="s">
        <v>178</v>
      </c>
      <c r="U161" s="19"/>
      <c r="V161" s="14">
        <f>IF($M161="Owner",$R161,IF($M161&lt;&gt;"Yes",0,MAX(IF(LEFT($T161,7)="Passive",$R161+MAX(Cost!$B$8,ROUNDUP(Cost!$B$7*$R161,0)),$R161+Cost!$B$9),N($U161))))</f>
        <v>22</v>
      </c>
      <c r="W161" s="16">
        <f t="shared" si="24"/>
        <v>0.44</v>
      </c>
      <c r="X161" s="20"/>
      <c r="Y161" s="4" t="s">
        <v>1346</v>
      </c>
      <c r="Z161" s="21" t="s">
        <v>1347</v>
      </c>
      <c r="AA161" s="22">
        <f t="shared" si="25"/>
        <v>4</v>
      </c>
      <c r="AB161" s="22">
        <f>IF(OR($M161="Yes",$M161="Owner"),IF(COUNTIFS($H$4:$H161,$H161,$M$4:$M161,"Yes")+COUNTIFS($H$4:$H161,$H161,$M$4:$M161,"Owner")=1,1,0),0)</f>
        <v>1</v>
      </c>
      <c r="AC161" s="21" t="s">
        <v>579</v>
      </c>
      <c r="AD161" s="21" t="str">
        <f>MID($H161,18,FIND("L",$H161,18)-18)</f>
        <v>110K</v>
      </c>
      <c r="AE161" s="23">
        <f>(SUBSTITUTE(SUBSTITUTE(SUBSTITUTE($AD161,"R","."),"K","."),"M",".")&amp;"0")*IF(ISNUMBER(FIND("K",$AD161)),1000,IF(ISNUMBER(FIND("M",$AD161)),10^6,1))</f>
        <v>110000</v>
      </c>
      <c r="AF161" s="23" cm="1">
        <f t="array" ref="AF161">LEFT($E161,FIND(" ",$E161)-1)*IFERROR(INDEX({1000,1000000,0.000000000001,0.000000001,0.000001},MATCH(MID($E161,FIND(" ",$E161)+1,1),{"k","M","p","n","µ"},0)),1)</f>
        <v>110000</v>
      </c>
      <c r="AG161" s="24" t="str">
        <f>IF(AND(RIGHT($E161,1)="Ω",ABS($AF161-$AE161)&lt;=Checks!$C$6*$AE161),"OK","CHECK")</f>
        <v>OK</v>
      </c>
    </row>
    <row r="162" spans="1:33" ht="40.5" customHeight="1" x14ac:dyDescent="0.2">
      <c r="A162" s="6" t="s">
        <v>1038</v>
      </c>
      <c r="B162" s="4" t="s">
        <v>1348</v>
      </c>
      <c r="C162" s="8">
        <v>1</v>
      </c>
      <c r="D162" s="4" t="s">
        <v>1349</v>
      </c>
      <c r="E162" s="5" t="s">
        <v>1350</v>
      </c>
      <c r="F162" s="5" t="s">
        <v>154</v>
      </c>
      <c r="G162" s="5" t="s">
        <v>1165</v>
      </c>
      <c r="H162" s="4" t="s">
        <v>1351</v>
      </c>
      <c r="I162" s="5" t="s">
        <v>1352</v>
      </c>
      <c r="J162" s="4" t="s">
        <v>220</v>
      </c>
      <c r="K162" s="4" t="s">
        <v>220</v>
      </c>
      <c r="L162" s="4" t="s">
        <v>1353</v>
      </c>
      <c r="M162" s="10" t="s">
        <v>177</v>
      </c>
      <c r="N162" s="10"/>
      <c r="O162" s="11">
        <v>2</v>
      </c>
      <c r="P162" s="11">
        <v>0</v>
      </c>
      <c r="Q162" s="13">
        <v>0.02</v>
      </c>
      <c r="R162" s="14">
        <f>IF(OR($M162="Yes",$M162="Owner"),$C162*Cost!$B$6,0)</f>
        <v>5</v>
      </c>
      <c r="S162" s="16">
        <f t="shared" si="23"/>
        <v>0.1</v>
      </c>
      <c r="T162" s="4" t="s">
        <v>178</v>
      </c>
      <c r="U162" s="19"/>
      <c r="V162" s="14">
        <f>IF($M162="Owner",$R162,IF($M162&lt;&gt;"Yes",0,MAX(IF(LEFT($T162,7)="Passive",$R162+MAX(Cost!$B$8,ROUNDUP(Cost!$B$7*$R162,0)),$R162+Cost!$B$9),N($U162))))</f>
        <v>7</v>
      </c>
      <c r="W162" s="16">
        <f t="shared" si="24"/>
        <v>0.14000000000000001</v>
      </c>
      <c r="X162" s="20"/>
      <c r="Y162" s="4" t="s">
        <v>1354</v>
      </c>
      <c r="Z162" s="21" t="s">
        <v>1355</v>
      </c>
      <c r="AA162" s="22">
        <f t="shared" si="25"/>
        <v>1</v>
      </c>
      <c r="AB162" s="22">
        <f>IF(OR($M162="Yes",$M162="Owner"),IF(COUNTIFS($H$4:$H162,$H162,$M$4:$M162,"Yes")+COUNTIFS($H$4:$H162,$H162,$M$4:$M162,"Owner")=1,1,0),0)</f>
        <v>1</v>
      </c>
      <c r="AC162" s="21" t="s">
        <v>579</v>
      </c>
      <c r="AD162" s="21" t="str">
        <f>MID($H162,18,FIND("L",$H162,18)-18)</f>
        <v>69K8</v>
      </c>
      <c r="AE162" s="23">
        <f>(SUBSTITUTE(SUBSTITUTE(SUBSTITUTE($AD162,"R","."),"K","."),"M",".")&amp;"0")*IF(ISNUMBER(FIND("K",$AD162)),1000,IF(ISNUMBER(FIND("M",$AD162)),10^6,1))</f>
        <v>69800</v>
      </c>
      <c r="AF162" s="23" cm="1">
        <f t="array" ref="AF162">LEFT($E162,FIND(" ",$E162)-1)*IFERROR(INDEX({1000,1000000,0.000000000001,0.000000001,0.000001},MATCH(MID($E162,FIND(" ",$E162)+1,1),{"k","M","p","n","µ"},0)),1)</f>
        <v>69800</v>
      </c>
      <c r="AG162" s="24" t="str">
        <f>IF(AND(RIGHT($E162,1)="Ω",ABS($AF162-$AE162)&lt;=Checks!$C$6*$AE162),"OK","CHECK")</f>
        <v>OK</v>
      </c>
    </row>
    <row r="163" spans="1:33" ht="66" customHeight="1" x14ac:dyDescent="0.2">
      <c r="A163" s="6" t="s">
        <v>1038</v>
      </c>
      <c r="B163" s="4" t="s">
        <v>1356</v>
      </c>
      <c r="C163" s="8">
        <v>1</v>
      </c>
      <c r="D163" s="4" t="s">
        <v>1357</v>
      </c>
      <c r="E163" s="5" t="s">
        <v>1358</v>
      </c>
      <c r="F163" s="5" t="s">
        <v>154</v>
      </c>
      <c r="G163" s="5" t="s">
        <v>1359</v>
      </c>
      <c r="H163" s="4" t="s">
        <v>1360</v>
      </c>
      <c r="I163" s="5" t="s">
        <v>1361</v>
      </c>
      <c r="J163" s="4" t="s">
        <v>174</v>
      </c>
      <c r="K163" s="4" t="s">
        <v>175</v>
      </c>
      <c r="L163" s="4" t="s">
        <v>1362</v>
      </c>
      <c r="M163" s="10" t="s">
        <v>177</v>
      </c>
      <c r="N163" s="10"/>
      <c r="O163" s="11">
        <v>2</v>
      </c>
      <c r="P163" s="11">
        <v>0</v>
      </c>
      <c r="Q163" s="13">
        <v>1E-3</v>
      </c>
      <c r="R163" s="14">
        <f>IF(OR($M163="Yes",$M163="Owner"),$C163*Cost!$B$6,0)</f>
        <v>5</v>
      </c>
      <c r="S163" s="16">
        <f t="shared" si="23"/>
        <v>5.0000000000000001E-3</v>
      </c>
      <c r="T163" s="4" t="s">
        <v>178</v>
      </c>
      <c r="U163" s="19"/>
      <c r="V163" s="14">
        <f>IF($M163="Owner",$R163,IF($M163&lt;&gt;"Yes",0,MAX(IF(LEFT($T163,7)="Passive",$R163+MAX(Cost!$B$8,ROUNDUP(Cost!$B$7*$R163,0)),$R163+Cost!$B$9),N($U163))))</f>
        <v>7</v>
      </c>
      <c r="W163" s="16">
        <f t="shared" si="24"/>
        <v>7.0000000000000001E-3</v>
      </c>
      <c r="X163" s="20"/>
      <c r="Y163" s="4" t="s">
        <v>1363</v>
      </c>
      <c r="Z163" s="21" t="s">
        <v>1364</v>
      </c>
      <c r="AA163" s="22">
        <f t="shared" si="25"/>
        <v>1</v>
      </c>
      <c r="AB163" s="22">
        <f>IF(OR($M163="Yes",$M163="Owner"),IF(COUNTIFS($H$4:$H163,$H163,$M$4:$M163,"Yes")+COUNTIFS($H$4:$H163,$H163,$M$4:$M163,"Owner")=1,1,0),0)</f>
        <v>1</v>
      </c>
      <c r="AC163" s="21" t="s">
        <v>234</v>
      </c>
      <c r="AD163" s="21" t="str">
        <f>MID($H163,18,4)</f>
        <v>3603</v>
      </c>
      <c r="AE163" s="23">
        <f>LEFT($AD163,3)*IF(ISNUMBER(--RIGHT($AD163,1)),10^RIGHT($AD163,1),10^(0-FIND(RIGHT($AD163,1),"JKLM")))</f>
        <v>360000</v>
      </c>
      <c r="AF163" s="23" cm="1">
        <f t="array" ref="AF163">LEFT($E163,FIND(" ",$E163)-1)*IFERROR(INDEX({1000,1000000,0.000000000001,0.000000001,0.000001},MATCH(MID($E163,FIND(" ",$E163)+1,1),{"k","M","p","n","µ"},0)),1)</f>
        <v>360000</v>
      </c>
      <c r="AG163" s="24" t="str">
        <f>IF(AND(RIGHT($E163,1)="Ω",ABS($AF163-$AE163)&lt;=Checks!$C$6*$AE163),"OK","CHECK")</f>
        <v>OK</v>
      </c>
    </row>
    <row r="164" spans="1:33" ht="15" customHeight="1" x14ac:dyDescent="0.2">
      <c r="A164" s="6" t="s">
        <v>1038</v>
      </c>
      <c r="B164" s="4" t="s">
        <v>1365</v>
      </c>
      <c r="C164" s="8">
        <v>1</v>
      </c>
      <c r="D164" s="4" t="s">
        <v>1366</v>
      </c>
      <c r="E164" s="5" t="s">
        <v>1367</v>
      </c>
      <c r="F164" s="5" t="s">
        <v>154</v>
      </c>
      <c r="G164" s="5" t="s">
        <v>1359</v>
      </c>
      <c r="H164" s="4" t="s">
        <v>1368</v>
      </c>
      <c r="I164" s="5" t="s">
        <v>1369</v>
      </c>
      <c r="J164" s="4" t="s">
        <v>174</v>
      </c>
      <c r="K164" s="4" t="s">
        <v>175</v>
      </c>
      <c r="L164" s="4" t="s">
        <v>1370</v>
      </c>
      <c r="M164" s="10" t="s">
        <v>177</v>
      </c>
      <c r="N164" s="10"/>
      <c r="O164" s="11">
        <v>2</v>
      </c>
      <c r="P164" s="11">
        <v>0</v>
      </c>
      <c r="Q164" s="13">
        <v>5.9999999999999995E-4</v>
      </c>
      <c r="R164" s="14">
        <f>IF(OR($M164="Yes",$M164="Owner"),$C164*Cost!$B$6,0)</f>
        <v>5</v>
      </c>
      <c r="S164" s="16">
        <f t="shared" ref="S164:S185" si="26">$R164*$Q164</f>
        <v>2.9999999999999996E-3</v>
      </c>
      <c r="T164" s="4" t="s">
        <v>178</v>
      </c>
      <c r="U164" s="19"/>
      <c r="V164" s="14">
        <f>IF($M164="Owner",$R164,IF($M164&lt;&gt;"Yes",0,MAX(IF(LEFT($T164,7)="Passive",$R164+MAX(Cost!$B$8,ROUNDUP(Cost!$B$7*$R164,0)),$R164+Cost!$B$9),N($U164))))</f>
        <v>7</v>
      </c>
      <c r="W164" s="16">
        <f t="shared" ref="W164:W185" si="27">$V164*$Q164</f>
        <v>4.1999999999999997E-3</v>
      </c>
      <c r="X164" s="20"/>
      <c r="Y164" s="4" t="s">
        <v>1371</v>
      </c>
      <c r="Z164" s="21" t="s">
        <v>1372</v>
      </c>
      <c r="AA164" s="22">
        <f t="shared" ref="AA164:AA185" si="28">IF($Z164="",0,LEN($Z164)-LEN(SUBSTITUTE($Z164,",",""))-1)</f>
        <v>1</v>
      </c>
      <c r="AB164" s="22">
        <f>IF(OR($M164="Yes",$M164="Owner"),IF(COUNTIFS($H$4:$H164,$H164,$M$4:$M164,"Yes")+COUNTIFS($H$4:$H164,$H164,$M$4:$M164,"Owner")=1,1,0),0)</f>
        <v>1</v>
      </c>
      <c r="AC164" s="21" t="s">
        <v>234</v>
      </c>
      <c r="AD164" s="21" t="str">
        <f>MID($H164,18,4)</f>
        <v>8872</v>
      </c>
      <c r="AE164" s="23">
        <f>LEFT($AD164,3)*IF(ISNUMBER(--RIGHT($AD164,1)),10^RIGHT($AD164,1),10^(0-FIND(RIGHT($AD164,1),"JKLM")))</f>
        <v>88700</v>
      </c>
      <c r="AF164" s="23" cm="1">
        <f t="array" ref="AF164">LEFT($E164,FIND(" ",$E164)-1)*IFERROR(INDEX({1000,1000000,0.000000000001,0.000000001,0.000001},MATCH(MID($E164,FIND(" ",$E164)+1,1),{"k","M","p","n","µ"},0)),1)</f>
        <v>88700</v>
      </c>
      <c r="AG164" s="24" t="str">
        <f>IF(AND(RIGHT($E164,1)="Ω",ABS($AF164-$AE164)&lt;=Checks!$C$6*$AE164),"OK","CHECK")</f>
        <v>OK</v>
      </c>
    </row>
    <row r="165" spans="1:33" ht="27.75" customHeight="1" x14ac:dyDescent="0.2">
      <c r="A165" s="6" t="s">
        <v>1038</v>
      </c>
      <c r="B165" s="4" t="s">
        <v>1373</v>
      </c>
      <c r="C165" s="8">
        <v>8</v>
      </c>
      <c r="D165" s="4" t="s">
        <v>1374</v>
      </c>
      <c r="E165" s="5" t="s">
        <v>1375</v>
      </c>
      <c r="F165" s="5" t="s">
        <v>154</v>
      </c>
      <c r="G165" s="5" t="s">
        <v>1359</v>
      </c>
      <c r="H165" s="4" t="s">
        <v>1376</v>
      </c>
      <c r="I165" s="5" t="s">
        <v>1377</v>
      </c>
      <c r="J165" s="4" t="s">
        <v>174</v>
      </c>
      <c r="K165" s="4" t="s">
        <v>175</v>
      </c>
      <c r="L165" s="4" t="s">
        <v>1378</v>
      </c>
      <c r="M165" s="10" t="s">
        <v>177</v>
      </c>
      <c r="N165" s="10"/>
      <c r="O165" s="11">
        <v>2</v>
      </c>
      <c r="P165" s="11">
        <v>0</v>
      </c>
      <c r="Q165" s="13">
        <v>3.5000000000000001E-3</v>
      </c>
      <c r="R165" s="14">
        <f>IF(OR($M165="Yes",$M165="Owner"),$C165*Cost!$B$6,0)</f>
        <v>40</v>
      </c>
      <c r="S165" s="16">
        <f t="shared" si="26"/>
        <v>0.14000000000000001</v>
      </c>
      <c r="T165" s="4" t="s">
        <v>178</v>
      </c>
      <c r="U165" s="19"/>
      <c r="V165" s="14">
        <f>IF($M165="Owner",$R165,IF($M165&lt;&gt;"Yes",0,MAX(IF(LEFT($T165,7)="Passive",$R165+MAX(Cost!$B$8,ROUNDUP(Cost!$B$7*$R165,0)),$R165+Cost!$B$9),N($U165))))</f>
        <v>42</v>
      </c>
      <c r="W165" s="16">
        <f t="shared" si="27"/>
        <v>0.14699999999999999</v>
      </c>
      <c r="X165" s="20"/>
      <c r="Y165" s="4" t="s">
        <v>1379</v>
      </c>
      <c r="Z165" s="21" t="s">
        <v>1380</v>
      </c>
      <c r="AA165" s="22">
        <f t="shared" si="28"/>
        <v>8</v>
      </c>
      <c r="AB165" s="22">
        <f>IF(OR($M165="Yes",$M165="Owner"),IF(COUNTIFS($H$4:$H165,$H165,$M$4:$M165,"Yes")+COUNTIFS($H$4:$H165,$H165,$M$4:$M165,"Owner")=1,1,0),0)</f>
        <v>1</v>
      </c>
      <c r="AC165" s="21" t="s">
        <v>234</v>
      </c>
      <c r="AD165" s="21" t="str">
        <f>MID($H165,18,4)</f>
        <v>9103</v>
      </c>
      <c r="AE165" s="23">
        <f>LEFT($AD165,3)*IF(ISNUMBER(--RIGHT($AD165,1)),10^RIGHT($AD165,1),10^(0-FIND(RIGHT($AD165,1),"JKLM")))</f>
        <v>910000</v>
      </c>
      <c r="AF165" s="23" cm="1">
        <f t="array" ref="AF165">LEFT($E165,FIND(" ",$E165)-1)*IFERROR(INDEX({1000,1000000,0.000000000001,0.000000001,0.000001},MATCH(MID($E165,FIND(" ",$E165)+1,1),{"k","M","p","n","µ"},0)),1)</f>
        <v>910000</v>
      </c>
      <c r="AG165" s="24" t="str">
        <f>IF(AND(RIGHT($E165,1)="Ω",ABS($AF165-$AE165)&lt;=Checks!$C$6*$AE165),"OK","CHECK")</f>
        <v>OK</v>
      </c>
    </row>
    <row r="166" spans="1:33" ht="27.75" customHeight="1" x14ac:dyDescent="0.2">
      <c r="A166" s="6" t="s">
        <v>1038</v>
      </c>
      <c r="B166" s="4" t="s">
        <v>1381</v>
      </c>
      <c r="C166" s="8">
        <v>1</v>
      </c>
      <c r="D166" s="4" t="s">
        <v>1382</v>
      </c>
      <c r="E166" s="5" t="s">
        <v>237</v>
      </c>
      <c r="F166" s="5" t="s">
        <v>154</v>
      </c>
      <c r="G166" s="5" t="s">
        <v>1359</v>
      </c>
      <c r="H166" s="4" t="s">
        <v>238</v>
      </c>
      <c r="I166" s="5" t="s">
        <v>239</v>
      </c>
      <c r="J166" s="4" t="s">
        <v>158</v>
      </c>
      <c r="K166" s="4" t="s">
        <v>175</v>
      </c>
      <c r="L166" s="4" t="s">
        <v>1383</v>
      </c>
      <c r="M166" s="10" t="s">
        <v>177</v>
      </c>
      <c r="N166" s="10"/>
      <c r="O166" s="11">
        <v>2</v>
      </c>
      <c r="P166" s="11">
        <v>0</v>
      </c>
      <c r="Q166" s="13">
        <v>5.0000000000000001E-4</v>
      </c>
      <c r="R166" s="14">
        <f>IF(OR($M166="Yes",$M166="Owner"),$C166*Cost!$B$6,0)</f>
        <v>5</v>
      </c>
      <c r="S166" s="16">
        <f t="shared" si="26"/>
        <v>2.5000000000000001E-3</v>
      </c>
      <c r="T166" s="4" t="s">
        <v>178</v>
      </c>
      <c r="U166" s="19"/>
      <c r="V166" s="14">
        <f>IF($M166="Owner",$R166,IF($M166&lt;&gt;"Yes",0,MAX(IF(LEFT($T166,7)="Passive",$R166+MAX(Cost!$B$8,ROUNDUP(Cost!$B$7*$R166,0)),$R166+Cost!$B$9),N($U166))))</f>
        <v>7</v>
      </c>
      <c r="W166" s="16">
        <f t="shared" si="27"/>
        <v>3.5000000000000001E-3</v>
      </c>
      <c r="X166" s="20"/>
      <c r="Y166" s="4" t="s">
        <v>1384</v>
      </c>
      <c r="Z166" s="21" t="s">
        <v>1385</v>
      </c>
      <c r="AA166" s="22">
        <f t="shared" si="28"/>
        <v>1</v>
      </c>
      <c r="AB166" s="22">
        <f>IF(OR($M166="Yes",$M166="Owner"),IF(COUNTIFS($H$4:$H166,$H166,$M$4:$M166,"Yes")+COUNTIFS($H$4:$H166,$H166,$M$4:$M166,"Owner")=1,1,0),0)</f>
        <v>0</v>
      </c>
      <c r="AC166" s="21" t="s">
        <v>234</v>
      </c>
      <c r="AD166" s="21" t="str">
        <f>MID($H166,18,4)</f>
        <v>1002</v>
      </c>
      <c r="AE166" s="23">
        <f>LEFT($AD166,3)*IF(ISNUMBER(--RIGHT($AD166,1)),10^RIGHT($AD166,1),10^(0-FIND(RIGHT($AD166,1),"JKLM")))</f>
        <v>10000</v>
      </c>
      <c r="AF166" s="23" cm="1">
        <f t="array" ref="AF166">LEFT($E166,FIND(" ",$E166)-1)*IFERROR(INDEX({1000,1000000,0.000000000001,0.000000001,0.000001},MATCH(MID($E166,FIND(" ",$E166)+1,1),{"k","M","p","n","µ"},0)),1)</f>
        <v>10000</v>
      </c>
      <c r="AG166" s="24" t="str">
        <f>IF(AND(RIGHT($E166,1)="Ω",ABS($AF166-$AE166)&lt;=Checks!$C$6*$AE166),"OK","CHECK")</f>
        <v>OK</v>
      </c>
    </row>
    <row r="167" spans="1:33" ht="142.5" customHeight="1" x14ac:dyDescent="0.2">
      <c r="A167" s="6" t="s">
        <v>1038</v>
      </c>
      <c r="B167" s="4" t="s">
        <v>1386</v>
      </c>
      <c r="C167" s="8">
        <v>6</v>
      </c>
      <c r="D167" s="4" t="s">
        <v>1387</v>
      </c>
      <c r="E167" s="5" t="s">
        <v>1388</v>
      </c>
      <c r="F167" s="5" t="s">
        <v>1389</v>
      </c>
      <c r="G167" s="5" t="s">
        <v>1390</v>
      </c>
      <c r="H167" s="4" t="s">
        <v>1391</v>
      </c>
      <c r="I167" s="5" t="s">
        <v>1392</v>
      </c>
      <c r="J167" s="4" t="s">
        <v>174</v>
      </c>
      <c r="K167" s="4" t="s">
        <v>175</v>
      </c>
      <c r="L167" s="4" t="s">
        <v>1393</v>
      </c>
      <c r="M167" s="10" t="s">
        <v>177</v>
      </c>
      <c r="N167" s="10"/>
      <c r="O167" s="11">
        <v>14</v>
      </c>
      <c r="P167" s="11">
        <v>0</v>
      </c>
      <c r="Q167" s="13">
        <v>1.5567</v>
      </c>
      <c r="R167" s="14">
        <f>IF(OR($M167="Yes",$M167="Owner"),$C167*Cost!$B$6,0)</f>
        <v>30</v>
      </c>
      <c r="S167" s="16">
        <f t="shared" si="26"/>
        <v>46.701000000000001</v>
      </c>
      <c r="T167" s="4" t="s">
        <v>222</v>
      </c>
      <c r="U167" s="19"/>
      <c r="V167" s="14">
        <f>IF($M167="Owner",$R167,IF($M167&lt;&gt;"Yes",0,MAX(IF(LEFT($T167,7)="Passive",$R167+MAX(Cost!$B$8,ROUNDUP(Cost!$B$7*$R167,0)),$R167+Cost!$B$9),N($U167))))</f>
        <v>31</v>
      </c>
      <c r="W167" s="16">
        <f t="shared" si="27"/>
        <v>48.2577</v>
      </c>
      <c r="X167" s="20" t="s">
        <v>1394</v>
      </c>
      <c r="Y167" s="4" t="s">
        <v>1395</v>
      </c>
      <c r="Z167" s="21" t="s">
        <v>1396</v>
      </c>
      <c r="AA167" s="22">
        <f t="shared" si="28"/>
        <v>6</v>
      </c>
      <c r="AB167" s="22">
        <f>IF(OR($M167="Yes",$M167="Owner"),IF(COUNTIFS($H$4:$H167,$H167,$M$4:$M167,"Yes")+COUNTIFS($H$4:$H167,$H167,$M$4:$M167,"Owner")=1,1,0),0)</f>
        <v>1</v>
      </c>
      <c r="AC167" s="21"/>
      <c r="AD167" s="21"/>
      <c r="AE167" s="23"/>
      <c r="AF167" s="23"/>
      <c r="AG167" s="24"/>
    </row>
    <row r="168" spans="1:33" ht="40.5" customHeight="1" x14ac:dyDescent="0.2">
      <c r="A168" s="6" t="s">
        <v>1038</v>
      </c>
      <c r="B168" s="4" t="s">
        <v>1397</v>
      </c>
      <c r="C168" s="8">
        <v>1</v>
      </c>
      <c r="D168" s="4" t="s">
        <v>1398</v>
      </c>
      <c r="E168" s="5" t="s">
        <v>1399</v>
      </c>
      <c r="F168" s="5" t="s">
        <v>787</v>
      </c>
      <c r="G168" s="5" t="s">
        <v>1400</v>
      </c>
      <c r="H168" s="4" t="s">
        <v>1401</v>
      </c>
      <c r="I168" s="5" t="s">
        <v>1402</v>
      </c>
      <c r="J168" s="4" t="s">
        <v>1403</v>
      </c>
      <c r="K168" s="4" t="s">
        <v>175</v>
      </c>
      <c r="L168" s="4" t="s">
        <v>1404</v>
      </c>
      <c r="M168" s="10" t="s">
        <v>177</v>
      </c>
      <c r="N168" s="10"/>
      <c r="O168" s="11">
        <v>8</v>
      </c>
      <c r="P168" s="11">
        <v>0</v>
      </c>
      <c r="Q168" s="13">
        <v>0.65549999999999997</v>
      </c>
      <c r="R168" s="14">
        <f>IF(OR($M168="Yes",$M168="Owner"),$C168*Cost!$B$6,0)</f>
        <v>5</v>
      </c>
      <c r="S168" s="16">
        <f t="shared" si="26"/>
        <v>3.2774999999999999</v>
      </c>
      <c r="T168" s="4" t="s">
        <v>222</v>
      </c>
      <c r="U168" s="19"/>
      <c r="V168" s="14">
        <f>IF($M168="Owner",$R168,IF($M168&lt;&gt;"Yes",0,MAX(IF(LEFT($T168,7)="Passive",$R168+MAX(Cost!$B$8,ROUNDUP(Cost!$B$7*$R168,0)),$R168+Cost!$B$9),N($U168))))</f>
        <v>6</v>
      </c>
      <c r="W168" s="16">
        <f t="shared" si="27"/>
        <v>3.9329999999999998</v>
      </c>
      <c r="X168" s="20" t="s">
        <v>1405</v>
      </c>
      <c r="Y168" s="4"/>
      <c r="Z168" s="21" t="s">
        <v>1406</v>
      </c>
      <c r="AA168" s="22">
        <f t="shared" si="28"/>
        <v>1</v>
      </c>
      <c r="AB168" s="22">
        <f>IF(OR($M168="Yes",$M168="Owner"),IF(COUNTIFS($H$4:$H168,$H168,$M$4:$M168,"Yes")+COUNTIFS($H$4:$H168,$H168,$M$4:$M168,"Owner")=1,1,0),0)</f>
        <v>1</v>
      </c>
      <c r="AC168" s="21"/>
      <c r="AD168" s="21"/>
      <c r="AE168" s="23"/>
      <c r="AF168" s="23"/>
      <c r="AG168" s="24"/>
    </row>
    <row r="169" spans="1:33" ht="91.5" customHeight="1" x14ac:dyDescent="0.2">
      <c r="A169" s="6" t="s">
        <v>1038</v>
      </c>
      <c r="B169" s="4" t="s">
        <v>1407</v>
      </c>
      <c r="C169" s="8">
        <v>1</v>
      </c>
      <c r="D169" s="4" t="s">
        <v>1408</v>
      </c>
      <c r="E169" s="5" t="s">
        <v>1409</v>
      </c>
      <c r="F169" s="5" t="s">
        <v>787</v>
      </c>
      <c r="G169" s="5" t="s">
        <v>1410</v>
      </c>
      <c r="H169" s="4" t="s">
        <v>1411</v>
      </c>
      <c r="I169" s="5" t="s">
        <v>1412</v>
      </c>
      <c r="J169" s="4" t="s">
        <v>174</v>
      </c>
      <c r="K169" s="4" t="s">
        <v>175</v>
      </c>
      <c r="L169" s="4" t="s">
        <v>1413</v>
      </c>
      <c r="M169" s="10" t="s">
        <v>177</v>
      </c>
      <c r="N169" s="10"/>
      <c r="O169" s="11">
        <v>8</v>
      </c>
      <c r="P169" s="11">
        <v>0</v>
      </c>
      <c r="Q169" s="13">
        <v>0.67710000000000004</v>
      </c>
      <c r="R169" s="14">
        <f>IF(OR($M169="Yes",$M169="Owner"),$C169*Cost!$B$6,0)</f>
        <v>5</v>
      </c>
      <c r="S169" s="16">
        <f t="shared" si="26"/>
        <v>3.3855000000000004</v>
      </c>
      <c r="T169" s="4" t="s">
        <v>222</v>
      </c>
      <c r="U169" s="19"/>
      <c r="V169" s="14">
        <f>IF($M169="Owner",$R169,IF($M169&lt;&gt;"Yes",0,MAX(IF(LEFT($T169,7)="Passive",$R169+MAX(Cost!$B$8,ROUNDUP(Cost!$B$7*$R169,0)),$R169+Cost!$B$9),N($U169))))</f>
        <v>6</v>
      </c>
      <c r="W169" s="16">
        <f t="shared" si="27"/>
        <v>4.0625999999999998</v>
      </c>
      <c r="X169" s="20" t="s">
        <v>1414</v>
      </c>
      <c r="Y169" s="4" t="s">
        <v>1415</v>
      </c>
      <c r="Z169" s="21" t="s">
        <v>1416</v>
      </c>
      <c r="AA169" s="22">
        <f t="shared" si="28"/>
        <v>1</v>
      </c>
      <c r="AB169" s="22">
        <f>IF(OR($M169="Yes",$M169="Owner"),IF(COUNTIFS($H$4:$H169,$H169,$M$4:$M169,"Yes")+COUNTIFS($H$4:$H169,$H169,$M$4:$M169,"Owner")=1,1,0),0)</f>
        <v>1</v>
      </c>
      <c r="AC169" s="21"/>
      <c r="AD169" s="21"/>
      <c r="AE169" s="23"/>
      <c r="AF169" s="23"/>
      <c r="AG169" s="24"/>
    </row>
    <row r="170" spans="1:33" ht="40.5" customHeight="1" x14ac:dyDescent="0.2">
      <c r="A170" s="6" t="s">
        <v>1038</v>
      </c>
      <c r="B170" s="4" t="s">
        <v>1417</v>
      </c>
      <c r="C170" s="8">
        <v>1</v>
      </c>
      <c r="D170" s="4" t="s">
        <v>1418</v>
      </c>
      <c r="E170" s="5" t="s">
        <v>1419</v>
      </c>
      <c r="F170" s="5" t="s">
        <v>1420</v>
      </c>
      <c r="G170" s="5" t="s">
        <v>1421</v>
      </c>
      <c r="H170" s="4" t="s">
        <v>1422</v>
      </c>
      <c r="I170" s="5" t="s">
        <v>1423</v>
      </c>
      <c r="J170" s="4" t="s">
        <v>174</v>
      </c>
      <c r="K170" s="4" t="s">
        <v>220</v>
      </c>
      <c r="L170" s="4" t="s">
        <v>1424</v>
      </c>
      <c r="M170" s="10" t="s">
        <v>177</v>
      </c>
      <c r="N170" s="10"/>
      <c r="O170" s="11">
        <v>5</v>
      </c>
      <c r="P170" s="11">
        <v>0</v>
      </c>
      <c r="Q170" s="13">
        <v>0.1</v>
      </c>
      <c r="R170" s="14">
        <f>IF(OR($M170="Yes",$M170="Owner"),$C170*Cost!$B$6,0)</f>
        <v>5</v>
      </c>
      <c r="S170" s="16">
        <f t="shared" si="26"/>
        <v>0.5</v>
      </c>
      <c r="T170" s="4" t="s">
        <v>222</v>
      </c>
      <c r="U170" s="19"/>
      <c r="V170" s="14">
        <f>IF($M170="Owner",$R170,IF($M170&lt;&gt;"Yes",0,MAX(IF(LEFT($T170,7)="Passive",$R170+MAX(Cost!$B$8,ROUNDUP(Cost!$B$7*$R170,0)),$R170+Cost!$B$9),N($U170))))</f>
        <v>6</v>
      </c>
      <c r="W170" s="16">
        <f t="shared" si="27"/>
        <v>0.60000000000000009</v>
      </c>
      <c r="X170" s="20" t="s">
        <v>1425</v>
      </c>
      <c r="Y170" s="4"/>
      <c r="Z170" s="21" t="s">
        <v>1426</v>
      </c>
      <c r="AA170" s="22">
        <f t="shared" si="28"/>
        <v>1</v>
      </c>
      <c r="AB170" s="22">
        <f>IF(OR($M170="Yes",$M170="Owner"),IF(COUNTIFS($H$4:$H170,$H170,$M$4:$M170,"Yes")+COUNTIFS($H$4:$H170,$H170,$M$4:$M170,"Owner")=1,1,0),0)</f>
        <v>1</v>
      </c>
      <c r="AC170" s="21"/>
      <c r="AD170" s="21"/>
      <c r="AE170" s="23"/>
      <c r="AF170" s="23"/>
      <c r="AG170" s="24"/>
    </row>
    <row r="171" spans="1:33" ht="40.5" customHeight="1" x14ac:dyDescent="0.2">
      <c r="A171" s="6" t="s">
        <v>1038</v>
      </c>
      <c r="B171" s="4" t="s">
        <v>1427</v>
      </c>
      <c r="C171" s="8">
        <v>1</v>
      </c>
      <c r="D171" s="4" t="s">
        <v>1428</v>
      </c>
      <c r="E171" s="5" t="s">
        <v>1429</v>
      </c>
      <c r="F171" s="5" t="s">
        <v>1430</v>
      </c>
      <c r="G171" s="5" t="s">
        <v>1431</v>
      </c>
      <c r="H171" s="4" t="s">
        <v>1432</v>
      </c>
      <c r="I171" s="5" t="s">
        <v>1433</v>
      </c>
      <c r="J171" s="4" t="s">
        <v>1434</v>
      </c>
      <c r="K171" s="4" t="s">
        <v>175</v>
      </c>
      <c r="L171" s="4" t="s">
        <v>1435</v>
      </c>
      <c r="M171" s="10" t="s">
        <v>177</v>
      </c>
      <c r="N171" s="10"/>
      <c r="O171" s="11">
        <v>8</v>
      </c>
      <c r="P171" s="11">
        <v>0</v>
      </c>
      <c r="Q171" s="13">
        <v>0.12</v>
      </c>
      <c r="R171" s="14">
        <f>IF(OR($M171="Yes",$M171="Owner"),$C171*Cost!$B$6,0)</f>
        <v>5</v>
      </c>
      <c r="S171" s="16">
        <f t="shared" si="26"/>
        <v>0.6</v>
      </c>
      <c r="T171" s="4" t="s">
        <v>222</v>
      </c>
      <c r="U171" s="19"/>
      <c r="V171" s="14">
        <f>IF($M171="Owner",$R171,IF($M171&lt;&gt;"Yes",0,MAX(IF(LEFT($T171,7)="Passive",$R171+MAX(Cost!$B$8,ROUNDUP(Cost!$B$7*$R171,0)),$R171+Cost!$B$9),N($U171))))</f>
        <v>6</v>
      </c>
      <c r="W171" s="16">
        <f t="shared" si="27"/>
        <v>0.72</v>
      </c>
      <c r="X171" s="20"/>
      <c r="Y171" s="4" t="s">
        <v>1436</v>
      </c>
      <c r="Z171" s="21" t="s">
        <v>1437</v>
      </c>
      <c r="AA171" s="22">
        <f t="shared" si="28"/>
        <v>1</v>
      </c>
      <c r="AB171" s="22">
        <f>IF(OR($M171="Yes",$M171="Owner"),IF(COUNTIFS($H$4:$H171,$H171,$M$4:$M171,"Yes")+COUNTIFS($H$4:$H171,$H171,$M$4:$M171,"Owner")=1,1,0),0)</f>
        <v>1</v>
      </c>
      <c r="AC171" s="21"/>
      <c r="AD171" s="21"/>
      <c r="AE171" s="23"/>
      <c r="AF171" s="23"/>
      <c r="AG171" s="24"/>
    </row>
    <row r="172" spans="1:33" ht="66" customHeight="1" x14ac:dyDescent="0.2">
      <c r="A172" s="6" t="s">
        <v>1038</v>
      </c>
      <c r="B172" s="4" t="s">
        <v>1438</v>
      </c>
      <c r="C172" s="8">
        <v>8</v>
      </c>
      <c r="D172" s="4" t="s">
        <v>1439</v>
      </c>
      <c r="E172" s="5" t="s">
        <v>1409</v>
      </c>
      <c r="F172" s="5" t="s">
        <v>1440</v>
      </c>
      <c r="G172" s="5" t="s">
        <v>1441</v>
      </c>
      <c r="H172" s="4" t="s">
        <v>1442</v>
      </c>
      <c r="I172" s="5" t="s">
        <v>1443</v>
      </c>
      <c r="J172" s="4" t="s">
        <v>174</v>
      </c>
      <c r="K172" s="4" t="s">
        <v>175</v>
      </c>
      <c r="L172" s="4" t="s">
        <v>1444</v>
      </c>
      <c r="M172" s="10" t="s">
        <v>177</v>
      </c>
      <c r="N172" s="10"/>
      <c r="O172" s="11">
        <v>8</v>
      </c>
      <c r="P172" s="11">
        <v>0</v>
      </c>
      <c r="Q172" s="13">
        <v>1.3642000000000001</v>
      </c>
      <c r="R172" s="14">
        <f>IF(OR($M172="Yes",$M172="Owner"),$C172*Cost!$B$6,0)</f>
        <v>40</v>
      </c>
      <c r="S172" s="16">
        <f t="shared" si="26"/>
        <v>54.568000000000005</v>
      </c>
      <c r="T172" s="4" t="s">
        <v>222</v>
      </c>
      <c r="U172" s="19"/>
      <c r="V172" s="14">
        <f>IF($M172="Owner",$R172,IF($M172&lt;&gt;"Yes",0,MAX(IF(LEFT($T172,7)="Passive",$R172+MAX(Cost!$B$8,ROUNDUP(Cost!$B$7*$R172,0)),$R172+Cost!$B$9),N($U172))))</f>
        <v>41</v>
      </c>
      <c r="W172" s="16">
        <f t="shared" si="27"/>
        <v>55.932200000000002</v>
      </c>
      <c r="X172" s="20" t="s">
        <v>1414</v>
      </c>
      <c r="Y172" s="4" t="s">
        <v>1445</v>
      </c>
      <c r="Z172" s="21" t="s">
        <v>1446</v>
      </c>
      <c r="AA172" s="22">
        <f t="shared" si="28"/>
        <v>8</v>
      </c>
      <c r="AB172" s="22">
        <f>IF(OR($M172="Yes",$M172="Owner"),IF(COUNTIFS($H$4:$H172,$H172,$M$4:$M172,"Yes")+COUNTIFS($H$4:$H172,$H172,$M$4:$M172,"Owner")=1,1,0),0)</f>
        <v>1</v>
      </c>
      <c r="AC172" s="21"/>
      <c r="AD172" s="21"/>
      <c r="AE172" s="23"/>
      <c r="AF172" s="23"/>
      <c r="AG172" s="24"/>
    </row>
    <row r="173" spans="1:33" ht="66" customHeight="1" x14ac:dyDescent="0.2">
      <c r="A173" s="7" t="s">
        <v>1447</v>
      </c>
      <c r="B173" s="4" t="s">
        <v>1448</v>
      </c>
      <c r="C173" s="8">
        <v>4</v>
      </c>
      <c r="D173" s="4" t="s">
        <v>1449</v>
      </c>
      <c r="E173" s="5" t="s">
        <v>1450</v>
      </c>
      <c r="F173" s="5" t="s">
        <v>1451</v>
      </c>
      <c r="G173" s="5" t="s">
        <v>1452</v>
      </c>
      <c r="H173" s="4" t="s">
        <v>1453</v>
      </c>
      <c r="I173" s="5" t="s">
        <v>1454</v>
      </c>
      <c r="J173" s="4" t="s">
        <v>174</v>
      </c>
      <c r="K173" s="4" t="s">
        <v>175</v>
      </c>
      <c r="L173" s="4" t="s">
        <v>1455</v>
      </c>
      <c r="M173" s="10" t="s">
        <v>177</v>
      </c>
      <c r="N173" s="10"/>
      <c r="O173" s="11">
        <v>2</v>
      </c>
      <c r="P173" s="11">
        <v>0</v>
      </c>
      <c r="Q173" s="13">
        <v>1.55E-2</v>
      </c>
      <c r="R173" s="14">
        <f>IF(OR($M173="Yes",$M173="Owner"),$C173*Cost!$B$6,0)</f>
        <v>20</v>
      </c>
      <c r="S173" s="16">
        <f t="shared" si="26"/>
        <v>0.31</v>
      </c>
      <c r="T173" s="4" t="s">
        <v>222</v>
      </c>
      <c r="U173" s="19"/>
      <c r="V173" s="14">
        <f>IF($M173="Owner",$R173,IF($M173&lt;&gt;"Yes",0,MAX(IF(LEFT($T173,7)="Passive",$R173+MAX(Cost!$B$8,ROUNDUP(Cost!$B$7*$R173,0)),$R173+Cost!$B$9),N($U173))))</f>
        <v>21</v>
      </c>
      <c r="W173" s="16">
        <f t="shared" si="27"/>
        <v>0.32550000000000001</v>
      </c>
      <c r="X173" s="20" t="s">
        <v>1456</v>
      </c>
      <c r="Y173" s="4" t="s">
        <v>1457</v>
      </c>
      <c r="Z173" s="21" t="s">
        <v>1458</v>
      </c>
      <c r="AA173" s="22">
        <f t="shared" si="28"/>
        <v>4</v>
      </c>
      <c r="AB173" s="22">
        <f>IF(OR($M173="Yes",$M173="Owner"),IF(COUNTIFS($H$4:$H173,$H173,$M$4:$M173,"Yes")+COUNTIFS($H$4:$H173,$H173,$M$4:$M173,"Owner")=1,1,0),0)</f>
        <v>1</v>
      </c>
      <c r="AC173" s="21"/>
      <c r="AD173" s="21"/>
      <c r="AE173" s="23"/>
      <c r="AF173" s="23"/>
      <c r="AG173" s="24"/>
    </row>
    <row r="174" spans="1:33" ht="27.75" customHeight="1" x14ac:dyDescent="0.2">
      <c r="A174" s="6" t="s">
        <v>1447</v>
      </c>
      <c r="B174" s="4" t="s">
        <v>1459</v>
      </c>
      <c r="C174" s="8">
        <v>1</v>
      </c>
      <c r="D174" s="4" t="s">
        <v>1460</v>
      </c>
      <c r="E174" s="5" t="s">
        <v>1461</v>
      </c>
      <c r="F174" s="5" t="s">
        <v>170</v>
      </c>
      <c r="G174" s="5" t="s">
        <v>1462</v>
      </c>
      <c r="H174" s="166" t="s">
        <v>1463</v>
      </c>
      <c r="I174" s="5" t="s">
        <v>1464</v>
      </c>
      <c r="J174" s="4" t="s">
        <v>158</v>
      </c>
      <c r="K174" s="4" t="s">
        <v>175</v>
      </c>
      <c r="L174" s="4" t="s">
        <v>188</v>
      </c>
      <c r="M174" s="10" t="s">
        <v>177</v>
      </c>
      <c r="N174" s="10"/>
      <c r="O174" s="11">
        <v>2</v>
      </c>
      <c r="P174" s="11">
        <v>0</v>
      </c>
      <c r="Q174" s="13">
        <v>1.6299999999999999E-2</v>
      </c>
      <c r="R174" s="14">
        <f>IF(OR($M174="Yes",$M174="Owner"),$C174*Cost!$B$6,0)</f>
        <v>5</v>
      </c>
      <c r="S174" s="16">
        <f t="shared" si="26"/>
        <v>8.1499999999999989E-2</v>
      </c>
      <c r="T174" s="4" t="s">
        <v>222</v>
      </c>
      <c r="U174" s="19"/>
      <c r="V174" s="14">
        <f>IF($M174="Owner",$R174,IF($M174&lt;&gt;"Yes",0,MAX(IF(LEFT($T174,7)="Passive",$R174+MAX(Cost!$B$8,ROUNDUP(Cost!$B$7*$R174,0)),$R174+Cost!$B$9),N($U174))))</f>
        <v>6</v>
      </c>
      <c r="W174" s="16">
        <f t="shared" si="27"/>
        <v>9.7799999999999998E-2</v>
      </c>
      <c r="X174" s="20" t="s">
        <v>1465</v>
      </c>
      <c r="Y174" s="4" t="s">
        <v>1466</v>
      </c>
      <c r="Z174" s="21" t="s">
        <v>1467</v>
      </c>
      <c r="AA174" s="22">
        <f t="shared" si="28"/>
        <v>1</v>
      </c>
      <c r="AB174" s="22">
        <f>IF(OR($M174="Yes",$M174="Owner"),IF(COUNTIFS($H$4:$H174,$H174,$M$4:$M174,"Yes")+COUNTIFS($H$4:$H174,$H174,$M$4:$M174,"Owner")=1,1,0),0)</f>
        <v>1</v>
      </c>
      <c r="AC174" s="21"/>
      <c r="AD174" s="21"/>
      <c r="AE174" s="23"/>
      <c r="AF174" s="23"/>
      <c r="AG174" s="24"/>
    </row>
    <row r="175" spans="1:33" ht="27.75" customHeight="1" x14ac:dyDescent="0.2">
      <c r="A175" s="6" t="s">
        <v>1447</v>
      </c>
      <c r="B175" s="4" t="s">
        <v>1468</v>
      </c>
      <c r="C175" s="8">
        <v>1</v>
      </c>
      <c r="D175" s="4" t="s">
        <v>1469</v>
      </c>
      <c r="E175" s="5" t="s">
        <v>1470</v>
      </c>
      <c r="F175" s="5" t="s">
        <v>347</v>
      </c>
      <c r="G175" s="5" t="s">
        <v>1471</v>
      </c>
      <c r="H175" s="4" t="s">
        <v>1472</v>
      </c>
      <c r="I175" s="5" t="s">
        <v>1473</v>
      </c>
      <c r="J175" s="4" t="s">
        <v>158</v>
      </c>
      <c r="K175" s="4" t="s">
        <v>175</v>
      </c>
      <c r="L175" s="4" t="s">
        <v>188</v>
      </c>
      <c r="M175" s="10" t="s">
        <v>177</v>
      </c>
      <c r="N175" s="10"/>
      <c r="O175" s="11">
        <v>2</v>
      </c>
      <c r="P175" s="11">
        <v>0</v>
      </c>
      <c r="Q175" s="13">
        <v>7.4999999999999997E-3</v>
      </c>
      <c r="R175" s="14">
        <f>IF(OR($M175="Yes",$M175="Owner"),$C175*Cost!$B$6,0)</f>
        <v>5</v>
      </c>
      <c r="S175" s="16">
        <f t="shared" si="26"/>
        <v>3.7499999999999999E-2</v>
      </c>
      <c r="T175" s="4" t="s">
        <v>222</v>
      </c>
      <c r="U175" s="19"/>
      <c r="V175" s="14">
        <f>IF($M175="Owner",$R175,IF($M175&lt;&gt;"Yes",0,MAX(IF(LEFT($T175,7)="Passive",$R175+MAX(Cost!$B$8,ROUNDUP(Cost!$B$7*$R175,0)),$R175+Cost!$B$9),N($U175))))</f>
        <v>6</v>
      </c>
      <c r="W175" s="16">
        <f t="shared" si="27"/>
        <v>4.4999999999999998E-2</v>
      </c>
      <c r="X175" s="20" t="s">
        <v>1474</v>
      </c>
      <c r="Y175" s="4" t="s">
        <v>1466</v>
      </c>
      <c r="Z175" s="21" t="s">
        <v>1475</v>
      </c>
      <c r="AA175" s="22">
        <f t="shared" si="28"/>
        <v>1</v>
      </c>
      <c r="AB175" s="22">
        <f>IF(OR($M175="Yes",$M175="Owner"),IF(COUNTIFS($H$4:$H175,$H175,$M$4:$M175,"Yes")+COUNTIFS($H$4:$H175,$H175,$M$4:$M175,"Owner")=1,1,0),0)</f>
        <v>1</v>
      </c>
      <c r="AC175" s="21"/>
      <c r="AD175" s="21"/>
      <c r="AE175" s="23"/>
      <c r="AF175" s="23"/>
      <c r="AG175" s="24"/>
    </row>
    <row r="176" spans="1:33" ht="150" customHeight="1" x14ac:dyDescent="0.2">
      <c r="A176" s="6" t="s">
        <v>1447</v>
      </c>
      <c r="B176" s="4" t="s">
        <v>1476</v>
      </c>
      <c r="C176" s="8">
        <v>1</v>
      </c>
      <c r="D176" s="4" t="s">
        <v>1477</v>
      </c>
      <c r="E176" s="5" t="s">
        <v>162</v>
      </c>
      <c r="F176" s="5" t="s">
        <v>1478</v>
      </c>
      <c r="G176" s="5" t="s">
        <v>1479</v>
      </c>
      <c r="H176" s="4" t="s">
        <v>1480</v>
      </c>
      <c r="I176" s="5" t="s">
        <v>1481</v>
      </c>
      <c r="J176" s="4" t="s">
        <v>162</v>
      </c>
      <c r="K176" s="4" t="s">
        <v>1482</v>
      </c>
      <c r="L176" s="4" t="s">
        <v>1483</v>
      </c>
      <c r="M176" s="10" t="s">
        <v>209</v>
      </c>
      <c r="N176" s="10"/>
      <c r="O176" s="11">
        <v>0</v>
      </c>
      <c r="P176" s="11">
        <v>12</v>
      </c>
      <c r="Q176" s="13">
        <v>6.9059999999999997</v>
      </c>
      <c r="R176" s="14">
        <f>IF(OR($M176="Yes",$M176="Owner"),$C176*Cost!$B$6,0)</f>
        <v>5</v>
      </c>
      <c r="S176" s="16">
        <f t="shared" si="26"/>
        <v>34.53</v>
      </c>
      <c r="T176" s="4" t="s">
        <v>210</v>
      </c>
      <c r="U176" s="19"/>
      <c r="V176" s="14">
        <f>IF($M176="Owner",$R176,IF($M176&lt;&gt;"Yes",0,MAX(IF(LEFT($T176,7)="Passive",$R176+MAX(Cost!$B$8,ROUNDUP(Cost!$B$7*$R176,0)),$R176+Cost!$B$9),N($U176))))</f>
        <v>5</v>
      </c>
      <c r="W176" s="16">
        <f t="shared" si="27"/>
        <v>34.53</v>
      </c>
      <c r="X176" s="20" t="s">
        <v>1484</v>
      </c>
      <c r="Y176" s="4" t="s">
        <v>1485</v>
      </c>
      <c r="Z176" s="21" t="s">
        <v>1486</v>
      </c>
      <c r="AA176" s="22">
        <f t="shared" si="28"/>
        <v>1</v>
      </c>
      <c r="AB176" s="22">
        <f>IF(OR($M176="Yes",$M176="Owner"),IF(COUNTIFS($H$4:$H176,$H176,$M$4:$M176,"Yes")+COUNTIFS($H$4:$H176,$H176,$M$4:$M176,"Owner")=1,1,0),0)</f>
        <v>1</v>
      </c>
      <c r="AC176" s="21"/>
      <c r="AD176" s="21"/>
      <c r="AE176" s="23"/>
      <c r="AF176" s="23"/>
      <c r="AG176" s="24"/>
    </row>
    <row r="177" spans="1:33" ht="150" customHeight="1" x14ac:dyDescent="0.2">
      <c r="A177" s="6" t="s">
        <v>1447</v>
      </c>
      <c r="B177" s="4" t="s">
        <v>1487</v>
      </c>
      <c r="C177" s="8">
        <v>1</v>
      </c>
      <c r="D177" s="4" t="s">
        <v>1488</v>
      </c>
      <c r="E177" s="5" t="s">
        <v>162</v>
      </c>
      <c r="F177" s="5" t="s">
        <v>1489</v>
      </c>
      <c r="G177" s="5" t="s">
        <v>1490</v>
      </c>
      <c r="H177" s="4" t="s">
        <v>1491</v>
      </c>
      <c r="I177" s="5" t="s">
        <v>1492</v>
      </c>
      <c r="J177" s="4" t="s">
        <v>174</v>
      </c>
      <c r="K177" s="4" t="s">
        <v>175</v>
      </c>
      <c r="L177" s="4" t="s">
        <v>1493</v>
      </c>
      <c r="M177" s="10" t="s">
        <v>177</v>
      </c>
      <c r="N177" s="10"/>
      <c r="O177" s="11">
        <v>4</v>
      </c>
      <c r="P177" s="11">
        <v>2</v>
      </c>
      <c r="Q177" s="13">
        <v>0.29210000000000003</v>
      </c>
      <c r="R177" s="14">
        <f>IF(OR($M177="Yes",$M177="Owner"),$C177*Cost!$B$6,0)</f>
        <v>5</v>
      </c>
      <c r="S177" s="16">
        <f t="shared" si="26"/>
        <v>1.4605000000000001</v>
      </c>
      <c r="T177" s="4" t="s">
        <v>222</v>
      </c>
      <c r="U177" s="19"/>
      <c r="V177" s="14">
        <f>IF($M177="Owner",$R177,IF($M177&lt;&gt;"Yes",0,MAX(IF(LEFT($T177,7)="Passive",$R177+MAX(Cost!$B$8,ROUNDUP(Cost!$B$7*$R177,0)),$R177+Cost!$B$9),N($U177))))</f>
        <v>6</v>
      </c>
      <c r="W177" s="16">
        <f t="shared" si="27"/>
        <v>1.7526000000000002</v>
      </c>
      <c r="X177" s="20" t="s">
        <v>1494</v>
      </c>
      <c r="Y177" s="4" t="s">
        <v>1495</v>
      </c>
      <c r="Z177" s="21" t="s">
        <v>1496</v>
      </c>
      <c r="AA177" s="22">
        <f t="shared" si="28"/>
        <v>1</v>
      </c>
      <c r="AB177" s="22">
        <f>IF(OR($M177="Yes",$M177="Owner"),IF(COUNTIFS($H$4:$H177,$H177,$M$4:$M177,"Yes")+COUNTIFS($H$4:$H177,$H177,$M$4:$M177,"Owner")=1,1,0),0)</f>
        <v>1</v>
      </c>
      <c r="AC177" s="21"/>
      <c r="AD177" s="21"/>
      <c r="AE177" s="23"/>
      <c r="AF177" s="23"/>
      <c r="AG177" s="24"/>
    </row>
    <row r="178" spans="1:33" ht="27.75" customHeight="1" x14ac:dyDescent="0.2">
      <c r="A178" s="6" t="s">
        <v>1447</v>
      </c>
      <c r="B178" s="4" t="s">
        <v>1497</v>
      </c>
      <c r="C178" s="8">
        <v>1</v>
      </c>
      <c r="D178" s="4" t="s">
        <v>1498</v>
      </c>
      <c r="E178" s="5" t="s">
        <v>1499</v>
      </c>
      <c r="F178" s="5" t="s">
        <v>1500</v>
      </c>
      <c r="G178" s="5" t="s">
        <v>162</v>
      </c>
      <c r="H178" s="4" t="s">
        <v>1501</v>
      </c>
      <c r="I178" s="5" t="s">
        <v>162</v>
      </c>
      <c r="J178" s="4" t="s">
        <v>162</v>
      </c>
      <c r="K178" s="4" t="s">
        <v>159</v>
      </c>
      <c r="L178" s="4" t="s">
        <v>162</v>
      </c>
      <c r="M178" s="10" t="s">
        <v>161</v>
      </c>
      <c r="N178" s="10"/>
      <c r="O178" s="11">
        <v>0</v>
      </c>
      <c r="P178" s="11">
        <v>6</v>
      </c>
      <c r="Q178" s="13">
        <v>0.1</v>
      </c>
      <c r="R178" s="14">
        <f>IF(OR($M178="Yes",$M178="Owner"),$C178*Cost!$B$6,0)</f>
        <v>0</v>
      </c>
      <c r="S178" s="16">
        <f t="shared" si="26"/>
        <v>0</v>
      </c>
      <c r="T178" s="4" t="s">
        <v>162</v>
      </c>
      <c r="U178" s="19"/>
      <c r="V178" s="14">
        <f>IF($M178="Owner",$R178,IF($M178&lt;&gt;"Yes",0,MAX(IF(LEFT($T178,7)="Passive",$R178+MAX(Cost!$B$8,ROUNDUP(Cost!$B$7*$R178,0)),$R178+Cost!$B$9),N($U178))))</f>
        <v>0</v>
      </c>
      <c r="W178" s="16">
        <f t="shared" si="27"/>
        <v>0</v>
      </c>
      <c r="X178" s="20"/>
      <c r="Y178" s="4" t="s">
        <v>1502</v>
      </c>
      <c r="Z178" s="21" t="s">
        <v>1503</v>
      </c>
      <c r="AA178" s="22">
        <f t="shared" si="28"/>
        <v>1</v>
      </c>
      <c r="AB178" s="22">
        <f>IF(OR($M178="Yes",$M178="Owner"),IF(COUNTIFS($H$4:$H178,$H178,$M$4:$M178,"Yes")+COUNTIFS($H$4:$H178,$H178,$M$4:$M178,"Owner")=1,1,0),0)</f>
        <v>0</v>
      </c>
      <c r="AC178" s="21"/>
      <c r="AD178" s="21"/>
      <c r="AE178" s="23"/>
      <c r="AF178" s="23"/>
      <c r="AG178" s="24"/>
    </row>
    <row r="179" spans="1:33" ht="27.75" customHeight="1" x14ac:dyDescent="0.2">
      <c r="A179" s="6" t="s">
        <v>1447</v>
      </c>
      <c r="B179" s="4" t="s">
        <v>1504</v>
      </c>
      <c r="C179" s="8">
        <v>1</v>
      </c>
      <c r="D179" s="4" t="s">
        <v>1505</v>
      </c>
      <c r="E179" s="5" t="s">
        <v>1201</v>
      </c>
      <c r="F179" s="5" t="s">
        <v>154</v>
      </c>
      <c r="G179" s="5" t="s">
        <v>229</v>
      </c>
      <c r="H179" s="4" t="s">
        <v>1202</v>
      </c>
      <c r="I179" s="5" t="s">
        <v>1203</v>
      </c>
      <c r="J179" s="4" t="s">
        <v>158</v>
      </c>
      <c r="K179" s="4" t="s">
        <v>175</v>
      </c>
      <c r="L179" s="4" t="s">
        <v>188</v>
      </c>
      <c r="M179" s="10" t="s">
        <v>177</v>
      </c>
      <c r="N179" s="10"/>
      <c r="O179" s="11">
        <v>2</v>
      </c>
      <c r="P179" s="11">
        <v>0</v>
      </c>
      <c r="Q179" s="13">
        <v>2E-3</v>
      </c>
      <c r="R179" s="14">
        <f>IF(OR($M179="Yes",$M179="Owner"),$C179*Cost!$B$6,0)</f>
        <v>5</v>
      </c>
      <c r="S179" s="16">
        <f t="shared" si="26"/>
        <v>0.01</v>
      </c>
      <c r="T179" s="4" t="s">
        <v>178</v>
      </c>
      <c r="U179" s="19"/>
      <c r="V179" s="14">
        <f>IF($M179="Owner",$R179,IF($M179&lt;&gt;"Yes",0,MAX(IF(LEFT($T179,7)="Passive",$R179+MAX(Cost!$B$8,ROUNDUP(Cost!$B$7*$R179,0)),$R179+Cost!$B$9),N($U179))))</f>
        <v>7</v>
      </c>
      <c r="W179" s="16">
        <f t="shared" si="27"/>
        <v>1.4E-2</v>
      </c>
      <c r="X179" s="20" t="s">
        <v>1204</v>
      </c>
      <c r="Y179" s="4" t="s">
        <v>1506</v>
      </c>
      <c r="Z179" s="21" t="s">
        <v>1507</v>
      </c>
      <c r="AA179" s="22">
        <f t="shared" si="28"/>
        <v>1</v>
      </c>
      <c r="AB179" s="22">
        <f>IF(OR($M179="Yes",$M179="Owner"),IF(COUNTIFS($H$4:$H179,$H179,$M$4:$M179,"Yes")+COUNTIFS($H$4:$H179,$H179,$M$4:$M179,"Owner")=1,1,0),0)</f>
        <v>0</v>
      </c>
      <c r="AC179" s="21" t="s">
        <v>234</v>
      </c>
      <c r="AD179" s="21" t="str">
        <f>MID($H179,18,4)</f>
        <v>1001</v>
      </c>
      <c r="AE179" s="23">
        <f>LEFT($AD179,3)*IF(ISNUMBER(--RIGHT($AD179,1)),10^RIGHT($AD179,1),10^(0-FIND(RIGHT($AD179,1),"JKLM")))</f>
        <v>1000</v>
      </c>
      <c r="AF179" s="23" cm="1">
        <f t="array" ref="AF179">LEFT($E179,FIND(" ",$E179)-1)*IFERROR(INDEX({1000,1000000,0.000000000001,0.000000001,0.000001},MATCH(MID($E179,FIND(" ",$E179)+1,1),{"k","M","p","n","µ"},0)),1)</f>
        <v>1000</v>
      </c>
      <c r="AG179" s="24" t="str">
        <f>IF(AND(RIGHT($E179,1)="Ω",ABS($AF179-$AE179)&lt;=Checks!$C$6*$AE179),"OK","CHECK")</f>
        <v>OK</v>
      </c>
    </row>
    <row r="180" spans="1:33" ht="27.75" customHeight="1" x14ac:dyDescent="0.2">
      <c r="A180" s="6" t="s">
        <v>1447</v>
      </c>
      <c r="B180" s="4" t="s">
        <v>1508</v>
      </c>
      <c r="C180" s="8">
        <v>1</v>
      </c>
      <c r="D180" s="4" t="s">
        <v>1509</v>
      </c>
      <c r="E180" s="5" t="s">
        <v>1271</v>
      </c>
      <c r="F180" s="5" t="s">
        <v>154</v>
      </c>
      <c r="G180" s="5" t="s">
        <v>229</v>
      </c>
      <c r="H180" s="4" t="s">
        <v>1272</v>
      </c>
      <c r="I180" s="5" t="s">
        <v>1273</v>
      </c>
      <c r="J180" s="4" t="s">
        <v>158</v>
      </c>
      <c r="K180" s="4" t="s">
        <v>175</v>
      </c>
      <c r="L180" s="4" t="s">
        <v>188</v>
      </c>
      <c r="M180" s="10" t="s">
        <v>177</v>
      </c>
      <c r="N180" s="10"/>
      <c r="O180" s="11">
        <v>2</v>
      </c>
      <c r="P180" s="11">
        <v>0</v>
      </c>
      <c r="Q180" s="13">
        <v>2E-3</v>
      </c>
      <c r="R180" s="14">
        <f>IF(OR($M180="Yes",$M180="Owner"),$C180*Cost!$B$6,0)</f>
        <v>5</v>
      </c>
      <c r="S180" s="16">
        <f t="shared" si="26"/>
        <v>0.01</v>
      </c>
      <c r="T180" s="4" t="s">
        <v>178</v>
      </c>
      <c r="U180" s="19"/>
      <c r="V180" s="14">
        <f>IF($M180="Owner",$R180,IF($M180&lt;&gt;"Yes",0,MAX(IF(LEFT($T180,7)="Passive",$R180+MAX(Cost!$B$8,ROUNDUP(Cost!$B$7*$R180,0)),$R180+Cost!$B$9),N($U180))))</f>
        <v>7</v>
      </c>
      <c r="W180" s="16">
        <f t="shared" si="27"/>
        <v>1.4E-2</v>
      </c>
      <c r="X180" s="20" t="s">
        <v>1275</v>
      </c>
      <c r="Y180" s="4" t="s">
        <v>1510</v>
      </c>
      <c r="Z180" s="21" t="s">
        <v>1511</v>
      </c>
      <c r="AA180" s="22">
        <f t="shared" si="28"/>
        <v>1</v>
      </c>
      <c r="AB180" s="22">
        <f>IF(OR($M180="Yes",$M180="Owner"),IF(COUNTIFS($H$4:$H180,$H180,$M$4:$M180,"Yes")+COUNTIFS($H$4:$H180,$H180,$M$4:$M180,"Owner")=1,1,0),0)</f>
        <v>0</v>
      </c>
      <c r="AC180" s="21" t="s">
        <v>234</v>
      </c>
      <c r="AD180" s="21" t="str">
        <f>MID($H180,18,4)</f>
        <v>2201</v>
      </c>
      <c r="AE180" s="23">
        <f>LEFT($AD180,3)*IF(ISNUMBER(--RIGHT($AD180,1)),10^RIGHT($AD180,1),10^(0-FIND(RIGHT($AD180,1),"JKLM")))</f>
        <v>2200</v>
      </c>
      <c r="AF180" s="23" cm="1">
        <f t="array" ref="AF180">LEFT($E180,FIND(" ",$E180)-1)*IFERROR(INDEX({1000,1000000,0.000000000001,0.000000001,0.000001},MATCH(MID($E180,FIND(" ",$E180)+1,1),{"k","M","p","n","µ"},0)),1)</f>
        <v>2200</v>
      </c>
      <c r="AG180" s="24" t="str">
        <f>IF(AND(RIGHT($E180,1)="Ω",ABS($AF180-$AE180)&lt;=Checks!$C$6*$AE180),"OK","CHECK")</f>
        <v>OK</v>
      </c>
    </row>
    <row r="181" spans="1:33" ht="27.75" customHeight="1" x14ac:dyDescent="0.2">
      <c r="A181" s="6" t="s">
        <v>1447</v>
      </c>
      <c r="B181" s="4" t="s">
        <v>1512</v>
      </c>
      <c r="C181" s="8">
        <v>1</v>
      </c>
      <c r="D181" s="4" t="s">
        <v>1513</v>
      </c>
      <c r="E181" s="5" t="s">
        <v>1201</v>
      </c>
      <c r="F181" s="5" t="s">
        <v>154</v>
      </c>
      <c r="G181" s="5" t="s">
        <v>229</v>
      </c>
      <c r="H181" s="4" t="s">
        <v>1202</v>
      </c>
      <c r="I181" s="5" t="s">
        <v>1203</v>
      </c>
      <c r="J181" s="4" t="s">
        <v>158</v>
      </c>
      <c r="K181" s="4" t="s">
        <v>159</v>
      </c>
      <c r="L181" s="4" t="s">
        <v>188</v>
      </c>
      <c r="M181" s="10" t="s">
        <v>161</v>
      </c>
      <c r="N181" s="10"/>
      <c r="O181" s="11">
        <v>2</v>
      </c>
      <c r="P181" s="11">
        <v>0</v>
      </c>
      <c r="Q181" s="13">
        <v>2E-3</v>
      </c>
      <c r="R181" s="14">
        <f>IF(OR($M181="Yes",$M181="Owner"),$C181*Cost!$B$6,0)</f>
        <v>0</v>
      </c>
      <c r="S181" s="16">
        <f t="shared" si="26"/>
        <v>0</v>
      </c>
      <c r="T181" s="4" t="s">
        <v>162</v>
      </c>
      <c r="U181" s="19"/>
      <c r="V181" s="14">
        <f>IF($M181="Owner",$R181,IF($M181&lt;&gt;"Yes",0,MAX(IF(LEFT($T181,7)="Passive",$R181+MAX(Cost!$B$8,ROUNDUP(Cost!$B$7*$R181,0)),$R181+Cost!$B$9),N($U181))))</f>
        <v>0</v>
      </c>
      <c r="W181" s="16">
        <f t="shared" si="27"/>
        <v>0</v>
      </c>
      <c r="X181" s="20" t="s">
        <v>1204</v>
      </c>
      <c r="Y181" s="4" t="s">
        <v>1514</v>
      </c>
      <c r="Z181" s="21" t="s">
        <v>1515</v>
      </c>
      <c r="AA181" s="22">
        <f t="shared" si="28"/>
        <v>1</v>
      </c>
      <c r="AB181" s="22">
        <f>IF(OR($M181="Yes",$M181="Owner"),IF(COUNTIFS($H$4:$H181,$H181,$M$4:$M181,"Yes")+COUNTIFS($H$4:$H181,$H181,$M$4:$M181,"Owner")=1,1,0),0)</f>
        <v>0</v>
      </c>
      <c r="AC181" s="21" t="s">
        <v>234</v>
      </c>
      <c r="AD181" s="21" t="str">
        <f>MID($H181,18,4)</f>
        <v>1001</v>
      </c>
      <c r="AE181" s="23">
        <f>LEFT($AD181,3)*IF(ISNUMBER(--RIGHT($AD181,1)),10^RIGHT($AD181,1),10^(0-FIND(RIGHT($AD181,1),"JKLM")))</f>
        <v>1000</v>
      </c>
      <c r="AF181" s="23" cm="1">
        <f t="array" ref="AF181">LEFT($E181,FIND(" ",$E181)-1)*IFERROR(INDEX({1000,1000000,0.000000000001,0.000000001,0.000001},MATCH(MID($E181,FIND(" ",$E181)+1,1),{"k","M","p","n","µ"},0)),1)</f>
        <v>1000</v>
      </c>
      <c r="AG181" s="24" t="str">
        <f>IF(AND(RIGHT($E181,1)="Ω",ABS($AF181-$AE181)&lt;=Checks!$C$6*$AE181),"OK","CHECK")</f>
        <v>OK</v>
      </c>
    </row>
    <row r="182" spans="1:33" ht="27.75" customHeight="1" x14ac:dyDescent="0.2">
      <c r="A182" s="6" t="s">
        <v>1447</v>
      </c>
      <c r="B182" s="4" t="s">
        <v>1516</v>
      </c>
      <c r="C182" s="8">
        <v>1</v>
      </c>
      <c r="D182" s="4" t="s">
        <v>1517</v>
      </c>
      <c r="E182" s="5" t="s">
        <v>162</v>
      </c>
      <c r="F182" s="5" t="s">
        <v>1518</v>
      </c>
      <c r="G182" s="5" t="s">
        <v>162</v>
      </c>
      <c r="H182" s="4" t="s">
        <v>365</v>
      </c>
      <c r="I182" s="5" t="s">
        <v>162</v>
      </c>
      <c r="J182" s="4" t="s">
        <v>162</v>
      </c>
      <c r="K182" s="4" t="s">
        <v>366</v>
      </c>
      <c r="L182" s="4" t="s">
        <v>162</v>
      </c>
      <c r="M182" s="10" t="s">
        <v>367</v>
      </c>
      <c r="N182" s="10"/>
      <c r="O182" s="11">
        <v>0</v>
      </c>
      <c r="P182" s="11">
        <v>0</v>
      </c>
      <c r="Q182" s="13">
        <v>0</v>
      </c>
      <c r="R182" s="14">
        <f>IF(OR($M182="Yes",$M182="Owner"),$C182*Cost!$B$6,0)</f>
        <v>0</v>
      </c>
      <c r="S182" s="16">
        <f t="shared" si="26"/>
        <v>0</v>
      </c>
      <c r="T182" s="4" t="s">
        <v>162</v>
      </c>
      <c r="U182" s="19"/>
      <c r="V182" s="14">
        <f>IF($M182="Owner",$R182,IF($M182&lt;&gt;"Yes",0,MAX(IF(LEFT($T182,7)="Passive",$R182+MAX(Cost!$B$8,ROUNDUP(Cost!$B$7*$R182,0)),$R182+Cost!$B$9),N($U182))))</f>
        <v>0</v>
      </c>
      <c r="W182" s="16">
        <f t="shared" si="27"/>
        <v>0</v>
      </c>
      <c r="X182" s="20"/>
      <c r="Y182" s="4" t="s">
        <v>1519</v>
      </c>
      <c r="Z182" s="21" t="s">
        <v>1520</v>
      </c>
      <c r="AA182" s="22">
        <f t="shared" si="28"/>
        <v>1</v>
      </c>
      <c r="AB182" s="22">
        <f>IF(OR($M182="Yes",$M182="Owner"),IF(COUNTIFS($H$4:$H182,$H182,$M$4:$M182,"Yes")+COUNTIFS($H$4:$H182,$H182,$M$4:$M182,"Owner")=1,1,0),0)</f>
        <v>0</v>
      </c>
      <c r="AC182" s="21"/>
      <c r="AD182" s="21"/>
      <c r="AE182" s="23"/>
      <c r="AF182" s="23"/>
      <c r="AG182" s="24"/>
    </row>
    <row r="183" spans="1:33" ht="40.5" customHeight="1" x14ac:dyDescent="0.2">
      <c r="A183" s="7" t="s">
        <v>1521</v>
      </c>
      <c r="B183" s="4" t="s">
        <v>1522</v>
      </c>
      <c r="C183" s="8">
        <v>52</v>
      </c>
      <c r="D183" s="4" t="s">
        <v>1523</v>
      </c>
      <c r="E183" s="5" t="s">
        <v>162</v>
      </c>
      <c r="F183" s="5" t="s">
        <v>1524</v>
      </c>
      <c r="G183" s="5" t="s">
        <v>162</v>
      </c>
      <c r="H183" s="4" t="s">
        <v>1525</v>
      </c>
      <c r="I183" s="5" t="s">
        <v>162</v>
      </c>
      <c r="J183" s="4" t="s">
        <v>162</v>
      </c>
      <c r="K183" s="4" t="s">
        <v>366</v>
      </c>
      <c r="L183" s="4" t="s">
        <v>162</v>
      </c>
      <c r="M183" s="10" t="s">
        <v>1525</v>
      </c>
      <c r="N183" s="10"/>
      <c r="O183" s="11">
        <v>0</v>
      </c>
      <c r="P183" s="11">
        <v>0</v>
      </c>
      <c r="Q183" s="13">
        <v>0</v>
      </c>
      <c r="R183" s="14">
        <f>IF(OR($M183="Yes",$M183="Owner"),$C183*Cost!$B$6,0)</f>
        <v>0</v>
      </c>
      <c r="S183" s="16">
        <f t="shared" si="26"/>
        <v>0</v>
      </c>
      <c r="T183" s="4" t="s">
        <v>162</v>
      </c>
      <c r="U183" s="19"/>
      <c r="V183" s="14">
        <f>IF($M183="Owner",$R183,IF($M183&lt;&gt;"Yes",0,MAX(IF(LEFT($T183,7)="Passive",$R183+MAX(Cost!$B$8,ROUNDUP(Cost!$B$7*$R183,0)),$R183+Cost!$B$9),N($U183))))</f>
        <v>0</v>
      </c>
      <c r="W183" s="16">
        <f t="shared" si="27"/>
        <v>0</v>
      </c>
      <c r="X183" s="20"/>
      <c r="Y183" s="4" t="s">
        <v>1526</v>
      </c>
      <c r="Z183" s="21" t="s">
        <v>1527</v>
      </c>
      <c r="AA183" s="22">
        <f t="shared" si="28"/>
        <v>52</v>
      </c>
      <c r="AB183" s="22">
        <f>IF(OR($M183="Yes",$M183="Owner"),IF(COUNTIFS($H$4:$H183,$H183,$M$4:$M183,"Yes")+COUNTIFS($H$4:$H183,$H183,$M$4:$M183,"Owner")=1,1,0),0)</f>
        <v>0</v>
      </c>
      <c r="AC183" s="21"/>
      <c r="AD183" s="21"/>
      <c r="AE183" s="23"/>
      <c r="AF183" s="23"/>
      <c r="AG183" s="24"/>
    </row>
    <row r="184" spans="1:33" ht="40.5" customHeight="1" x14ac:dyDescent="0.2">
      <c r="A184" s="6" t="s">
        <v>1521</v>
      </c>
      <c r="B184" s="4" t="s">
        <v>1528</v>
      </c>
      <c r="C184" s="8">
        <v>11</v>
      </c>
      <c r="D184" s="4" t="s">
        <v>1529</v>
      </c>
      <c r="E184" s="5" t="s">
        <v>162</v>
      </c>
      <c r="F184" s="5" t="s">
        <v>162</v>
      </c>
      <c r="G184" s="5" t="s">
        <v>162</v>
      </c>
      <c r="H184" s="4" t="s">
        <v>1525</v>
      </c>
      <c r="I184" s="5" t="s">
        <v>162</v>
      </c>
      <c r="J184" s="4" t="s">
        <v>162</v>
      </c>
      <c r="K184" s="4" t="s">
        <v>366</v>
      </c>
      <c r="L184" s="4" t="s">
        <v>162</v>
      </c>
      <c r="M184" s="10" t="s">
        <v>1525</v>
      </c>
      <c r="N184" s="10"/>
      <c r="O184" s="11">
        <v>0</v>
      </c>
      <c r="P184" s="11">
        <v>0</v>
      </c>
      <c r="Q184" s="13">
        <v>0</v>
      </c>
      <c r="R184" s="14">
        <f>IF(OR($M184="Yes",$M184="Owner"),$C184*Cost!$B$6,0)</f>
        <v>0</v>
      </c>
      <c r="S184" s="16">
        <f t="shared" si="26"/>
        <v>0</v>
      </c>
      <c r="T184" s="4" t="s">
        <v>162</v>
      </c>
      <c r="U184" s="19"/>
      <c r="V184" s="14">
        <f>IF($M184="Owner",$R184,IF($M184&lt;&gt;"Yes",0,MAX(IF(LEFT($T184,7)="Passive",$R184+MAX(Cost!$B$8,ROUNDUP(Cost!$B$7*$R184,0)),$R184+Cost!$B$9),N($U184))))</f>
        <v>0</v>
      </c>
      <c r="W184" s="16">
        <f t="shared" si="27"/>
        <v>0</v>
      </c>
      <c r="X184" s="20"/>
      <c r="Y184" s="4" t="s">
        <v>1530</v>
      </c>
      <c r="Z184" s="21"/>
      <c r="AA184" s="22">
        <f t="shared" si="28"/>
        <v>0</v>
      </c>
      <c r="AB184" s="22">
        <f>IF(OR($M184="Yes",$M184="Owner"),IF(COUNTIFS($H$4:$H184,$H184,$M$4:$M184,"Yes")+COUNTIFS($H$4:$H184,$H184,$M$4:$M184,"Owner")=1,1,0),0)</f>
        <v>0</v>
      </c>
      <c r="AC184" s="21"/>
      <c r="AD184" s="21"/>
      <c r="AE184" s="23"/>
      <c r="AF184" s="23"/>
      <c r="AG184" s="24"/>
    </row>
    <row r="185" spans="1:33" ht="91.5" customHeight="1" x14ac:dyDescent="0.2">
      <c r="A185" s="6" t="s">
        <v>1521</v>
      </c>
      <c r="B185" s="4" t="s">
        <v>1531</v>
      </c>
      <c r="C185" s="8">
        <v>1</v>
      </c>
      <c r="D185" s="4" t="s">
        <v>1532</v>
      </c>
      <c r="E185" s="5" t="s">
        <v>162</v>
      </c>
      <c r="F185" s="5" t="s">
        <v>162</v>
      </c>
      <c r="G185" s="5" t="s">
        <v>162</v>
      </c>
      <c r="H185" s="4" t="s">
        <v>1533</v>
      </c>
      <c r="I185" s="5" t="s">
        <v>162</v>
      </c>
      <c r="J185" s="4" t="s">
        <v>162</v>
      </c>
      <c r="K185" s="4" t="s">
        <v>1534</v>
      </c>
      <c r="L185" s="4" t="s">
        <v>1533</v>
      </c>
      <c r="M185" s="10" t="s">
        <v>1535</v>
      </c>
      <c r="N185" s="10"/>
      <c r="O185" s="11">
        <v>0</v>
      </c>
      <c r="P185" s="11">
        <v>0</v>
      </c>
      <c r="Q185" s="13">
        <v>0</v>
      </c>
      <c r="R185" s="14">
        <f>IF(OR($M185="Yes",$M185="Owner"),$C185*Cost!$B$6,0)</f>
        <v>0</v>
      </c>
      <c r="S185" s="16">
        <f t="shared" si="26"/>
        <v>0</v>
      </c>
      <c r="T185" s="4" t="s">
        <v>162</v>
      </c>
      <c r="U185" s="19"/>
      <c r="V185" s="14">
        <f>IF($M185="Owner",$R185,IF($M185&lt;&gt;"Yes",0,MAX(IF(LEFT($T185,7)="Passive",$R185+MAX(Cost!$B$8,ROUNDUP(Cost!$B$7*$R185,0)),$R185+Cost!$B$9),N($U185))))</f>
        <v>0</v>
      </c>
      <c r="W185" s="16">
        <f t="shared" si="27"/>
        <v>0</v>
      </c>
      <c r="X185" s="20"/>
      <c r="Y185" s="4" t="s">
        <v>1536</v>
      </c>
      <c r="Z185" s="21"/>
      <c r="AA185" s="22">
        <f t="shared" si="28"/>
        <v>0</v>
      </c>
      <c r="AB185" s="22">
        <f>IF(OR($M185="Yes",$M185="Owner"),IF(COUNTIFS($H$4:$H185,$H185,$M$4:$M185,"Yes")+COUNTIFS($H$4:$H185,$H185,$M$4:$M185,"Owner")=1,1,0),0)</f>
        <v>0</v>
      </c>
      <c r="AC185" s="21"/>
      <c r="AD185" s="21"/>
      <c r="AE185" s="23"/>
      <c r="AF185" s="23"/>
      <c r="AG185" s="24"/>
    </row>
    <row r="186" spans="1:33" x14ac:dyDescent="0.2">
      <c r="A186" s="1"/>
      <c r="B186" s="1"/>
      <c r="C186" s="9"/>
      <c r="D186" s="1"/>
      <c r="E186" s="1"/>
      <c r="F186" s="1"/>
      <c r="G186" s="1"/>
      <c r="H186" s="1"/>
      <c r="I186" s="1"/>
      <c r="J186" s="1"/>
      <c r="K186" s="1"/>
      <c r="L186" s="1"/>
      <c r="M186" s="1"/>
      <c r="N186" s="1"/>
      <c r="O186" s="12"/>
      <c r="P186" s="12"/>
      <c r="Q186" s="1"/>
      <c r="R186" s="15"/>
      <c r="S186" s="17"/>
      <c r="T186" s="1"/>
      <c r="U186" s="15"/>
      <c r="V186" s="15"/>
      <c r="W186" s="17"/>
      <c r="X186" s="1"/>
      <c r="Y186" s="1"/>
      <c r="Z186" s="1"/>
      <c r="AA186" s="9"/>
      <c r="AB186" s="9"/>
      <c r="AC186" s="1"/>
      <c r="AD186" s="1"/>
      <c r="AE186" s="1"/>
      <c r="AF186" s="1"/>
      <c r="AG186" s="1"/>
    </row>
    <row r="187" spans="1:33" ht="15" customHeight="1" x14ac:dyDescent="0.2">
      <c r="A187" s="25" t="s">
        <v>1537</v>
      </c>
      <c r="B187" s="25"/>
      <c r="C187" s="26">
        <f>SUMIFS('Parts list'!$C$4:$C$185,'Parts list'!$M$4:$M$185,"Yes")+SUMIFS('Parts list'!$C$4:$C$185,'Parts list'!$M$4:$M$185,"Owner")</f>
        <v>462</v>
      </c>
      <c r="D187" s="25"/>
      <c r="E187" s="25"/>
      <c r="F187" s="25"/>
      <c r="G187" s="25"/>
      <c r="H187" s="25"/>
      <c r="I187" s="25"/>
      <c r="J187" s="25"/>
      <c r="K187" s="25"/>
      <c r="L187" s="25"/>
      <c r="M187" s="25"/>
      <c r="N187" s="25"/>
      <c r="O187" s="27" cm="1">
        <f t="array" ref="O187">SUMPRODUCT(((('Parts list'!$M$4:$M$185="Yes")+('Parts list'!$M$4:$M$185="Owner"))&gt;0)*'Parts list'!$C$4:$C$185*'Parts list'!$O$4:$O$185)</f>
        <v>1339</v>
      </c>
      <c r="P187" s="27" cm="1">
        <f t="array" ref="P187">SUMPRODUCT(((('Parts list'!$M$4:$M$185="Yes")+('Parts list'!$M$4:$M$185="Owner"))&gt;0)*'Parts list'!$C$4:$C$185*'Parts list'!$P$4:$P$185)</f>
        <v>18</v>
      </c>
      <c r="Q187" s="25"/>
      <c r="R187" s="28">
        <f>SUM('Parts list'!$R$4:$R$185)</f>
        <v>2310</v>
      </c>
      <c r="S187" s="29">
        <f>SUM('Parts list'!$S$4:$S$185)</f>
        <v>470.18550000000005</v>
      </c>
      <c r="T187" s="25"/>
      <c r="U187" s="28"/>
      <c r="V187" s="28">
        <f>SUM('Parts list'!$V$4:$V$185)</f>
        <v>2665</v>
      </c>
      <c r="W187" s="29">
        <f>SUM('Parts list'!$W$4:$W$185)</f>
        <v>511.09459999999984</v>
      </c>
      <c r="X187" s="25"/>
      <c r="Y187" s="25"/>
      <c r="Z187" s="25"/>
      <c r="AA187" s="26">
        <f>SUMIFS('Parts list'!$AA$4:$AA$185,'Parts list'!$M$4:$M$185,"Yes")+SUMIFS('Parts list'!$AA$4:$AA$185,'Parts list'!$M$4:$M$185,"Owner")</f>
        <v>462</v>
      </c>
      <c r="AB187" s="26">
        <f>SUM('Parts list'!$AB$4:$AB$185)</f>
        <v>115</v>
      </c>
      <c r="AC187" s="26">
        <f>COUNTIF('Parts list'!$AG$4:$AG$185,"?*")</f>
        <v>118</v>
      </c>
      <c r="AD187" s="26"/>
      <c r="AE187" s="26"/>
      <c r="AF187" s="26"/>
      <c r="AG187" s="26">
        <f>COUNTIF('Parts list'!$AG$4:$AG$185,"CHECK")</f>
        <v>0</v>
      </c>
    </row>
    <row r="188" spans="1:33" ht="15" customHeight="1" x14ac:dyDescent="0.2">
      <c r="A188" s="30" t="s">
        <v>1538</v>
      </c>
      <c r="B188" s="30"/>
      <c r="C188" s="31">
        <f>SUMIFS('Parts list'!$C$4:$C$185,'Parts list'!$M$4:$M$185,"Yes")</f>
        <v>455</v>
      </c>
      <c r="D188" s="30"/>
      <c r="E188" s="30"/>
      <c r="F188" s="30"/>
      <c r="G188" s="30"/>
      <c r="H188" s="30"/>
      <c r="I188" s="30"/>
      <c r="J188" s="30"/>
      <c r="K188" s="30"/>
      <c r="L188" s="30"/>
      <c r="M188" s="30"/>
      <c r="N188" s="30"/>
      <c r="O188" s="32" cm="1">
        <f t="array" ref="O188">SUMPRODUCT(('Parts list'!$M$4:$M$185="Yes")*'Parts list'!$C$4:$C$185*'Parts list'!$O$4:$O$185)</f>
        <v>1311</v>
      </c>
      <c r="P188" s="32" cm="1">
        <f t="array" ref="P188">SUMPRODUCT(('Parts list'!$M$4:$M$185="Yes")*'Parts list'!$C$4:$C$185*'Parts list'!$P$4:$P$185)</f>
        <v>6</v>
      </c>
      <c r="Q188" s="30"/>
      <c r="R188" s="33">
        <f>SUMIFS('Parts list'!$R$4:$R$185,'Parts list'!$M$4:$M$185,"Yes")</f>
        <v>2275</v>
      </c>
      <c r="S188" s="34">
        <f>SUMIFS('Parts list'!$S$4:$S$185,'Parts list'!$M$4:$M$185,"Yes")</f>
        <v>356.42550000000006</v>
      </c>
      <c r="T188" s="30"/>
      <c r="U188" s="33"/>
      <c r="V188" s="33">
        <f>SUMIFS('Parts list'!$V$4:$V$185,'Parts list'!$M$4:$M$185,"Yes")</f>
        <v>2630</v>
      </c>
      <c r="W188" s="34">
        <f>SUMIFS('Parts list'!$W$4:$W$185,'Parts list'!$M$4:$M$185,"Yes")</f>
        <v>397.33459999999985</v>
      </c>
      <c r="X188" s="30"/>
      <c r="Y188" s="30"/>
      <c r="Z188" s="30"/>
      <c r="AA188" s="31"/>
      <c r="AB188" s="31"/>
      <c r="AC188" s="30"/>
      <c r="AD188" s="30"/>
      <c r="AE188" s="30"/>
      <c r="AF188" s="30"/>
      <c r="AG188" s="30"/>
    </row>
    <row r="189" spans="1:33" ht="15" customHeight="1" x14ac:dyDescent="0.2">
      <c r="A189" s="30" t="s">
        <v>1539</v>
      </c>
      <c r="B189" s="30"/>
      <c r="C189" s="31">
        <f>SUMIFS('Parts list'!$C$4:$C$185,'Parts list'!$M$4:$M$185,"Owner")</f>
        <v>7</v>
      </c>
      <c r="D189" s="30"/>
      <c r="E189" s="30"/>
      <c r="F189" s="30"/>
      <c r="G189" s="30"/>
      <c r="H189" s="30"/>
      <c r="I189" s="30"/>
      <c r="J189" s="30"/>
      <c r="K189" s="30"/>
      <c r="L189" s="30"/>
      <c r="M189" s="30"/>
      <c r="N189" s="30"/>
      <c r="O189" s="32" cm="1">
        <f t="array" ref="O189">SUMPRODUCT(('Parts list'!$M$4:$M$185="Owner")*'Parts list'!$C$4:$C$185*'Parts list'!$O$4:$O$185)</f>
        <v>28</v>
      </c>
      <c r="P189" s="32" cm="1">
        <f t="array" ref="P189">SUMPRODUCT(('Parts list'!$M$4:$M$185="Owner")*'Parts list'!$C$4:$C$185*'Parts list'!$P$4:$P$185)</f>
        <v>12</v>
      </c>
      <c r="Q189" s="30"/>
      <c r="R189" s="33">
        <f>SUMIFS('Parts list'!$R$4:$R$185,'Parts list'!$M$4:$M$185,"Owner")</f>
        <v>35</v>
      </c>
      <c r="S189" s="34">
        <f>SUMIFS('Parts list'!$S$4:$S$185,'Parts list'!$M$4:$M$185,"Owner")</f>
        <v>113.76</v>
      </c>
      <c r="T189" s="30"/>
      <c r="U189" s="33"/>
      <c r="V189" s="33">
        <f>SUMIFS('Parts list'!$V$4:$V$185,'Parts list'!$M$4:$M$185,"Owner")</f>
        <v>35</v>
      </c>
      <c r="W189" s="34">
        <f>SUMIFS('Parts list'!$W$4:$W$185,'Parts list'!$M$4:$M$185,"Owner")</f>
        <v>113.76</v>
      </c>
      <c r="X189" s="30"/>
      <c r="Y189" s="30"/>
      <c r="Z189" s="30"/>
      <c r="AA189" s="31"/>
      <c r="AB189" s="31"/>
      <c r="AC189" s="30"/>
      <c r="AD189" s="30"/>
      <c r="AE189" s="30"/>
      <c r="AF189" s="30"/>
      <c r="AG189" s="30"/>
    </row>
    <row r="190" spans="1:33" ht="15" customHeight="1" x14ac:dyDescent="0.2">
      <c r="A190" s="35" t="s">
        <v>1540</v>
      </c>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row>
  </sheetData>
  <mergeCells count="2">
    <mergeCell ref="A1:AG1"/>
    <mergeCell ref="A2:AG2"/>
  </mergeCells>
  <conditionalFormatting sqref="M4:M185">
    <cfRule type="containsText" dxfId="17" priority="1" operator="containsText" text="Owner">
      <formula>NOT(ISERROR(SEARCH("Owner",M4)))</formula>
    </cfRule>
  </conditionalFormatting>
  <conditionalFormatting sqref="AG4:AG185">
    <cfRule type="containsText" dxfId="16" priority="2" operator="containsText" text="CHECK">
      <formula>NOT(ISERROR(SEARCH("CHECK",AG4)))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C32EE-9935-42FF-A12A-FE2DBFE6750D}">
  <dimension ref="A1:V158"/>
  <sheetViews>
    <sheetView workbookViewId="0">
      <pane xSplit="3" ySplit="3" topLeftCell="D4" activePane="bottomRight" state="frozen"/>
      <selection pane="topRight"/>
      <selection pane="bottomLeft"/>
      <selection pane="bottomRight" sqref="A1:V1"/>
    </sheetView>
  </sheetViews>
  <sheetFormatPr baseColWidth="10" defaultColWidth="8.83203125" defaultRowHeight="15" x14ac:dyDescent="0.2"/>
  <cols>
    <col min="1" max="1" width="6.6640625" customWidth="1"/>
    <col min="2" max="2" width="13.6640625" customWidth="1"/>
    <col min="3" max="3" width="30.6640625" customWidth="1"/>
    <col min="4" max="4" width="13.6640625" customWidth="1"/>
    <col min="5" max="5" width="16.6640625" customWidth="1"/>
    <col min="6" max="6" width="11.6640625" customWidth="1"/>
    <col min="7" max="7" width="14.6640625" customWidth="1"/>
    <col min="8" max="8" width="15.6640625" customWidth="1"/>
    <col min="9" max="9" width="26.6640625" customWidth="1"/>
    <col min="10" max="10" width="8.6640625" customWidth="1"/>
    <col min="11" max="11" width="9.6640625" customWidth="1"/>
    <col min="12" max="12" width="11.6640625" customWidth="1"/>
    <col min="13" max="13" width="8.6640625" customWidth="1"/>
    <col min="14" max="14" width="24.6640625" customWidth="1"/>
    <col min="15" max="16" width="9.6640625" customWidth="1"/>
    <col min="17" max="18" width="10.6640625" customWidth="1"/>
    <col min="19" max="19" width="11.6640625" customWidth="1"/>
    <col min="20" max="20" width="9.6640625" customWidth="1"/>
    <col min="21" max="21" width="46.6640625" customWidth="1"/>
    <col min="22" max="22" width="36.6640625" customWidth="1"/>
  </cols>
  <sheetData>
    <row r="1" spans="1:22" ht="21.75" customHeight="1" x14ac:dyDescent="0.2">
      <c r="A1" s="156" t="s">
        <v>1541</v>
      </c>
      <c r="B1" s="157"/>
      <c r="C1" s="157"/>
      <c r="D1" s="157"/>
      <c r="E1" s="157"/>
      <c r="F1" s="157"/>
      <c r="G1" s="157"/>
      <c r="H1" s="157"/>
      <c r="I1" s="157"/>
      <c r="J1" s="157"/>
      <c r="K1" s="157"/>
      <c r="L1" s="157"/>
      <c r="M1" s="157"/>
      <c r="N1" s="157"/>
      <c r="O1" s="157"/>
      <c r="P1" s="157"/>
      <c r="Q1" s="157"/>
      <c r="R1" s="157"/>
      <c r="S1" s="157"/>
      <c r="T1" s="157"/>
      <c r="U1" s="157"/>
      <c r="V1" s="157"/>
    </row>
    <row r="2" spans="1:22" ht="44.25" customHeight="1" x14ac:dyDescent="0.2">
      <c r="A2" s="155" t="s">
        <v>1542</v>
      </c>
      <c r="B2" s="157"/>
      <c r="C2" s="157"/>
      <c r="D2" s="157"/>
      <c r="E2" s="157"/>
      <c r="F2" s="157"/>
      <c r="G2" s="157"/>
      <c r="H2" s="157"/>
      <c r="I2" s="157"/>
      <c r="J2" s="157"/>
      <c r="K2" s="157"/>
      <c r="L2" s="157"/>
      <c r="M2" s="157"/>
      <c r="N2" s="157"/>
      <c r="O2" s="157"/>
      <c r="P2" s="157"/>
      <c r="Q2" s="157"/>
      <c r="R2" s="157"/>
      <c r="S2" s="157"/>
      <c r="T2" s="157"/>
      <c r="U2" s="157"/>
      <c r="V2" s="157"/>
    </row>
    <row r="3" spans="1:22" ht="44.25" customHeight="1" x14ac:dyDescent="0.2">
      <c r="A3" s="3" t="s">
        <v>20</v>
      </c>
      <c r="B3" s="3" t="s">
        <v>1543</v>
      </c>
      <c r="C3" s="3" t="s">
        <v>124</v>
      </c>
      <c r="D3" s="3" t="s">
        <v>21</v>
      </c>
      <c r="E3" s="3" t="s">
        <v>122</v>
      </c>
      <c r="F3" s="3" t="s">
        <v>125</v>
      </c>
      <c r="G3" s="3" t="s">
        <v>126</v>
      </c>
      <c r="H3" s="3" t="s">
        <v>127</v>
      </c>
      <c r="I3" s="3" t="s">
        <v>119</v>
      </c>
      <c r="J3" s="3" t="s">
        <v>120</v>
      </c>
      <c r="K3" s="3" t="s">
        <v>134</v>
      </c>
      <c r="L3" s="3" t="s">
        <v>1544</v>
      </c>
      <c r="M3" s="3" t="s">
        <v>1545</v>
      </c>
      <c r="N3" s="3" t="s">
        <v>1546</v>
      </c>
      <c r="O3" s="3" t="s">
        <v>1547</v>
      </c>
      <c r="P3" s="3" t="s">
        <v>1548</v>
      </c>
      <c r="Q3" s="3" t="s">
        <v>1549</v>
      </c>
      <c r="R3" s="3" t="s">
        <v>133</v>
      </c>
      <c r="S3" s="3" t="s">
        <v>1550</v>
      </c>
      <c r="T3" s="3" t="s">
        <v>1551</v>
      </c>
      <c r="U3" s="3" t="s">
        <v>1552</v>
      </c>
      <c r="V3" s="3" t="s">
        <v>141</v>
      </c>
    </row>
    <row r="4" spans="1:22" ht="15" customHeight="1" x14ac:dyDescent="0.2">
      <c r="A4" s="8">
        <v>1</v>
      </c>
      <c r="B4" s="4" t="s">
        <v>1553</v>
      </c>
      <c r="C4" s="4" t="s">
        <v>172</v>
      </c>
      <c r="D4" s="5" t="s">
        <v>169</v>
      </c>
      <c r="E4" s="5" t="s">
        <v>170</v>
      </c>
      <c r="F4" s="5" t="s">
        <v>173</v>
      </c>
      <c r="G4" s="4" t="s">
        <v>174</v>
      </c>
      <c r="H4" s="4" t="s">
        <v>175</v>
      </c>
      <c r="I4" s="4" t="s">
        <v>167</v>
      </c>
      <c r="J4" s="14">
        <f>SUMIFS('Parts list'!$C$4:$C$185,'Parts list'!$H$4:$H$185,$C4,'Parts list'!$M$4:$M$185,"Yes")</f>
        <v>1</v>
      </c>
      <c r="K4" s="14">
        <f>SUMIFS('Parts list'!$R$4:$R$185,'Parts list'!$H$4:$H$185,$C4,'Parts list'!$M$4:$M$185,"Yes")</f>
        <v>5</v>
      </c>
      <c r="L4" s="14">
        <f>SUMIFS('Parts list'!$V$4:$V$185,'Parts list'!$H$4:$H$185,$C4,'Parts list'!$M$4:$M$185,"Yes")</f>
        <v>7</v>
      </c>
      <c r="M4" s="14">
        <f t="shared" ref="M4:M35" si="0">$L4-$K4</f>
        <v>2</v>
      </c>
      <c r="N4" s="4" t="s">
        <v>1554</v>
      </c>
      <c r="O4" s="18"/>
      <c r="P4" s="18"/>
      <c r="Q4" s="45" t="str">
        <f t="shared" ref="Q4:Q35" si="1">IF(N($O4)=0,"per piece",IF(AND($L4&gt;=$O4,MOD($L4,MAX(1,N($P4)))=0),"OK","CHECK"))</f>
        <v>per piece</v>
      </c>
      <c r="R4" s="13">
        <f t="shared" ref="R4:R35" si="2">IF($L4=0,0,$S4/$L4)</f>
        <v>0.02</v>
      </c>
      <c r="S4" s="16">
        <f>SUMIFS('Parts list'!$W$4:$W$185,'Parts list'!$H$4:$H$185,$C4,'Parts list'!$M$4:$M$185,"Yes")</f>
        <v>0.14000000000000001</v>
      </c>
      <c r="T4" s="45"/>
      <c r="U4" s="4" t="s">
        <v>1555</v>
      </c>
      <c r="V4" s="4"/>
    </row>
    <row r="5" spans="1:22" ht="15" customHeight="1" x14ac:dyDescent="0.2">
      <c r="A5" s="8">
        <v>2</v>
      </c>
      <c r="B5" s="4" t="s">
        <v>1553</v>
      </c>
      <c r="C5" s="4" t="s">
        <v>186</v>
      </c>
      <c r="D5" s="5" t="s">
        <v>184</v>
      </c>
      <c r="E5" s="5" t="s">
        <v>154</v>
      </c>
      <c r="F5" s="5" t="s">
        <v>187</v>
      </c>
      <c r="G5" s="4" t="s">
        <v>158</v>
      </c>
      <c r="H5" s="4" t="s">
        <v>175</v>
      </c>
      <c r="I5" s="4" t="s">
        <v>1556</v>
      </c>
      <c r="J5" s="14">
        <f>SUMIFS('Parts list'!$C$4:$C$185,'Parts list'!$H$4:$H$185,$C5,'Parts list'!$M$4:$M$185,"Yes")</f>
        <v>3</v>
      </c>
      <c r="K5" s="14">
        <f>SUMIFS('Parts list'!$R$4:$R$185,'Parts list'!$H$4:$H$185,$C5,'Parts list'!$M$4:$M$185,"Yes")</f>
        <v>15</v>
      </c>
      <c r="L5" s="14">
        <f>SUMIFS('Parts list'!$V$4:$V$185,'Parts list'!$H$4:$H$185,$C5,'Parts list'!$M$4:$M$185,"Yes")</f>
        <v>21</v>
      </c>
      <c r="M5" s="14">
        <f t="shared" si="0"/>
        <v>6</v>
      </c>
      <c r="N5" s="4" t="s">
        <v>1554</v>
      </c>
      <c r="O5" s="18"/>
      <c r="P5" s="18"/>
      <c r="Q5" s="45" t="str">
        <f t="shared" si="1"/>
        <v>per piece</v>
      </c>
      <c r="R5" s="13">
        <f t="shared" si="2"/>
        <v>2E-3</v>
      </c>
      <c r="S5" s="16">
        <f>SUMIFS('Parts list'!$W$4:$W$185,'Parts list'!$H$4:$H$185,$C5,'Parts list'!$M$4:$M$185,"Yes")</f>
        <v>4.2000000000000003E-2</v>
      </c>
      <c r="T5" s="45"/>
      <c r="U5" s="4" t="s">
        <v>1555</v>
      </c>
      <c r="V5" s="4"/>
    </row>
    <row r="6" spans="1:22" ht="78.75" customHeight="1" x14ac:dyDescent="0.2">
      <c r="A6" s="8">
        <v>3</v>
      </c>
      <c r="B6" s="4" t="s">
        <v>1553</v>
      </c>
      <c r="C6" s="4" t="s">
        <v>196</v>
      </c>
      <c r="D6" s="5" t="s">
        <v>194</v>
      </c>
      <c r="E6" s="5" t="s">
        <v>154</v>
      </c>
      <c r="F6" s="5" t="s">
        <v>197</v>
      </c>
      <c r="G6" s="4" t="s">
        <v>158</v>
      </c>
      <c r="H6" s="4" t="s">
        <v>175</v>
      </c>
      <c r="I6" s="4" t="s">
        <v>1557</v>
      </c>
      <c r="J6" s="14">
        <f>SUMIFS('Parts list'!$C$4:$C$185,'Parts list'!$H$4:$H$185,$C6,'Parts list'!$M$4:$M$185,"Yes")</f>
        <v>57</v>
      </c>
      <c r="K6" s="14">
        <f>SUMIFS('Parts list'!$R$4:$R$185,'Parts list'!$H$4:$H$185,$C6,'Parts list'!$M$4:$M$185,"Yes")</f>
        <v>285</v>
      </c>
      <c r="L6" s="14">
        <f>SUMIFS('Parts list'!$V$4:$V$185,'Parts list'!$H$4:$H$185,$C6,'Parts list'!$M$4:$M$185,"Yes")</f>
        <v>308</v>
      </c>
      <c r="M6" s="14">
        <f t="shared" si="0"/>
        <v>23</v>
      </c>
      <c r="N6" s="4" t="s">
        <v>1554</v>
      </c>
      <c r="O6" s="18"/>
      <c r="P6" s="18"/>
      <c r="Q6" s="45" t="str">
        <f t="shared" si="1"/>
        <v>per piece</v>
      </c>
      <c r="R6" s="13">
        <f t="shared" si="2"/>
        <v>3.109090909090909E-3</v>
      </c>
      <c r="S6" s="16">
        <f>SUMIFS('Parts list'!$W$4:$W$185,'Parts list'!$H$4:$H$185,$C6,'Parts list'!$M$4:$M$185,"Yes")</f>
        <v>0.95760000000000001</v>
      </c>
      <c r="T6" s="45"/>
      <c r="U6" s="4" t="s">
        <v>1555</v>
      </c>
      <c r="V6" s="4" t="s">
        <v>1558</v>
      </c>
    </row>
    <row r="7" spans="1:22" ht="40.5" customHeight="1" x14ac:dyDescent="0.2">
      <c r="A7" s="8">
        <v>4</v>
      </c>
      <c r="B7" s="4" t="s">
        <v>1559</v>
      </c>
      <c r="C7" s="4" t="s">
        <v>218</v>
      </c>
      <c r="D7" s="5" t="s">
        <v>162</v>
      </c>
      <c r="E7" s="5" t="s">
        <v>216</v>
      </c>
      <c r="F7" s="5" t="s">
        <v>219</v>
      </c>
      <c r="G7" s="4" t="s">
        <v>174</v>
      </c>
      <c r="H7" s="4" t="s">
        <v>220</v>
      </c>
      <c r="I7" s="4" t="s">
        <v>214</v>
      </c>
      <c r="J7" s="14">
        <f>SUMIFS('Parts list'!$C$4:$C$185,'Parts list'!$H$4:$H$185,$C7,'Parts list'!$M$4:$M$185,"Yes")</f>
        <v>1</v>
      </c>
      <c r="K7" s="14">
        <f>SUMIFS('Parts list'!$R$4:$R$185,'Parts list'!$H$4:$H$185,$C7,'Parts list'!$M$4:$M$185,"Yes")</f>
        <v>5</v>
      </c>
      <c r="L7" s="14">
        <f>SUMIFS('Parts list'!$V$4:$V$185,'Parts list'!$H$4:$H$185,$C7,'Parts list'!$M$4:$M$185,"Yes")</f>
        <v>6</v>
      </c>
      <c r="M7" s="14">
        <f t="shared" si="0"/>
        <v>1</v>
      </c>
      <c r="N7" s="4" t="s">
        <v>1560</v>
      </c>
      <c r="O7" s="18"/>
      <c r="P7" s="18"/>
      <c r="Q7" s="45" t="str">
        <f t="shared" si="1"/>
        <v>per piece</v>
      </c>
      <c r="R7" s="13">
        <f t="shared" si="2"/>
        <v>1.0900000000000001</v>
      </c>
      <c r="S7" s="16">
        <f>SUMIFS('Parts list'!$W$4:$W$185,'Parts list'!$H$4:$H$185,$C7,'Parts list'!$M$4:$M$185,"Yes")</f>
        <v>6.5400000000000009</v>
      </c>
      <c r="T7" s="45"/>
      <c r="U7" s="4" t="s">
        <v>1561</v>
      </c>
      <c r="V7" s="4"/>
    </row>
    <row r="8" spans="1:22" ht="15" customHeight="1" x14ac:dyDescent="0.2">
      <c r="A8" s="8">
        <v>5</v>
      </c>
      <c r="B8" s="4" t="s">
        <v>1562</v>
      </c>
      <c r="C8" s="4" t="s">
        <v>230</v>
      </c>
      <c r="D8" s="5" t="s">
        <v>228</v>
      </c>
      <c r="E8" s="5" t="s">
        <v>154</v>
      </c>
      <c r="F8" s="5" t="s">
        <v>231</v>
      </c>
      <c r="G8" s="4" t="s">
        <v>158</v>
      </c>
      <c r="H8" s="4" t="s">
        <v>175</v>
      </c>
      <c r="I8" s="4" t="s">
        <v>226</v>
      </c>
      <c r="J8" s="14">
        <f>SUMIFS('Parts list'!$C$4:$C$185,'Parts list'!$H$4:$H$185,$C8,'Parts list'!$M$4:$M$185,"Yes")</f>
        <v>2</v>
      </c>
      <c r="K8" s="14">
        <f>SUMIFS('Parts list'!$R$4:$R$185,'Parts list'!$H$4:$H$185,$C8,'Parts list'!$M$4:$M$185,"Yes")</f>
        <v>10</v>
      </c>
      <c r="L8" s="14">
        <f>SUMIFS('Parts list'!$V$4:$V$185,'Parts list'!$H$4:$H$185,$C8,'Parts list'!$M$4:$M$185,"Yes")</f>
        <v>12</v>
      </c>
      <c r="M8" s="14">
        <f t="shared" si="0"/>
        <v>2</v>
      </c>
      <c r="N8" s="4" t="s">
        <v>1554</v>
      </c>
      <c r="O8" s="18"/>
      <c r="P8" s="18"/>
      <c r="Q8" s="45" t="str">
        <f t="shared" si="1"/>
        <v>per piece</v>
      </c>
      <c r="R8" s="13">
        <f t="shared" si="2"/>
        <v>2E-3</v>
      </c>
      <c r="S8" s="16">
        <f>SUMIFS('Parts list'!$W$4:$W$185,'Parts list'!$H$4:$H$185,$C8,'Parts list'!$M$4:$M$185,"Yes")</f>
        <v>2.4E-2</v>
      </c>
      <c r="T8" s="45"/>
      <c r="U8" s="4" t="s">
        <v>1555</v>
      </c>
      <c r="V8" s="4"/>
    </row>
    <row r="9" spans="1:22" ht="66" customHeight="1" x14ac:dyDescent="0.2">
      <c r="A9" s="8">
        <v>6</v>
      </c>
      <c r="B9" s="4" t="s">
        <v>1562</v>
      </c>
      <c r="C9" s="4" t="s">
        <v>238</v>
      </c>
      <c r="D9" s="5" t="s">
        <v>237</v>
      </c>
      <c r="E9" s="5" t="s">
        <v>154</v>
      </c>
      <c r="F9" s="5" t="s">
        <v>239</v>
      </c>
      <c r="G9" s="4" t="s">
        <v>158</v>
      </c>
      <c r="H9" s="4" t="s">
        <v>175</v>
      </c>
      <c r="I9" s="4" t="s">
        <v>1563</v>
      </c>
      <c r="J9" s="14">
        <f>SUMIFS('Parts list'!$C$4:$C$185,'Parts list'!$H$4:$H$185,$C9,'Parts list'!$M$4:$M$185,"Yes")</f>
        <v>22</v>
      </c>
      <c r="K9" s="14">
        <f>SUMIFS('Parts list'!$R$4:$R$185,'Parts list'!$H$4:$H$185,$C9,'Parts list'!$M$4:$M$185,"Yes")</f>
        <v>110</v>
      </c>
      <c r="L9" s="14">
        <f>SUMIFS('Parts list'!$V$4:$V$185,'Parts list'!$H$4:$H$185,$C9,'Parts list'!$M$4:$M$185,"Yes")</f>
        <v>124</v>
      </c>
      <c r="M9" s="14">
        <f t="shared" si="0"/>
        <v>14</v>
      </c>
      <c r="N9" s="4" t="s">
        <v>1554</v>
      </c>
      <c r="O9" s="18"/>
      <c r="P9" s="18"/>
      <c r="Q9" s="45" t="str">
        <f t="shared" si="1"/>
        <v>per piece</v>
      </c>
      <c r="R9" s="13">
        <f t="shared" si="2"/>
        <v>1.9887096774193554E-3</v>
      </c>
      <c r="S9" s="16">
        <f>SUMIFS('Parts list'!$W$4:$W$185,'Parts list'!$H$4:$H$185,$C9,'Parts list'!$M$4:$M$185,"Yes")</f>
        <v>0.24660000000000004</v>
      </c>
      <c r="T9" s="45"/>
      <c r="U9" s="4" t="s">
        <v>1555</v>
      </c>
      <c r="V9" s="4" t="s">
        <v>1564</v>
      </c>
    </row>
    <row r="10" spans="1:22" ht="66" customHeight="1" x14ac:dyDescent="0.2">
      <c r="A10" s="8">
        <v>7</v>
      </c>
      <c r="B10" s="4" t="s">
        <v>1562</v>
      </c>
      <c r="C10" s="4" t="s">
        <v>245</v>
      </c>
      <c r="D10" s="5" t="s">
        <v>244</v>
      </c>
      <c r="E10" s="5" t="s">
        <v>154</v>
      </c>
      <c r="F10" s="5" t="s">
        <v>246</v>
      </c>
      <c r="G10" s="4" t="s">
        <v>158</v>
      </c>
      <c r="H10" s="4" t="s">
        <v>175</v>
      </c>
      <c r="I10" s="4" t="s">
        <v>1565</v>
      </c>
      <c r="J10" s="14">
        <f>SUMIFS('Parts list'!$C$4:$C$185,'Parts list'!$H$4:$H$185,$C10,'Parts list'!$M$4:$M$185,"Yes")</f>
        <v>25</v>
      </c>
      <c r="K10" s="14">
        <f>SUMIFS('Parts list'!$R$4:$R$185,'Parts list'!$H$4:$H$185,$C10,'Parts list'!$M$4:$M$185,"Yes")</f>
        <v>125</v>
      </c>
      <c r="L10" s="14">
        <f>SUMIFS('Parts list'!$V$4:$V$185,'Parts list'!$H$4:$H$185,$C10,'Parts list'!$M$4:$M$185,"Yes")</f>
        <v>151</v>
      </c>
      <c r="M10" s="14">
        <f t="shared" si="0"/>
        <v>26</v>
      </c>
      <c r="N10" s="4" t="s">
        <v>1554</v>
      </c>
      <c r="O10" s="18"/>
      <c r="P10" s="18"/>
      <c r="Q10" s="45" t="str">
        <f t="shared" si="1"/>
        <v>per piece</v>
      </c>
      <c r="R10" s="13">
        <f t="shared" si="2"/>
        <v>1.9172185430463575E-3</v>
      </c>
      <c r="S10" s="16">
        <f>SUMIFS('Parts list'!$W$4:$W$185,'Parts list'!$H$4:$H$185,$C10,'Parts list'!$M$4:$M$185,"Yes")</f>
        <v>0.28949999999999998</v>
      </c>
      <c r="T10" s="45"/>
      <c r="U10" s="4" t="s">
        <v>1555</v>
      </c>
      <c r="V10" s="4" t="s">
        <v>1564</v>
      </c>
    </row>
    <row r="11" spans="1:22" ht="15" customHeight="1" x14ac:dyDescent="0.2">
      <c r="A11" s="8">
        <v>8</v>
      </c>
      <c r="B11" s="4" t="s">
        <v>1562</v>
      </c>
      <c r="C11" s="4" t="s">
        <v>253</v>
      </c>
      <c r="D11" s="5" t="s">
        <v>252</v>
      </c>
      <c r="E11" s="5" t="s">
        <v>154</v>
      </c>
      <c r="F11" s="5" t="s">
        <v>254</v>
      </c>
      <c r="G11" s="4" t="s">
        <v>158</v>
      </c>
      <c r="H11" s="4" t="s">
        <v>175</v>
      </c>
      <c r="I11" s="4" t="s">
        <v>1566</v>
      </c>
      <c r="J11" s="14">
        <f>SUMIFS('Parts list'!$C$4:$C$185,'Parts list'!$H$4:$H$185,$C11,'Parts list'!$M$4:$M$185,"Yes")</f>
        <v>2</v>
      </c>
      <c r="K11" s="14">
        <f>SUMIFS('Parts list'!$R$4:$R$185,'Parts list'!$H$4:$H$185,$C11,'Parts list'!$M$4:$M$185,"Yes")</f>
        <v>10</v>
      </c>
      <c r="L11" s="14">
        <f>SUMIFS('Parts list'!$V$4:$V$185,'Parts list'!$H$4:$H$185,$C11,'Parts list'!$M$4:$M$185,"Yes")</f>
        <v>14</v>
      </c>
      <c r="M11" s="14">
        <f t="shared" si="0"/>
        <v>4</v>
      </c>
      <c r="N11" s="4" t="s">
        <v>1554</v>
      </c>
      <c r="O11" s="18"/>
      <c r="P11" s="18"/>
      <c r="Q11" s="45" t="str">
        <f t="shared" si="1"/>
        <v>per piece</v>
      </c>
      <c r="R11" s="13">
        <f t="shared" si="2"/>
        <v>2E-3</v>
      </c>
      <c r="S11" s="16">
        <f>SUMIFS('Parts list'!$W$4:$W$185,'Parts list'!$H$4:$H$185,$C11,'Parts list'!$M$4:$M$185,"Yes")</f>
        <v>2.8000000000000001E-2</v>
      </c>
      <c r="T11" s="45"/>
      <c r="U11" s="4" t="s">
        <v>1555</v>
      </c>
      <c r="V11" s="4"/>
    </row>
    <row r="12" spans="1:22" ht="15" customHeight="1" x14ac:dyDescent="0.2">
      <c r="A12" s="8">
        <v>9</v>
      </c>
      <c r="B12" s="4" t="s">
        <v>1562</v>
      </c>
      <c r="C12" s="4" t="s">
        <v>262</v>
      </c>
      <c r="D12" s="5" t="s">
        <v>260</v>
      </c>
      <c r="E12" s="5" t="s">
        <v>154</v>
      </c>
      <c r="F12" s="5" t="s">
        <v>263</v>
      </c>
      <c r="G12" s="4" t="s">
        <v>158</v>
      </c>
      <c r="H12" s="4" t="s">
        <v>175</v>
      </c>
      <c r="I12" s="4" t="s">
        <v>1567</v>
      </c>
      <c r="J12" s="14">
        <f>SUMIFS('Parts list'!$C$4:$C$185,'Parts list'!$H$4:$H$185,$C12,'Parts list'!$M$4:$M$185,"Yes")</f>
        <v>5</v>
      </c>
      <c r="K12" s="14">
        <f>SUMIFS('Parts list'!$R$4:$R$185,'Parts list'!$H$4:$H$185,$C12,'Parts list'!$M$4:$M$185,"Yes")</f>
        <v>25</v>
      </c>
      <c r="L12" s="14">
        <f>SUMIFS('Parts list'!$V$4:$V$185,'Parts list'!$H$4:$H$185,$C12,'Parts list'!$M$4:$M$185,"Yes")</f>
        <v>29</v>
      </c>
      <c r="M12" s="14">
        <f t="shared" si="0"/>
        <v>4</v>
      </c>
      <c r="N12" s="4" t="s">
        <v>1554</v>
      </c>
      <c r="O12" s="18"/>
      <c r="P12" s="18"/>
      <c r="Q12" s="45" t="str">
        <f t="shared" si="1"/>
        <v>per piece</v>
      </c>
      <c r="R12" s="13">
        <f t="shared" si="2"/>
        <v>2E-3</v>
      </c>
      <c r="S12" s="16">
        <f>SUMIFS('Parts list'!$W$4:$W$185,'Parts list'!$H$4:$H$185,$C12,'Parts list'!$M$4:$M$185,"Yes")</f>
        <v>5.7999999999999996E-2</v>
      </c>
      <c r="T12" s="45"/>
      <c r="U12" s="4" t="s">
        <v>1555</v>
      </c>
      <c r="V12" s="4"/>
    </row>
    <row r="13" spans="1:22" ht="53.25" customHeight="1" x14ac:dyDescent="0.2">
      <c r="A13" s="8">
        <v>10</v>
      </c>
      <c r="B13" s="4" t="s">
        <v>1562</v>
      </c>
      <c r="C13" s="4" t="s">
        <v>276</v>
      </c>
      <c r="D13" s="5" t="s">
        <v>275</v>
      </c>
      <c r="E13" s="5" t="s">
        <v>154</v>
      </c>
      <c r="F13" s="5" t="s">
        <v>277</v>
      </c>
      <c r="G13" s="4" t="s">
        <v>278</v>
      </c>
      <c r="H13" s="4" t="s">
        <v>175</v>
      </c>
      <c r="I13" s="4" t="s">
        <v>1568</v>
      </c>
      <c r="J13" s="14">
        <f>SUMIFS('Parts list'!$C$4:$C$185,'Parts list'!$H$4:$H$185,$C13,'Parts list'!$M$4:$M$185,"Yes")</f>
        <v>7</v>
      </c>
      <c r="K13" s="14">
        <f>SUMIFS('Parts list'!$R$4:$R$185,'Parts list'!$H$4:$H$185,$C13,'Parts list'!$M$4:$M$185,"Yes")</f>
        <v>35</v>
      </c>
      <c r="L13" s="14">
        <f>SUMIFS('Parts list'!$V$4:$V$185,'Parts list'!$H$4:$H$185,$C13,'Parts list'!$M$4:$M$185,"Yes")</f>
        <v>41</v>
      </c>
      <c r="M13" s="14">
        <f t="shared" si="0"/>
        <v>6</v>
      </c>
      <c r="N13" s="4" t="s">
        <v>1554</v>
      </c>
      <c r="O13" s="18"/>
      <c r="P13" s="18"/>
      <c r="Q13" s="45" t="str">
        <f t="shared" si="1"/>
        <v>per piece</v>
      </c>
      <c r="R13" s="13">
        <f t="shared" si="2"/>
        <v>2.8560975609756099E-3</v>
      </c>
      <c r="S13" s="16">
        <f>SUMIFS('Parts list'!$W$4:$W$185,'Parts list'!$H$4:$H$185,$C13,'Parts list'!$M$4:$M$185,"Yes")</f>
        <v>0.1171</v>
      </c>
      <c r="T13" s="45"/>
      <c r="U13" s="4" t="s">
        <v>1555</v>
      </c>
      <c r="V13" s="4" t="s">
        <v>1569</v>
      </c>
    </row>
    <row r="14" spans="1:22" ht="15" customHeight="1" x14ac:dyDescent="0.2">
      <c r="A14" s="8">
        <v>11</v>
      </c>
      <c r="B14" s="4" t="s">
        <v>1570</v>
      </c>
      <c r="C14" s="4" t="s">
        <v>287</v>
      </c>
      <c r="D14" s="5" t="s">
        <v>162</v>
      </c>
      <c r="E14" s="5" t="s">
        <v>285</v>
      </c>
      <c r="F14" s="5" t="s">
        <v>288</v>
      </c>
      <c r="G14" s="4" t="s">
        <v>174</v>
      </c>
      <c r="H14" s="4" t="s">
        <v>175</v>
      </c>
      <c r="I14" s="4" t="s">
        <v>283</v>
      </c>
      <c r="J14" s="14">
        <f>SUMIFS('Parts list'!$C$4:$C$185,'Parts list'!$H$4:$H$185,$C14,'Parts list'!$M$4:$M$185,"Yes")</f>
        <v>1</v>
      </c>
      <c r="K14" s="14">
        <f>SUMIFS('Parts list'!$R$4:$R$185,'Parts list'!$H$4:$H$185,$C14,'Parts list'!$M$4:$M$185,"Yes")</f>
        <v>5</v>
      </c>
      <c r="L14" s="14">
        <f>SUMIFS('Parts list'!$V$4:$V$185,'Parts list'!$H$4:$H$185,$C14,'Parts list'!$M$4:$M$185,"Yes")</f>
        <v>6</v>
      </c>
      <c r="M14" s="14">
        <f t="shared" si="0"/>
        <v>1</v>
      </c>
      <c r="N14" s="4" t="s">
        <v>1554</v>
      </c>
      <c r="O14" s="18"/>
      <c r="P14" s="18"/>
      <c r="Q14" s="45" t="str">
        <f t="shared" si="1"/>
        <v>per piece</v>
      </c>
      <c r="R14" s="13">
        <f t="shared" si="2"/>
        <v>0.18440000000000001</v>
      </c>
      <c r="S14" s="16">
        <f>SUMIFS('Parts list'!$W$4:$W$185,'Parts list'!$H$4:$H$185,$C14,'Parts list'!$M$4:$M$185,"Yes")</f>
        <v>1.1064000000000001</v>
      </c>
      <c r="T14" s="45"/>
      <c r="U14" s="4" t="s">
        <v>1555</v>
      </c>
      <c r="V14" s="4"/>
    </row>
    <row r="15" spans="1:22" ht="27.75" customHeight="1" x14ac:dyDescent="0.2">
      <c r="A15" s="8">
        <v>12</v>
      </c>
      <c r="B15" s="4" t="s">
        <v>1570</v>
      </c>
      <c r="C15" s="4" t="s">
        <v>296</v>
      </c>
      <c r="D15" s="5" t="s">
        <v>162</v>
      </c>
      <c r="E15" s="5" t="s">
        <v>294</v>
      </c>
      <c r="F15" s="5" t="s">
        <v>297</v>
      </c>
      <c r="G15" s="4" t="s">
        <v>174</v>
      </c>
      <c r="H15" s="4" t="s">
        <v>175</v>
      </c>
      <c r="I15" s="4" t="s">
        <v>292</v>
      </c>
      <c r="J15" s="14">
        <f>SUMIFS('Parts list'!$C$4:$C$185,'Parts list'!$H$4:$H$185,$C15,'Parts list'!$M$4:$M$185,"Yes")</f>
        <v>1</v>
      </c>
      <c r="K15" s="14">
        <f>SUMIFS('Parts list'!$R$4:$R$185,'Parts list'!$H$4:$H$185,$C15,'Parts list'!$M$4:$M$185,"Yes")</f>
        <v>5</v>
      </c>
      <c r="L15" s="14">
        <f>SUMIFS('Parts list'!$V$4:$V$185,'Parts list'!$H$4:$H$185,$C15,'Parts list'!$M$4:$M$185,"Yes")</f>
        <v>6</v>
      </c>
      <c r="M15" s="14">
        <f t="shared" si="0"/>
        <v>1</v>
      </c>
      <c r="N15" s="4" t="s">
        <v>1554</v>
      </c>
      <c r="O15" s="18"/>
      <c r="P15" s="18"/>
      <c r="Q15" s="45" t="str">
        <f t="shared" si="1"/>
        <v>per piece</v>
      </c>
      <c r="R15" s="13">
        <f t="shared" si="2"/>
        <v>0.44</v>
      </c>
      <c r="S15" s="16">
        <f>SUMIFS('Parts list'!$W$4:$W$185,'Parts list'!$H$4:$H$185,$C15,'Parts list'!$M$4:$M$185,"Yes")</f>
        <v>2.64</v>
      </c>
      <c r="T15" s="45"/>
      <c r="U15" s="4" t="s">
        <v>1555</v>
      </c>
      <c r="V15" s="4"/>
    </row>
    <row r="16" spans="1:22" ht="27.75" customHeight="1" x14ac:dyDescent="0.2">
      <c r="A16" s="8">
        <v>13</v>
      </c>
      <c r="B16" s="4" t="s">
        <v>1570</v>
      </c>
      <c r="C16" s="4" t="s">
        <v>306</v>
      </c>
      <c r="D16" s="5" t="s">
        <v>162</v>
      </c>
      <c r="E16" s="5" t="s">
        <v>304</v>
      </c>
      <c r="F16" s="5" t="s">
        <v>307</v>
      </c>
      <c r="G16" s="4" t="s">
        <v>308</v>
      </c>
      <c r="H16" s="4" t="s">
        <v>175</v>
      </c>
      <c r="I16" s="4" t="s">
        <v>302</v>
      </c>
      <c r="J16" s="14">
        <f>SUMIFS('Parts list'!$C$4:$C$185,'Parts list'!$H$4:$H$185,$C16,'Parts list'!$M$4:$M$185,"Yes")</f>
        <v>1</v>
      </c>
      <c r="K16" s="14">
        <f>SUMIFS('Parts list'!$R$4:$R$185,'Parts list'!$H$4:$H$185,$C16,'Parts list'!$M$4:$M$185,"Yes")</f>
        <v>5</v>
      </c>
      <c r="L16" s="14">
        <f>SUMIFS('Parts list'!$V$4:$V$185,'Parts list'!$H$4:$H$185,$C16,'Parts list'!$M$4:$M$185,"Yes")</f>
        <v>6</v>
      </c>
      <c r="M16" s="14">
        <f t="shared" si="0"/>
        <v>1</v>
      </c>
      <c r="N16" s="4" t="s">
        <v>1554</v>
      </c>
      <c r="O16" s="18"/>
      <c r="P16" s="18"/>
      <c r="Q16" s="45" t="str">
        <f t="shared" si="1"/>
        <v>per piece</v>
      </c>
      <c r="R16" s="13">
        <f t="shared" si="2"/>
        <v>0.22</v>
      </c>
      <c r="S16" s="16">
        <f>SUMIFS('Parts list'!$W$4:$W$185,'Parts list'!$H$4:$H$185,$C16,'Parts list'!$M$4:$M$185,"Yes")</f>
        <v>1.32</v>
      </c>
      <c r="T16" s="45"/>
      <c r="U16" s="4" t="s">
        <v>1555</v>
      </c>
      <c r="V16" s="4"/>
    </row>
    <row r="17" spans="1:22" ht="15" customHeight="1" x14ac:dyDescent="0.2">
      <c r="A17" s="8">
        <v>14</v>
      </c>
      <c r="B17" s="4" t="s">
        <v>1553</v>
      </c>
      <c r="C17" s="4" t="s">
        <v>318</v>
      </c>
      <c r="D17" s="5" t="s">
        <v>316</v>
      </c>
      <c r="E17" s="5" t="s">
        <v>154</v>
      </c>
      <c r="F17" s="5" t="s">
        <v>319</v>
      </c>
      <c r="G17" s="4" t="s">
        <v>158</v>
      </c>
      <c r="H17" s="4" t="s">
        <v>175</v>
      </c>
      <c r="I17" s="4" t="s">
        <v>1571</v>
      </c>
      <c r="J17" s="14">
        <f>SUMIFS('Parts list'!$C$4:$C$185,'Parts list'!$H$4:$H$185,$C17,'Parts list'!$M$4:$M$185,"Yes")</f>
        <v>3</v>
      </c>
      <c r="K17" s="14">
        <f>SUMIFS('Parts list'!$R$4:$R$185,'Parts list'!$H$4:$H$185,$C17,'Parts list'!$M$4:$M$185,"Yes")</f>
        <v>15</v>
      </c>
      <c r="L17" s="14">
        <f>SUMIFS('Parts list'!$V$4:$V$185,'Parts list'!$H$4:$H$185,$C17,'Parts list'!$M$4:$M$185,"Yes")</f>
        <v>19</v>
      </c>
      <c r="M17" s="14">
        <f t="shared" si="0"/>
        <v>4</v>
      </c>
      <c r="N17" s="4" t="s">
        <v>1554</v>
      </c>
      <c r="O17" s="18"/>
      <c r="P17" s="18"/>
      <c r="Q17" s="45" t="str">
        <f t="shared" si="1"/>
        <v>per piece</v>
      </c>
      <c r="R17" s="13">
        <f t="shared" si="2"/>
        <v>2E-3</v>
      </c>
      <c r="S17" s="16">
        <f>SUMIFS('Parts list'!$W$4:$W$185,'Parts list'!$H$4:$H$185,$C17,'Parts list'!$M$4:$M$185,"Yes")</f>
        <v>3.7999999999999999E-2</v>
      </c>
      <c r="T17" s="45"/>
      <c r="U17" s="4" t="s">
        <v>1555</v>
      </c>
      <c r="V17" s="4"/>
    </row>
    <row r="18" spans="1:22" ht="15" customHeight="1" x14ac:dyDescent="0.2">
      <c r="A18" s="8">
        <v>15</v>
      </c>
      <c r="B18" s="4" t="s">
        <v>1553</v>
      </c>
      <c r="C18" s="4" t="s">
        <v>331</v>
      </c>
      <c r="D18" s="5" t="s">
        <v>169</v>
      </c>
      <c r="E18" s="5" t="s">
        <v>154</v>
      </c>
      <c r="F18" s="5" t="s">
        <v>332</v>
      </c>
      <c r="G18" s="4" t="s">
        <v>158</v>
      </c>
      <c r="H18" s="4" t="s">
        <v>175</v>
      </c>
      <c r="I18" s="4" t="s">
        <v>328</v>
      </c>
      <c r="J18" s="14">
        <f>SUMIFS('Parts list'!$C$4:$C$185,'Parts list'!$H$4:$H$185,$C18,'Parts list'!$M$4:$M$185,"Yes")</f>
        <v>1</v>
      </c>
      <c r="K18" s="14">
        <f>SUMIFS('Parts list'!$R$4:$R$185,'Parts list'!$H$4:$H$185,$C18,'Parts list'!$M$4:$M$185,"Yes")</f>
        <v>5</v>
      </c>
      <c r="L18" s="14">
        <f>SUMIFS('Parts list'!$V$4:$V$185,'Parts list'!$H$4:$H$185,$C18,'Parts list'!$M$4:$M$185,"Yes")</f>
        <v>7</v>
      </c>
      <c r="M18" s="14">
        <f t="shared" si="0"/>
        <v>2</v>
      </c>
      <c r="N18" s="4" t="s">
        <v>1554</v>
      </c>
      <c r="O18" s="18"/>
      <c r="P18" s="18"/>
      <c r="Q18" s="45" t="str">
        <f t="shared" si="1"/>
        <v>per piece</v>
      </c>
      <c r="R18" s="13">
        <f t="shared" si="2"/>
        <v>5.0000000000000001E-3</v>
      </c>
      <c r="S18" s="16">
        <f>SUMIFS('Parts list'!$W$4:$W$185,'Parts list'!$H$4:$H$185,$C18,'Parts list'!$M$4:$M$185,"Yes")</f>
        <v>3.5000000000000003E-2</v>
      </c>
      <c r="T18" s="45"/>
      <c r="U18" s="4" t="s">
        <v>1555</v>
      </c>
      <c r="V18" s="4"/>
    </row>
    <row r="19" spans="1:22" ht="53.25" customHeight="1" x14ac:dyDescent="0.2">
      <c r="A19" s="8">
        <v>16</v>
      </c>
      <c r="B19" s="4" t="s">
        <v>1553</v>
      </c>
      <c r="C19" s="4" t="s">
        <v>339</v>
      </c>
      <c r="D19" s="5" t="s">
        <v>338</v>
      </c>
      <c r="E19" s="5" t="s">
        <v>154</v>
      </c>
      <c r="F19" s="5" t="s">
        <v>340</v>
      </c>
      <c r="G19" s="4" t="s">
        <v>158</v>
      </c>
      <c r="H19" s="4" t="s">
        <v>175</v>
      </c>
      <c r="I19" s="4" t="s">
        <v>1572</v>
      </c>
      <c r="J19" s="14">
        <f>SUMIFS('Parts list'!$C$4:$C$185,'Parts list'!$H$4:$H$185,$C19,'Parts list'!$M$4:$M$185,"Yes")</f>
        <v>4</v>
      </c>
      <c r="K19" s="14">
        <f>SUMIFS('Parts list'!$R$4:$R$185,'Parts list'!$H$4:$H$185,$C19,'Parts list'!$M$4:$M$185,"Yes")</f>
        <v>20</v>
      </c>
      <c r="L19" s="14">
        <f>SUMIFS('Parts list'!$V$4:$V$185,'Parts list'!$H$4:$H$185,$C19,'Parts list'!$M$4:$M$185,"Yes")</f>
        <v>26</v>
      </c>
      <c r="M19" s="14">
        <f t="shared" si="0"/>
        <v>6</v>
      </c>
      <c r="N19" s="4" t="s">
        <v>1554</v>
      </c>
      <c r="O19" s="18"/>
      <c r="P19" s="18"/>
      <c r="Q19" s="45" t="str">
        <f t="shared" si="1"/>
        <v>per piece</v>
      </c>
      <c r="R19" s="13">
        <f t="shared" si="2"/>
        <v>1.5846153846153846E-3</v>
      </c>
      <c r="S19" s="16">
        <f>SUMIFS('Parts list'!$W$4:$W$185,'Parts list'!$H$4:$H$185,$C19,'Parts list'!$M$4:$M$185,"Yes")</f>
        <v>4.1200000000000001E-2</v>
      </c>
      <c r="T19" s="45"/>
      <c r="U19" s="4" t="s">
        <v>1555</v>
      </c>
      <c r="V19" s="4" t="s">
        <v>1573</v>
      </c>
    </row>
    <row r="20" spans="1:22" ht="27.75" customHeight="1" x14ac:dyDescent="0.2">
      <c r="A20" s="8">
        <v>17</v>
      </c>
      <c r="B20" s="4" t="s">
        <v>1553</v>
      </c>
      <c r="C20" s="4" t="s">
        <v>349</v>
      </c>
      <c r="D20" s="5" t="s">
        <v>346</v>
      </c>
      <c r="E20" s="5" t="s">
        <v>347</v>
      </c>
      <c r="F20" s="5" t="s">
        <v>350</v>
      </c>
      <c r="G20" s="4" t="s">
        <v>158</v>
      </c>
      <c r="H20" s="4" t="s">
        <v>175</v>
      </c>
      <c r="I20" s="4" t="s">
        <v>1574</v>
      </c>
      <c r="J20" s="14">
        <f>SUMIFS('Parts list'!$C$4:$C$185,'Parts list'!$H$4:$H$185,$C20,'Parts list'!$M$4:$M$185,"Yes")</f>
        <v>8</v>
      </c>
      <c r="K20" s="14">
        <f>SUMIFS('Parts list'!$R$4:$R$185,'Parts list'!$H$4:$H$185,$C20,'Parts list'!$M$4:$M$185,"Yes")</f>
        <v>40</v>
      </c>
      <c r="L20" s="14">
        <f>SUMIFS('Parts list'!$V$4:$V$185,'Parts list'!$H$4:$H$185,$C20,'Parts list'!$M$4:$M$185,"Yes")</f>
        <v>54</v>
      </c>
      <c r="M20" s="14">
        <f t="shared" si="0"/>
        <v>14</v>
      </c>
      <c r="N20" s="4" t="s">
        <v>1554</v>
      </c>
      <c r="O20" s="18"/>
      <c r="P20" s="18"/>
      <c r="Q20" s="45" t="str">
        <f t="shared" si="1"/>
        <v>per piece</v>
      </c>
      <c r="R20" s="13">
        <f t="shared" si="2"/>
        <v>6.0000000000000001E-3</v>
      </c>
      <c r="S20" s="16">
        <f>SUMIFS('Parts list'!$W$4:$W$185,'Parts list'!$H$4:$H$185,$C20,'Parts list'!$M$4:$M$185,"Yes")</f>
        <v>0.32400000000000001</v>
      </c>
      <c r="T20" s="45"/>
      <c r="U20" s="4" t="s">
        <v>1555</v>
      </c>
      <c r="V20" s="4"/>
    </row>
    <row r="21" spans="1:22" ht="15" customHeight="1" x14ac:dyDescent="0.2">
      <c r="A21" s="8">
        <v>18</v>
      </c>
      <c r="B21" s="4" t="s">
        <v>1575</v>
      </c>
      <c r="C21" s="4" t="s">
        <v>357</v>
      </c>
      <c r="D21" s="5" t="s">
        <v>355</v>
      </c>
      <c r="E21" s="5" t="s">
        <v>347</v>
      </c>
      <c r="F21" s="5" t="s">
        <v>358</v>
      </c>
      <c r="G21" s="4" t="s">
        <v>158</v>
      </c>
      <c r="H21" s="4" t="s">
        <v>175</v>
      </c>
      <c r="I21" s="4" t="s">
        <v>1576</v>
      </c>
      <c r="J21" s="14">
        <f>SUMIFS('Parts list'!$C$4:$C$185,'Parts list'!$H$4:$H$185,$C21,'Parts list'!$M$4:$M$185,"Yes")</f>
        <v>3</v>
      </c>
      <c r="K21" s="14">
        <f>SUMIFS('Parts list'!$R$4:$R$185,'Parts list'!$H$4:$H$185,$C21,'Parts list'!$M$4:$M$185,"Yes")</f>
        <v>15</v>
      </c>
      <c r="L21" s="14">
        <f>SUMIFS('Parts list'!$V$4:$V$185,'Parts list'!$H$4:$H$185,$C21,'Parts list'!$M$4:$M$185,"Yes")</f>
        <v>19</v>
      </c>
      <c r="M21" s="14">
        <f t="shared" si="0"/>
        <v>4</v>
      </c>
      <c r="N21" s="4" t="s">
        <v>1554</v>
      </c>
      <c r="O21" s="18"/>
      <c r="P21" s="18"/>
      <c r="Q21" s="45" t="str">
        <f t="shared" si="1"/>
        <v>per piece</v>
      </c>
      <c r="R21" s="13">
        <f t="shared" si="2"/>
        <v>1.2699999999999998E-2</v>
      </c>
      <c r="S21" s="16">
        <f>SUMIFS('Parts list'!$W$4:$W$185,'Parts list'!$H$4:$H$185,$C21,'Parts list'!$M$4:$M$185,"Yes")</f>
        <v>0.24129999999999996</v>
      </c>
      <c r="T21" s="45"/>
      <c r="U21" s="4" t="s">
        <v>1555</v>
      </c>
      <c r="V21" s="4"/>
    </row>
    <row r="22" spans="1:22" ht="53.25" customHeight="1" x14ac:dyDescent="0.2">
      <c r="A22" s="8">
        <v>19</v>
      </c>
      <c r="B22" s="4" t="s">
        <v>1577</v>
      </c>
      <c r="C22" s="4" t="s">
        <v>380</v>
      </c>
      <c r="D22" s="5" t="s">
        <v>377</v>
      </c>
      <c r="E22" s="5" t="s">
        <v>378</v>
      </c>
      <c r="F22" s="5" t="s">
        <v>381</v>
      </c>
      <c r="G22" s="4" t="s">
        <v>158</v>
      </c>
      <c r="H22" s="4" t="s">
        <v>175</v>
      </c>
      <c r="I22" s="4" t="s">
        <v>1578</v>
      </c>
      <c r="J22" s="14">
        <f>SUMIFS('Parts list'!$C$4:$C$185,'Parts list'!$H$4:$H$185,$C22,'Parts list'!$M$4:$M$185,"Yes")</f>
        <v>11</v>
      </c>
      <c r="K22" s="14">
        <f>SUMIFS('Parts list'!$R$4:$R$185,'Parts list'!$H$4:$H$185,$C22,'Parts list'!$M$4:$M$185,"Yes")</f>
        <v>55</v>
      </c>
      <c r="L22" s="14">
        <f>SUMIFS('Parts list'!$V$4:$V$185,'Parts list'!$H$4:$H$185,$C22,'Parts list'!$M$4:$M$185,"Yes")</f>
        <v>58</v>
      </c>
      <c r="M22" s="14">
        <f t="shared" si="0"/>
        <v>3</v>
      </c>
      <c r="N22" s="4" t="s">
        <v>1554</v>
      </c>
      <c r="O22" s="18"/>
      <c r="P22" s="18"/>
      <c r="Q22" s="45" t="str">
        <f t="shared" si="1"/>
        <v>per piece</v>
      </c>
      <c r="R22" s="13">
        <f t="shared" si="2"/>
        <v>6.7148275862068965E-2</v>
      </c>
      <c r="S22" s="16">
        <f>SUMIFS('Parts list'!$W$4:$W$185,'Parts list'!$H$4:$H$185,$C22,'Parts list'!$M$4:$M$185,"Yes")</f>
        <v>3.8946000000000001</v>
      </c>
      <c r="T22" s="45"/>
      <c r="U22" s="4" t="s">
        <v>1555</v>
      </c>
      <c r="V22" s="4" t="s">
        <v>1579</v>
      </c>
    </row>
    <row r="23" spans="1:22" ht="27.75" customHeight="1" x14ac:dyDescent="0.2">
      <c r="A23" s="8">
        <v>20</v>
      </c>
      <c r="B23" s="4" t="s">
        <v>1562</v>
      </c>
      <c r="C23" s="4" t="s">
        <v>393</v>
      </c>
      <c r="D23" s="5" t="s">
        <v>392</v>
      </c>
      <c r="E23" s="5" t="s">
        <v>154</v>
      </c>
      <c r="F23" s="5" t="s">
        <v>394</v>
      </c>
      <c r="G23" s="4" t="s">
        <v>158</v>
      </c>
      <c r="H23" s="4" t="s">
        <v>175</v>
      </c>
      <c r="I23" s="4" t="s">
        <v>390</v>
      </c>
      <c r="J23" s="14">
        <f>SUMIFS('Parts list'!$C$4:$C$185,'Parts list'!$H$4:$H$185,$C23,'Parts list'!$M$4:$M$185,"Yes")</f>
        <v>9</v>
      </c>
      <c r="K23" s="14">
        <f>SUMIFS('Parts list'!$R$4:$R$185,'Parts list'!$H$4:$H$185,$C23,'Parts list'!$M$4:$M$185,"Yes")</f>
        <v>45</v>
      </c>
      <c r="L23" s="14">
        <f>SUMIFS('Parts list'!$V$4:$V$185,'Parts list'!$H$4:$H$185,$C23,'Parts list'!$M$4:$M$185,"Yes")</f>
        <v>48</v>
      </c>
      <c r="M23" s="14">
        <f t="shared" si="0"/>
        <v>3</v>
      </c>
      <c r="N23" s="4" t="s">
        <v>1554</v>
      </c>
      <c r="O23" s="18"/>
      <c r="P23" s="18"/>
      <c r="Q23" s="45" t="str">
        <f t="shared" si="1"/>
        <v>per piece</v>
      </c>
      <c r="R23" s="13">
        <f t="shared" si="2"/>
        <v>2E-3</v>
      </c>
      <c r="S23" s="16">
        <f>SUMIFS('Parts list'!$W$4:$W$185,'Parts list'!$H$4:$H$185,$C23,'Parts list'!$M$4:$M$185,"Yes")</f>
        <v>9.6000000000000002E-2</v>
      </c>
      <c r="T23" s="45"/>
      <c r="U23" s="4" t="s">
        <v>1555</v>
      </c>
      <c r="V23" s="4"/>
    </row>
    <row r="24" spans="1:22" ht="53.25" customHeight="1" x14ac:dyDescent="0.2">
      <c r="A24" s="8">
        <v>21</v>
      </c>
      <c r="B24" s="4" t="s">
        <v>1562</v>
      </c>
      <c r="C24" s="4" t="s">
        <v>401</v>
      </c>
      <c r="D24" s="5" t="s">
        <v>400</v>
      </c>
      <c r="E24" s="5" t="s">
        <v>154</v>
      </c>
      <c r="F24" s="5" t="s">
        <v>402</v>
      </c>
      <c r="G24" s="4" t="s">
        <v>158</v>
      </c>
      <c r="H24" s="4" t="s">
        <v>175</v>
      </c>
      <c r="I24" s="4" t="s">
        <v>1580</v>
      </c>
      <c r="J24" s="14">
        <f>SUMIFS('Parts list'!$C$4:$C$185,'Parts list'!$H$4:$H$185,$C24,'Parts list'!$M$4:$M$185,"Yes")</f>
        <v>9</v>
      </c>
      <c r="K24" s="14">
        <f>SUMIFS('Parts list'!$R$4:$R$185,'Parts list'!$H$4:$H$185,$C24,'Parts list'!$M$4:$M$185,"Yes")</f>
        <v>45</v>
      </c>
      <c r="L24" s="14">
        <f>SUMIFS('Parts list'!$V$4:$V$185,'Parts list'!$H$4:$H$185,$C24,'Parts list'!$M$4:$M$185,"Yes")</f>
        <v>49</v>
      </c>
      <c r="M24" s="14">
        <f t="shared" si="0"/>
        <v>4</v>
      </c>
      <c r="N24" s="4" t="s">
        <v>1554</v>
      </c>
      <c r="O24" s="18"/>
      <c r="P24" s="18"/>
      <c r="Q24" s="45" t="str">
        <f t="shared" si="1"/>
        <v>per piece</v>
      </c>
      <c r="R24" s="13">
        <f t="shared" si="2"/>
        <v>1.8571428571428573E-3</v>
      </c>
      <c r="S24" s="16">
        <f>SUMIFS('Parts list'!$W$4:$W$185,'Parts list'!$H$4:$H$185,$C24,'Parts list'!$M$4:$M$185,"Yes")</f>
        <v>9.1000000000000011E-2</v>
      </c>
      <c r="T24" s="45"/>
      <c r="U24" s="4" t="s">
        <v>1555</v>
      </c>
      <c r="V24" s="4" t="s">
        <v>1581</v>
      </c>
    </row>
    <row r="25" spans="1:22" ht="53.25" customHeight="1" x14ac:dyDescent="0.2">
      <c r="A25" s="8">
        <v>22</v>
      </c>
      <c r="B25" s="4" t="s">
        <v>1562</v>
      </c>
      <c r="C25" s="4" t="s">
        <v>413</v>
      </c>
      <c r="D25" s="5" t="s">
        <v>412</v>
      </c>
      <c r="E25" s="5" t="s">
        <v>154</v>
      </c>
      <c r="F25" s="5" t="s">
        <v>414</v>
      </c>
      <c r="G25" s="4" t="s">
        <v>158</v>
      </c>
      <c r="H25" s="4" t="s">
        <v>175</v>
      </c>
      <c r="I25" s="4" t="s">
        <v>1582</v>
      </c>
      <c r="J25" s="14">
        <f>SUMIFS('Parts list'!$C$4:$C$185,'Parts list'!$H$4:$H$185,$C25,'Parts list'!$M$4:$M$185,"Yes")</f>
        <v>3</v>
      </c>
      <c r="K25" s="14">
        <f>SUMIFS('Parts list'!$R$4:$R$185,'Parts list'!$H$4:$H$185,$C25,'Parts list'!$M$4:$M$185,"Yes")</f>
        <v>15</v>
      </c>
      <c r="L25" s="14">
        <f>SUMIFS('Parts list'!$V$4:$V$185,'Parts list'!$H$4:$H$185,$C25,'Parts list'!$M$4:$M$185,"Yes")</f>
        <v>19</v>
      </c>
      <c r="M25" s="14">
        <f t="shared" si="0"/>
        <v>4</v>
      </c>
      <c r="N25" s="4" t="s">
        <v>1554</v>
      </c>
      <c r="O25" s="18"/>
      <c r="P25" s="18"/>
      <c r="Q25" s="45" t="str">
        <f t="shared" si="1"/>
        <v>per piece</v>
      </c>
      <c r="R25" s="13">
        <f t="shared" si="2"/>
        <v>1.0526315789473684E-3</v>
      </c>
      <c r="S25" s="16">
        <f>SUMIFS('Parts list'!$W$4:$W$185,'Parts list'!$H$4:$H$185,$C25,'Parts list'!$M$4:$M$185,"Yes")</f>
        <v>0.02</v>
      </c>
      <c r="T25" s="45"/>
      <c r="U25" s="4" t="s">
        <v>1555</v>
      </c>
      <c r="V25" s="4" t="s">
        <v>1583</v>
      </c>
    </row>
    <row r="26" spans="1:22" ht="27.75" customHeight="1" x14ac:dyDescent="0.2">
      <c r="A26" s="8">
        <v>23</v>
      </c>
      <c r="B26" s="4" t="s">
        <v>1570</v>
      </c>
      <c r="C26" s="4" t="s">
        <v>427</v>
      </c>
      <c r="D26" s="5" t="s">
        <v>424</v>
      </c>
      <c r="E26" s="5" t="s">
        <v>425</v>
      </c>
      <c r="F26" s="5" t="s">
        <v>428</v>
      </c>
      <c r="G26" s="4" t="s">
        <v>174</v>
      </c>
      <c r="H26" s="4" t="s">
        <v>175</v>
      </c>
      <c r="I26" s="4" t="s">
        <v>422</v>
      </c>
      <c r="J26" s="14">
        <f>SUMIFS('Parts list'!$C$4:$C$185,'Parts list'!$H$4:$H$185,$C26,'Parts list'!$M$4:$M$185,"Yes")</f>
        <v>1</v>
      </c>
      <c r="K26" s="14">
        <f>SUMIFS('Parts list'!$R$4:$R$185,'Parts list'!$H$4:$H$185,$C26,'Parts list'!$M$4:$M$185,"Yes")</f>
        <v>5</v>
      </c>
      <c r="L26" s="14">
        <f>SUMIFS('Parts list'!$V$4:$V$185,'Parts list'!$H$4:$H$185,$C26,'Parts list'!$M$4:$M$185,"Yes")</f>
        <v>6</v>
      </c>
      <c r="M26" s="14">
        <f t="shared" si="0"/>
        <v>1</v>
      </c>
      <c r="N26" s="4" t="s">
        <v>1554</v>
      </c>
      <c r="O26" s="18"/>
      <c r="P26" s="18"/>
      <c r="Q26" s="45" t="str">
        <f t="shared" si="1"/>
        <v>per piece</v>
      </c>
      <c r="R26" s="13">
        <f t="shared" si="2"/>
        <v>3.47</v>
      </c>
      <c r="S26" s="16">
        <f>SUMIFS('Parts list'!$W$4:$W$185,'Parts list'!$H$4:$H$185,$C26,'Parts list'!$M$4:$M$185,"Yes")</f>
        <v>20.82</v>
      </c>
      <c r="T26" s="45" t="s">
        <v>1584</v>
      </c>
      <c r="U26" s="4" t="s">
        <v>1585</v>
      </c>
      <c r="V26" s="4"/>
    </row>
    <row r="27" spans="1:22" ht="27.75" customHeight="1" x14ac:dyDescent="0.2">
      <c r="A27" s="8">
        <v>24</v>
      </c>
      <c r="B27" s="4" t="s">
        <v>1570</v>
      </c>
      <c r="C27" s="4" t="s">
        <v>438</v>
      </c>
      <c r="D27" s="5" t="s">
        <v>435</v>
      </c>
      <c r="E27" s="5" t="s">
        <v>436</v>
      </c>
      <c r="F27" s="5" t="s">
        <v>439</v>
      </c>
      <c r="G27" s="4" t="s">
        <v>174</v>
      </c>
      <c r="H27" s="4" t="s">
        <v>175</v>
      </c>
      <c r="I27" s="4" t="s">
        <v>433</v>
      </c>
      <c r="J27" s="14">
        <f>SUMIFS('Parts list'!$C$4:$C$185,'Parts list'!$H$4:$H$185,$C27,'Parts list'!$M$4:$M$185,"Yes")</f>
        <v>1</v>
      </c>
      <c r="K27" s="14">
        <f>SUMIFS('Parts list'!$R$4:$R$185,'Parts list'!$H$4:$H$185,$C27,'Parts list'!$M$4:$M$185,"Yes")</f>
        <v>5</v>
      </c>
      <c r="L27" s="14">
        <f>SUMIFS('Parts list'!$V$4:$V$185,'Parts list'!$H$4:$H$185,$C27,'Parts list'!$M$4:$M$185,"Yes")</f>
        <v>6</v>
      </c>
      <c r="M27" s="14">
        <f t="shared" si="0"/>
        <v>1</v>
      </c>
      <c r="N27" s="4" t="s">
        <v>1554</v>
      </c>
      <c r="O27" s="18"/>
      <c r="P27" s="18"/>
      <c r="Q27" s="45" t="str">
        <f t="shared" si="1"/>
        <v>per piece</v>
      </c>
      <c r="R27" s="13">
        <f t="shared" si="2"/>
        <v>1.6503000000000003</v>
      </c>
      <c r="S27" s="16">
        <f>SUMIFS('Parts list'!$W$4:$W$185,'Parts list'!$H$4:$H$185,$C27,'Parts list'!$M$4:$M$185,"Yes")</f>
        <v>9.9018000000000015</v>
      </c>
      <c r="T27" s="45" t="s">
        <v>1584</v>
      </c>
      <c r="U27" s="4" t="s">
        <v>1586</v>
      </c>
      <c r="V27" s="4"/>
    </row>
    <row r="28" spans="1:22" ht="15" customHeight="1" x14ac:dyDescent="0.2">
      <c r="A28" s="8">
        <v>25</v>
      </c>
      <c r="B28" s="4" t="s">
        <v>1570</v>
      </c>
      <c r="C28" s="4" t="s">
        <v>449</v>
      </c>
      <c r="D28" s="5" t="s">
        <v>446</v>
      </c>
      <c r="E28" s="5" t="s">
        <v>447</v>
      </c>
      <c r="F28" s="5" t="s">
        <v>450</v>
      </c>
      <c r="G28" s="4" t="s">
        <v>174</v>
      </c>
      <c r="H28" s="4" t="s">
        <v>175</v>
      </c>
      <c r="I28" s="4" t="s">
        <v>444</v>
      </c>
      <c r="J28" s="14">
        <f>SUMIFS('Parts list'!$C$4:$C$185,'Parts list'!$H$4:$H$185,$C28,'Parts list'!$M$4:$M$185,"Yes")</f>
        <v>1</v>
      </c>
      <c r="K28" s="14">
        <f>SUMIFS('Parts list'!$R$4:$R$185,'Parts list'!$H$4:$H$185,$C28,'Parts list'!$M$4:$M$185,"Yes")</f>
        <v>5</v>
      </c>
      <c r="L28" s="14">
        <f>SUMIFS('Parts list'!$V$4:$V$185,'Parts list'!$H$4:$H$185,$C28,'Parts list'!$M$4:$M$185,"Yes")</f>
        <v>6</v>
      </c>
      <c r="M28" s="14">
        <f t="shared" si="0"/>
        <v>1</v>
      </c>
      <c r="N28" s="4" t="s">
        <v>1554</v>
      </c>
      <c r="O28" s="18"/>
      <c r="P28" s="18"/>
      <c r="Q28" s="45" t="str">
        <f t="shared" si="1"/>
        <v>per piece</v>
      </c>
      <c r="R28" s="13">
        <f t="shared" si="2"/>
        <v>0.21060000000000001</v>
      </c>
      <c r="S28" s="16">
        <f>SUMIFS('Parts list'!$W$4:$W$185,'Parts list'!$H$4:$H$185,$C28,'Parts list'!$M$4:$M$185,"Yes")</f>
        <v>1.2636000000000001</v>
      </c>
      <c r="T28" s="45"/>
      <c r="U28" s="4" t="s">
        <v>1555</v>
      </c>
      <c r="V28" s="4"/>
    </row>
    <row r="29" spans="1:22" ht="15" customHeight="1" x14ac:dyDescent="0.2">
      <c r="A29" s="8">
        <v>26</v>
      </c>
      <c r="B29" s="4" t="s">
        <v>1570</v>
      </c>
      <c r="C29" s="4" t="s">
        <v>459</v>
      </c>
      <c r="D29" s="5" t="s">
        <v>457</v>
      </c>
      <c r="E29" s="5" t="s">
        <v>447</v>
      </c>
      <c r="F29" s="5" t="s">
        <v>460</v>
      </c>
      <c r="G29" s="4" t="s">
        <v>174</v>
      </c>
      <c r="H29" s="4" t="s">
        <v>175</v>
      </c>
      <c r="I29" s="4" t="s">
        <v>455</v>
      </c>
      <c r="J29" s="14">
        <f>SUMIFS('Parts list'!$C$4:$C$185,'Parts list'!$H$4:$H$185,$C29,'Parts list'!$M$4:$M$185,"Yes")</f>
        <v>1</v>
      </c>
      <c r="K29" s="14">
        <f>SUMIFS('Parts list'!$R$4:$R$185,'Parts list'!$H$4:$H$185,$C29,'Parts list'!$M$4:$M$185,"Yes")</f>
        <v>5</v>
      </c>
      <c r="L29" s="14">
        <f>SUMIFS('Parts list'!$V$4:$V$185,'Parts list'!$H$4:$H$185,$C29,'Parts list'!$M$4:$M$185,"Yes")</f>
        <v>6</v>
      </c>
      <c r="M29" s="14">
        <f t="shared" si="0"/>
        <v>1</v>
      </c>
      <c r="N29" s="4" t="s">
        <v>1554</v>
      </c>
      <c r="O29" s="18"/>
      <c r="P29" s="18"/>
      <c r="Q29" s="45" t="str">
        <f t="shared" si="1"/>
        <v>per piece</v>
      </c>
      <c r="R29" s="13">
        <f t="shared" si="2"/>
        <v>7.6799999999999993E-2</v>
      </c>
      <c r="S29" s="16">
        <f>SUMIFS('Parts list'!$W$4:$W$185,'Parts list'!$H$4:$H$185,$C29,'Parts list'!$M$4:$M$185,"Yes")</f>
        <v>0.46079999999999999</v>
      </c>
      <c r="T29" s="45"/>
      <c r="U29" s="4" t="s">
        <v>1555</v>
      </c>
      <c r="V29" s="4"/>
    </row>
    <row r="30" spans="1:22" ht="27.75" customHeight="1" x14ac:dyDescent="0.2">
      <c r="A30" s="8">
        <v>27</v>
      </c>
      <c r="B30" s="4" t="s">
        <v>1570</v>
      </c>
      <c r="C30" s="4" t="s">
        <v>470</v>
      </c>
      <c r="D30" s="5" t="s">
        <v>467</v>
      </c>
      <c r="E30" s="5" t="s">
        <v>468</v>
      </c>
      <c r="F30" s="5" t="s">
        <v>471</v>
      </c>
      <c r="G30" s="4" t="s">
        <v>174</v>
      </c>
      <c r="H30" s="4" t="s">
        <v>175</v>
      </c>
      <c r="I30" s="4" t="s">
        <v>465</v>
      </c>
      <c r="J30" s="14">
        <f>SUMIFS('Parts list'!$C$4:$C$185,'Parts list'!$H$4:$H$185,$C30,'Parts list'!$M$4:$M$185,"Yes")</f>
        <v>1</v>
      </c>
      <c r="K30" s="14">
        <f>SUMIFS('Parts list'!$R$4:$R$185,'Parts list'!$H$4:$H$185,$C30,'Parts list'!$M$4:$M$185,"Yes")</f>
        <v>5</v>
      </c>
      <c r="L30" s="14">
        <f>SUMIFS('Parts list'!$V$4:$V$185,'Parts list'!$H$4:$H$185,$C30,'Parts list'!$M$4:$M$185,"Yes")</f>
        <v>10</v>
      </c>
      <c r="M30" s="14">
        <f t="shared" si="0"/>
        <v>5</v>
      </c>
      <c r="N30" s="4" t="s">
        <v>1587</v>
      </c>
      <c r="O30" s="19">
        <v>10</v>
      </c>
      <c r="P30" s="18"/>
      <c r="Q30" s="45" t="str">
        <f t="shared" si="1"/>
        <v>OK</v>
      </c>
      <c r="R30" s="13">
        <f t="shared" si="2"/>
        <v>0.20119999999999999</v>
      </c>
      <c r="S30" s="16">
        <f>SUMIFS('Parts list'!$W$4:$W$185,'Parts list'!$H$4:$H$185,$C30,'Parts list'!$M$4:$M$185,"Yes")</f>
        <v>2.012</v>
      </c>
      <c r="T30" s="45" t="s">
        <v>1584</v>
      </c>
      <c r="U30" s="4" t="s">
        <v>1588</v>
      </c>
      <c r="V30" s="4"/>
    </row>
    <row r="31" spans="1:22" ht="40.5" customHeight="1" x14ac:dyDescent="0.2">
      <c r="A31" s="8">
        <v>28</v>
      </c>
      <c r="B31" s="4" t="s">
        <v>1589</v>
      </c>
      <c r="C31" s="4" t="s">
        <v>481</v>
      </c>
      <c r="D31" s="5" t="s">
        <v>478</v>
      </c>
      <c r="E31" s="5" t="s">
        <v>479</v>
      </c>
      <c r="F31" s="5" t="s">
        <v>482</v>
      </c>
      <c r="G31" s="4" t="s">
        <v>174</v>
      </c>
      <c r="H31" s="4" t="s">
        <v>220</v>
      </c>
      <c r="I31" s="4" t="s">
        <v>476</v>
      </c>
      <c r="J31" s="14">
        <f>SUMIFS('Parts list'!$C$4:$C$185,'Parts list'!$H$4:$H$185,$C31,'Parts list'!$M$4:$M$185,"Yes")</f>
        <v>1</v>
      </c>
      <c r="K31" s="14">
        <f>SUMIFS('Parts list'!$R$4:$R$185,'Parts list'!$H$4:$H$185,$C31,'Parts list'!$M$4:$M$185,"Yes")</f>
        <v>5</v>
      </c>
      <c r="L31" s="14">
        <f>SUMIFS('Parts list'!$V$4:$V$185,'Parts list'!$H$4:$H$185,$C31,'Parts list'!$M$4:$M$185,"Yes")</f>
        <v>6</v>
      </c>
      <c r="M31" s="14">
        <f t="shared" si="0"/>
        <v>1</v>
      </c>
      <c r="N31" s="4" t="s">
        <v>1560</v>
      </c>
      <c r="O31" s="18"/>
      <c r="P31" s="18"/>
      <c r="Q31" s="45" t="str">
        <f t="shared" si="1"/>
        <v>per piece</v>
      </c>
      <c r="R31" s="13">
        <f t="shared" si="2"/>
        <v>1.39</v>
      </c>
      <c r="S31" s="16">
        <f>SUMIFS('Parts list'!$W$4:$W$185,'Parts list'!$H$4:$H$185,$C31,'Parts list'!$M$4:$M$185,"Yes")</f>
        <v>8.34</v>
      </c>
      <c r="T31" s="45" t="s">
        <v>177</v>
      </c>
      <c r="U31" s="4" t="s">
        <v>1590</v>
      </c>
      <c r="V31" s="4"/>
    </row>
    <row r="32" spans="1:22" ht="27.75" customHeight="1" x14ac:dyDescent="0.2">
      <c r="A32" s="8">
        <v>29</v>
      </c>
      <c r="B32" s="4" t="s">
        <v>1589</v>
      </c>
      <c r="C32" s="4" t="s">
        <v>492</v>
      </c>
      <c r="D32" s="5" t="s">
        <v>489</v>
      </c>
      <c r="E32" s="5" t="s">
        <v>490</v>
      </c>
      <c r="F32" s="5" t="s">
        <v>162</v>
      </c>
      <c r="G32" s="4" t="s">
        <v>174</v>
      </c>
      <c r="H32" s="4" t="s">
        <v>220</v>
      </c>
      <c r="I32" s="4" t="s">
        <v>487</v>
      </c>
      <c r="J32" s="14">
        <f>SUMIFS('Parts list'!$C$4:$C$185,'Parts list'!$H$4:$H$185,$C32,'Parts list'!$M$4:$M$185,"Yes")</f>
        <v>1</v>
      </c>
      <c r="K32" s="14">
        <f>SUMIFS('Parts list'!$R$4:$R$185,'Parts list'!$H$4:$H$185,$C32,'Parts list'!$M$4:$M$185,"Yes")</f>
        <v>5</v>
      </c>
      <c r="L32" s="14">
        <f>SUMIFS('Parts list'!$V$4:$V$185,'Parts list'!$H$4:$H$185,$C32,'Parts list'!$M$4:$M$185,"Yes")</f>
        <v>6</v>
      </c>
      <c r="M32" s="14">
        <f t="shared" si="0"/>
        <v>1</v>
      </c>
      <c r="N32" s="4" t="s">
        <v>1560</v>
      </c>
      <c r="O32" s="18"/>
      <c r="P32" s="18"/>
      <c r="Q32" s="45" t="str">
        <f t="shared" si="1"/>
        <v>per piece</v>
      </c>
      <c r="R32" s="13">
        <f t="shared" si="2"/>
        <v>2</v>
      </c>
      <c r="S32" s="16">
        <f>SUMIFS('Parts list'!$W$4:$W$185,'Parts list'!$H$4:$H$185,$C32,'Parts list'!$M$4:$M$185,"Yes")</f>
        <v>12</v>
      </c>
      <c r="T32" s="45" t="s">
        <v>177</v>
      </c>
      <c r="U32" s="4" t="s">
        <v>1591</v>
      </c>
      <c r="V32" s="4"/>
    </row>
    <row r="33" spans="1:22" ht="27.75" customHeight="1" x14ac:dyDescent="0.2">
      <c r="A33" s="8">
        <v>30</v>
      </c>
      <c r="B33" s="4" t="s">
        <v>1589</v>
      </c>
      <c r="C33" s="4" t="s">
        <v>500</v>
      </c>
      <c r="D33" s="5" t="s">
        <v>499</v>
      </c>
      <c r="E33" s="5" t="s">
        <v>490</v>
      </c>
      <c r="F33" s="5" t="s">
        <v>162</v>
      </c>
      <c r="G33" s="4" t="s">
        <v>174</v>
      </c>
      <c r="H33" s="4" t="s">
        <v>220</v>
      </c>
      <c r="I33" s="4" t="s">
        <v>497</v>
      </c>
      <c r="J33" s="14">
        <f>SUMIFS('Parts list'!$C$4:$C$185,'Parts list'!$H$4:$H$185,$C33,'Parts list'!$M$4:$M$185,"Yes")</f>
        <v>1</v>
      </c>
      <c r="K33" s="14">
        <f>SUMIFS('Parts list'!$R$4:$R$185,'Parts list'!$H$4:$H$185,$C33,'Parts list'!$M$4:$M$185,"Yes")</f>
        <v>5</v>
      </c>
      <c r="L33" s="14">
        <f>SUMIFS('Parts list'!$V$4:$V$185,'Parts list'!$H$4:$H$185,$C33,'Parts list'!$M$4:$M$185,"Yes")</f>
        <v>6</v>
      </c>
      <c r="M33" s="14">
        <f t="shared" si="0"/>
        <v>1</v>
      </c>
      <c r="N33" s="4" t="s">
        <v>1560</v>
      </c>
      <c r="O33" s="18"/>
      <c r="P33" s="18"/>
      <c r="Q33" s="45" t="str">
        <f t="shared" si="1"/>
        <v>per piece</v>
      </c>
      <c r="R33" s="13">
        <f t="shared" si="2"/>
        <v>2</v>
      </c>
      <c r="S33" s="16">
        <f>SUMIFS('Parts list'!$W$4:$W$185,'Parts list'!$H$4:$H$185,$C33,'Parts list'!$M$4:$M$185,"Yes")</f>
        <v>12</v>
      </c>
      <c r="T33" s="45" t="s">
        <v>177</v>
      </c>
      <c r="U33" s="4" t="s">
        <v>1592</v>
      </c>
      <c r="V33" s="4"/>
    </row>
    <row r="34" spans="1:22" ht="15" customHeight="1" x14ac:dyDescent="0.2">
      <c r="A34" s="8">
        <v>31</v>
      </c>
      <c r="B34" s="4" t="s">
        <v>1593</v>
      </c>
      <c r="C34" s="4" t="s">
        <v>509</v>
      </c>
      <c r="D34" s="5" t="s">
        <v>506</v>
      </c>
      <c r="E34" s="5" t="s">
        <v>507</v>
      </c>
      <c r="F34" s="5" t="s">
        <v>510</v>
      </c>
      <c r="G34" s="4" t="s">
        <v>158</v>
      </c>
      <c r="H34" s="4" t="s">
        <v>175</v>
      </c>
      <c r="I34" s="4" t="s">
        <v>504</v>
      </c>
      <c r="J34" s="14">
        <f>SUMIFS('Parts list'!$C$4:$C$185,'Parts list'!$H$4:$H$185,$C34,'Parts list'!$M$4:$M$185,"Yes")</f>
        <v>1</v>
      </c>
      <c r="K34" s="14">
        <f>SUMIFS('Parts list'!$R$4:$R$185,'Parts list'!$H$4:$H$185,$C34,'Parts list'!$M$4:$M$185,"Yes")</f>
        <v>5</v>
      </c>
      <c r="L34" s="14">
        <f>SUMIFS('Parts list'!$V$4:$V$185,'Parts list'!$H$4:$H$185,$C34,'Parts list'!$M$4:$M$185,"Yes")</f>
        <v>6</v>
      </c>
      <c r="M34" s="14">
        <f t="shared" si="0"/>
        <v>1</v>
      </c>
      <c r="N34" s="4" t="s">
        <v>1554</v>
      </c>
      <c r="O34" s="18"/>
      <c r="P34" s="18"/>
      <c r="Q34" s="45" t="str">
        <f t="shared" si="1"/>
        <v>per piece</v>
      </c>
      <c r="R34" s="13">
        <f t="shared" si="2"/>
        <v>0.2452</v>
      </c>
      <c r="S34" s="16">
        <f>SUMIFS('Parts list'!$W$4:$W$185,'Parts list'!$H$4:$H$185,$C34,'Parts list'!$M$4:$M$185,"Yes")</f>
        <v>1.4712000000000001</v>
      </c>
      <c r="T34" s="45"/>
      <c r="U34" s="4" t="s">
        <v>1555</v>
      </c>
      <c r="V34" s="4"/>
    </row>
    <row r="35" spans="1:22" ht="53.25" customHeight="1" x14ac:dyDescent="0.2">
      <c r="A35" s="8">
        <v>32</v>
      </c>
      <c r="B35" s="4" t="s">
        <v>1553</v>
      </c>
      <c r="C35" s="4" t="s">
        <v>518</v>
      </c>
      <c r="D35" s="5" t="s">
        <v>169</v>
      </c>
      <c r="E35" s="5" t="s">
        <v>347</v>
      </c>
      <c r="F35" s="5" t="s">
        <v>519</v>
      </c>
      <c r="G35" s="4" t="s">
        <v>158</v>
      </c>
      <c r="H35" s="4" t="s">
        <v>175</v>
      </c>
      <c r="I35" s="4" t="s">
        <v>1594</v>
      </c>
      <c r="J35" s="14">
        <f>SUMIFS('Parts list'!$C$4:$C$185,'Parts list'!$H$4:$H$185,$C35,'Parts list'!$M$4:$M$185,"Yes")</f>
        <v>8</v>
      </c>
      <c r="K35" s="14">
        <f>SUMIFS('Parts list'!$R$4:$R$185,'Parts list'!$H$4:$H$185,$C35,'Parts list'!$M$4:$M$185,"Yes")</f>
        <v>40</v>
      </c>
      <c r="L35" s="14">
        <f>SUMIFS('Parts list'!$V$4:$V$185,'Parts list'!$H$4:$H$185,$C35,'Parts list'!$M$4:$M$185,"Yes")</f>
        <v>48</v>
      </c>
      <c r="M35" s="14">
        <f t="shared" si="0"/>
        <v>8</v>
      </c>
      <c r="N35" s="4" t="s">
        <v>1554</v>
      </c>
      <c r="O35" s="18"/>
      <c r="P35" s="18"/>
      <c r="Q35" s="45" t="str">
        <f t="shared" si="1"/>
        <v>per piece</v>
      </c>
      <c r="R35" s="13">
        <f t="shared" si="2"/>
        <v>1.5993749999999998E-2</v>
      </c>
      <c r="S35" s="16">
        <f>SUMIFS('Parts list'!$W$4:$W$185,'Parts list'!$H$4:$H$185,$C35,'Parts list'!$M$4:$M$185,"Yes")</f>
        <v>0.76769999999999994</v>
      </c>
      <c r="T35" s="45"/>
      <c r="U35" s="4" t="s">
        <v>1555</v>
      </c>
      <c r="V35" s="4" t="s">
        <v>1595</v>
      </c>
    </row>
    <row r="36" spans="1:22" ht="15" customHeight="1" x14ac:dyDescent="0.2">
      <c r="A36" s="8">
        <v>33</v>
      </c>
      <c r="B36" s="4" t="s">
        <v>1562</v>
      </c>
      <c r="C36" s="4" t="s">
        <v>557</v>
      </c>
      <c r="D36" s="5" t="s">
        <v>555</v>
      </c>
      <c r="E36" s="5" t="s">
        <v>170</v>
      </c>
      <c r="F36" s="5" t="s">
        <v>558</v>
      </c>
      <c r="G36" s="4" t="s">
        <v>158</v>
      </c>
      <c r="H36" s="4" t="s">
        <v>175</v>
      </c>
      <c r="I36" s="4" t="s">
        <v>553</v>
      </c>
      <c r="J36" s="14">
        <f>SUMIFS('Parts list'!$C$4:$C$185,'Parts list'!$H$4:$H$185,$C36,'Parts list'!$M$4:$M$185,"Yes")</f>
        <v>2</v>
      </c>
      <c r="K36" s="14">
        <f>SUMIFS('Parts list'!$R$4:$R$185,'Parts list'!$H$4:$H$185,$C36,'Parts list'!$M$4:$M$185,"Yes")</f>
        <v>10</v>
      </c>
      <c r="L36" s="14">
        <f>SUMIFS('Parts list'!$V$4:$V$185,'Parts list'!$H$4:$H$185,$C36,'Parts list'!$M$4:$M$185,"Yes")</f>
        <v>12</v>
      </c>
      <c r="M36" s="14">
        <f t="shared" ref="M36:M67" si="3">$L36-$K36</f>
        <v>2</v>
      </c>
      <c r="N36" s="4" t="s">
        <v>1554</v>
      </c>
      <c r="O36" s="18"/>
      <c r="P36" s="18"/>
      <c r="Q36" s="45" t="str">
        <f t="shared" ref="Q36:Q67" si="4">IF(N($O36)=0,"per piece",IF(AND($L36&gt;=$O36,MOD($L36,MAX(1,N($P36)))=0),"OK","CHECK"))</f>
        <v>per piece</v>
      </c>
      <c r="R36" s="13">
        <f t="shared" ref="R36:R67" si="5">IF($L36=0,0,$S36/$L36)</f>
        <v>3.0000000000000005E-3</v>
      </c>
      <c r="S36" s="16">
        <f>SUMIFS('Parts list'!$W$4:$W$185,'Parts list'!$H$4:$H$185,$C36,'Parts list'!$M$4:$M$185,"Yes")</f>
        <v>3.6000000000000004E-2</v>
      </c>
      <c r="T36" s="45"/>
      <c r="U36" s="4" t="s">
        <v>1555</v>
      </c>
      <c r="V36" s="4"/>
    </row>
    <row r="37" spans="1:22" ht="15" customHeight="1" x14ac:dyDescent="0.2">
      <c r="A37" s="8">
        <v>34</v>
      </c>
      <c r="B37" s="4" t="s">
        <v>1562</v>
      </c>
      <c r="C37" s="4" t="s">
        <v>573</v>
      </c>
      <c r="D37" s="5" t="s">
        <v>571</v>
      </c>
      <c r="E37" s="5" t="s">
        <v>347</v>
      </c>
      <c r="F37" s="5" t="s">
        <v>574</v>
      </c>
      <c r="G37" s="4" t="s">
        <v>308</v>
      </c>
      <c r="H37" s="4" t="s">
        <v>175</v>
      </c>
      <c r="I37" s="4" t="s">
        <v>569</v>
      </c>
      <c r="J37" s="14">
        <f>SUMIFS('Parts list'!$C$4:$C$185,'Parts list'!$H$4:$H$185,$C37,'Parts list'!$M$4:$M$185,"Yes")</f>
        <v>1</v>
      </c>
      <c r="K37" s="14">
        <f>SUMIFS('Parts list'!$R$4:$R$185,'Parts list'!$H$4:$H$185,$C37,'Parts list'!$M$4:$M$185,"Yes")</f>
        <v>5</v>
      </c>
      <c r="L37" s="14">
        <f>SUMIFS('Parts list'!$V$4:$V$185,'Parts list'!$H$4:$H$185,$C37,'Parts list'!$M$4:$M$185,"Yes")</f>
        <v>7</v>
      </c>
      <c r="M37" s="14">
        <f t="shared" si="3"/>
        <v>2</v>
      </c>
      <c r="N37" s="4" t="s">
        <v>1554</v>
      </c>
      <c r="O37" s="18"/>
      <c r="P37" s="18"/>
      <c r="Q37" s="45" t="str">
        <f t="shared" si="4"/>
        <v>per piece</v>
      </c>
      <c r="R37" s="13">
        <f t="shared" si="5"/>
        <v>2.9599999999999998E-2</v>
      </c>
      <c r="S37" s="16">
        <f>SUMIFS('Parts list'!$W$4:$W$185,'Parts list'!$H$4:$H$185,$C37,'Parts list'!$M$4:$M$185,"Yes")</f>
        <v>0.2072</v>
      </c>
      <c r="T37" s="45"/>
      <c r="U37" s="4" t="s">
        <v>1555</v>
      </c>
      <c r="V37" s="4"/>
    </row>
    <row r="38" spans="1:22" ht="15" customHeight="1" x14ac:dyDescent="0.2">
      <c r="A38" s="8">
        <v>35</v>
      </c>
      <c r="B38" s="4" t="s">
        <v>1562</v>
      </c>
      <c r="C38" s="4" t="s">
        <v>583</v>
      </c>
      <c r="D38" s="5" t="s">
        <v>582</v>
      </c>
      <c r="E38" s="5" t="s">
        <v>347</v>
      </c>
      <c r="F38" s="5" t="s">
        <v>584</v>
      </c>
      <c r="G38" s="4" t="s">
        <v>308</v>
      </c>
      <c r="H38" s="4" t="s">
        <v>175</v>
      </c>
      <c r="I38" s="4" t="s">
        <v>580</v>
      </c>
      <c r="J38" s="14">
        <f>SUMIFS('Parts list'!$C$4:$C$185,'Parts list'!$H$4:$H$185,$C38,'Parts list'!$M$4:$M$185,"Yes")</f>
        <v>1</v>
      </c>
      <c r="K38" s="14">
        <f>SUMIFS('Parts list'!$R$4:$R$185,'Parts list'!$H$4:$H$185,$C38,'Parts list'!$M$4:$M$185,"Yes")</f>
        <v>5</v>
      </c>
      <c r="L38" s="14">
        <f>SUMIFS('Parts list'!$V$4:$V$185,'Parts list'!$H$4:$H$185,$C38,'Parts list'!$M$4:$M$185,"Yes")</f>
        <v>7</v>
      </c>
      <c r="M38" s="14">
        <f t="shared" si="3"/>
        <v>2</v>
      </c>
      <c r="N38" s="4" t="s">
        <v>1554</v>
      </c>
      <c r="O38" s="18"/>
      <c r="P38" s="18"/>
      <c r="Q38" s="45" t="str">
        <f t="shared" si="4"/>
        <v>per piece</v>
      </c>
      <c r="R38" s="13">
        <f t="shared" si="5"/>
        <v>4.99E-2</v>
      </c>
      <c r="S38" s="16">
        <f>SUMIFS('Parts list'!$W$4:$W$185,'Parts list'!$H$4:$H$185,$C38,'Parts list'!$M$4:$M$185,"Yes")</f>
        <v>0.3493</v>
      </c>
      <c r="T38" s="45"/>
      <c r="U38" s="4" t="s">
        <v>1555</v>
      </c>
      <c r="V38" s="4"/>
    </row>
    <row r="39" spans="1:22" ht="15" customHeight="1" x14ac:dyDescent="0.2">
      <c r="A39" s="8">
        <v>36</v>
      </c>
      <c r="B39" s="4" t="s">
        <v>1570</v>
      </c>
      <c r="C39" s="4" t="s">
        <v>593</v>
      </c>
      <c r="D39" s="5" t="s">
        <v>590</v>
      </c>
      <c r="E39" s="5" t="s">
        <v>591</v>
      </c>
      <c r="F39" s="5" t="s">
        <v>594</v>
      </c>
      <c r="G39" s="4" t="s">
        <v>174</v>
      </c>
      <c r="H39" s="4" t="s">
        <v>175</v>
      </c>
      <c r="I39" s="4" t="s">
        <v>588</v>
      </c>
      <c r="J39" s="14">
        <f>SUMIFS('Parts list'!$C$4:$C$185,'Parts list'!$H$4:$H$185,$C39,'Parts list'!$M$4:$M$185,"Yes")</f>
        <v>1</v>
      </c>
      <c r="K39" s="14">
        <f>SUMIFS('Parts list'!$R$4:$R$185,'Parts list'!$H$4:$H$185,$C39,'Parts list'!$M$4:$M$185,"Yes")</f>
        <v>5</v>
      </c>
      <c r="L39" s="14">
        <f>SUMIFS('Parts list'!$V$4:$V$185,'Parts list'!$H$4:$H$185,$C39,'Parts list'!$M$4:$M$185,"Yes")</f>
        <v>6</v>
      </c>
      <c r="M39" s="14">
        <f t="shared" si="3"/>
        <v>1</v>
      </c>
      <c r="N39" s="4" t="s">
        <v>1554</v>
      </c>
      <c r="O39" s="18"/>
      <c r="P39" s="18"/>
      <c r="Q39" s="45" t="str">
        <f t="shared" si="4"/>
        <v>per piece</v>
      </c>
      <c r="R39" s="13">
        <f t="shared" si="5"/>
        <v>3.4678</v>
      </c>
      <c r="S39" s="16">
        <f>SUMIFS('Parts list'!$W$4:$W$185,'Parts list'!$H$4:$H$185,$C39,'Parts list'!$M$4:$M$185,"Yes")</f>
        <v>20.806799999999999</v>
      </c>
      <c r="T39" s="45" t="s">
        <v>1584</v>
      </c>
      <c r="U39" s="4" t="s">
        <v>1596</v>
      </c>
      <c r="V39" s="4"/>
    </row>
    <row r="40" spans="1:22" ht="15" customHeight="1" x14ac:dyDescent="0.2">
      <c r="A40" s="8">
        <v>37</v>
      </c>
      <c r="B40" s="4" t="s">
        <v>1570</v>
      </c>
      <c r="C40" s="4" t="s">
        <v>604</v>
      </c>
      <c r="D40" s="5" t="s">
        <v>601</v>
      </c>
      <c r="E40" s="5" t="s">
        <v>602</v>
      </c>
      <c r="F40" s="5" t="s">
        <v>605</v>
      </c>
      <c r="G40" s="4" t="s">
        <v>174</v>
      </c>
      <c r="H40" s="4" t="s">
        <v>175</v>
      </c>
      <c r="I40" s="4" t="s">
        <v>599</v>
      </c>
      <c r="J40" s="14">
        <f>SUMIFS('Parts list'!$C$4:$C$185,'Parts list'!$H$4:$H$185,$C40,'Parts list'!$M$4:$M$185,"Yes")</f>
        <v>1</v>
      </c>
      <c r="K40" s="14">
        <f>SUMIFS('Parts list'!$R$4:$R$185,'Parts list'!$H$4:$H$185,$C40,'Parts list'!$M$4:$M$185,"Yes")</f>
        <v>5</v>
      </c>
      <c r="L40" s="14">
        <f>SUMIFS('Parts list'!$V$4:$V$185,'Parts list'!$H$4:$H$185,$C40,'Parts list'!$M$4:$M$185,"Yes")</f>
        <v>6</v>
      </c>
      <c r="M40" s="14">
        <f t="shared" si="3"/>
        <v>1</v>
      </c>
      <c r="N40" s="4" t="s">
        <v>1554</v>
      </c>
      <c r="O40" s="18"/>
      <c r="P40" s="18"/>
      <c r="Q40" s="45" t="str">
        <f t="shared" si="4"/>
        <v>per piece</v>
      </c>
      <c r="R40" s="13">
        <f t="shared" si="5"/>
        <v>0.2104</v>
      </c>
      <c r="S40" s="16">
        <f>SUMIFS('Parts list'!$W$4:$W$185,'Parts list'!$H$4:$H$185,$C40,'Parts list'!$M$4:$M$185,"Yes")</f>
        <v>1.2624</v>
      </c>
      <c r="T40" s="45"/>
      <c r="U40" s="4" t="s">
        <v>1555</v>
      </c>
      <c r="V40" s="4"/>
    </row>
    <row r="41" spans="1:22" ht="15" customHeight="1" x14ac:dyDescent="0.2">
      <c r="A41" s="8">
        <v>38</v>
      </c>
      <c r="B41" s="4" t="s">
        <v>1570</v>
      </c>
      <c r="C41" s="4" t="s">
        <v>614</v>
      </c>
      <c r="D41" s="5" t="s">
        <v>611</v>
      </c>
      <c r="E41" s="5" t="s">
        <v>612</v>
      </c>
      <c r="F41" s="5" t="s">
        <v>615</v>
      </c>
      <c r="G41" s="4" t="s">
        <v>174</v>
      </c>
      <c r="H41" s="4" t="s">
        <v>175</v>
      </c>
      <c r="I41" s="4" t="s">
        <v>609</v>
      </c>
      <c r="J41" s="14">
        <f>SUMIFS('Parts list'!$C$4:$C$185,'Parts list'!$H$4:$H$185,$C41,'Parts list'!$M$4:$M$185,"Yes")</f>
        <v>1</v>
      </c>
      <c r="K41" s="14">
        <f>SUMIFS('Parts list'!$R$4:$R$185,'Parts list'!$H$4:$H$185,$C41,'Parts list'!$M$4:$M$185,"Yes")</f>
        <v>5</v>
      </c>
      <c r="L41" s="14">
        <f>SUMIFS('Parts list'!$V$4:$V$185,'Parts list'!$H$4:$H$185,$C41,'Parts list'!$M$4:$M$185,"Yes")</f>
        <v>6</v>
      </c>
      <c r="M41" s="14">
        <f t="shared" si="3"/>
        <v>1</v>
      </c>
      <c r="N41" s="4" t="s">
        <v>1554</v>
      </c>
      <c r="O41" s="18"/>
      <c r="P41" s="18"/>
      <c r="Q41" s="45" t="str">
        <f t="shared" si="4"/>
        <v>per piece</v>
      </c>
      <c r="R41" s="13">
        <f t="shared" si="5"/>
        <v>0.18000000000000002</v>
      </c>
      <c r="S41" s="16">
        <f>SUMIFS('Parts list'!$W$4:$W$185,'Parts list'!$H$4:$H$185,$C41,'Parts list'!$M$4:$M$185,"Yes")</f>
        <v>1.08</v>
      </c>
      <c r="T41" s="45"/>
      <c r="U41" s="4" t="s">
        <v>1555</v>
      </c>
      <c r="V41" s="4"/>
    </row>
    <row r="42" spans="1:22" ht="15" customHeight="1" x14ac:dyDescent="0.2">
      <c r="A42" s="8">
        <v>39</v>
      </c>
      <c r="B42" s="4" t="s">
        <v>1553</v>
      </c>
      <c r="C42" s="4" t="s">
        <v>625</v>
      </c>
      <c r="D42" s="5" t="s">
        <v>623</v>
      </c>
      <c r="E42" s="5" t="s">
        <v>347</v>
      </c>
      <c r="F42" s="5" t="s">
        <v>626</v>
      </c>
      <c r="G42" s="4" t="s">
        <v>158</v>
      </c>
      <c r="H42" s="4" t="s">
        <v>175</v>
      </c>
      <c r="I42" s="4" t="s">
        <v>621</v>
      </c>
      <c r="J42" s="14">
        <f>SUMIFS('Parts list'!$C$4:$C$185,'Parts list'!$H$4:$H$185,$C42,'Parts list'!$M$4:$M$185,"Yes")</f>
        <v>8</v>
      </c>
      <c r="K42" s="14">
        <f>SUMIFS('Parts list'!$R$4:$R$185,'Parts list'!$H$4:$H$185,$C42,'Parts list'!$M$4:$M$185,"Yes")</f>
        <v>40</v>
      </c>
      <c r="L42" s="14">
        <f>SUMIFS('Parts list'!$V$4:$V$185,'Parts list'!$H$4:$H$185,$C42,'Parts list'!$M$4:$M$185,"Yes")</f>
        <v>42</v>
      </c>
      <c r="M42" s="14">
        <f t="shared" si="3"/>
        <v>2</v>
      </c>
      <c r="N42" s="4" t="s">
        <v>1554</v>
      </c>
      <c r="O42" s="18"/>
      <c r="P42" s="18"/>
      <c r="Q42" s="45" t="str">
        <f t="shared" si="4"/>
        <v>per piece</v>
      </c>
      <c r="R42" s="13">
        <f t="shared" si="5"/>
        <v>7.6E-3</v>
      </c>
      <c r="S42" s="16">
        <f>SUMIFS('Parts list'!$W$4:$W$185,'Parts list'!$H$4:$H$185,$C42,'Parts list'!$M$4:$M$185,"Yes")</f>
        <v>0.31919999999999998</v>
      </c>
      <c r="T42" s="45"/>
      <c r="U42" s="4" t="s">
        <v>1555</v>
      </c>
      <c r="V42" s="4"/>
    </row>
    <row r="43" spans="1:22" ht="27.75" customHeight="1" x14ac:dyDescent="0.2">
      <c r="A43" s="8">
        <v>40</v>
      </c>
      <c r="B43" s="4" t="s">
        <v>1553</v>
      </c>
      <c r="C43" s="4" t="s">
        <v>637</v>
      </c>
      <c r="D43" s="5" t="s">
        <v>636</v>
      </c>
      <c r="E43" s="5" t="s">
        <v>170</v>
      </c>
      <c r="F43" s="5" t="s">
        <v>638</v>
      </c>
      <c r="G43" s="4" t="s">
        <v>158</v>
      </c>
      <c r="H43" s="4" t="s">
        <v>175</v>
      </c>
      <c r="I43" s="4" t="s">
        <v>1597</v>
      </c>
      <c r="J43" s="14">
        <f>SUMIFS('Parts list'!$C$4:$C$185,'Parts list'!$H$4:$H$185,$C43,'Parts list'!$M$4:$M$185,"Yes")</f>
        <v>9</v>
      </c>
      <c r="K43" s="14">
        <f>SUMIFS('Parts list'!$R$4:$R$185,'Parts list'!$H$4:$H$185,$C43,'Parts list'!$M$4:$M$185,"Yes")</f>
        <v>45</v>
      </c>
      <c r="L43" s="14">
        <f>SUMIFS('Parts list'!$V$4:$V$185,'Parts list'!$H$4:$H$185,$C43,'Parts list'!$M$4:$M$185,"Yes")</f>
        <v>53</v>
      </c>
      <c r="M43" s="14">
        <f t="shared" si="3"/>
        <v>8</v>
      </c>
      <c r="N43" s="4" t="s">
        <v>1554</v>
      </c>
      <c r="O43" s="18"/>
      <c r="P43" s="18"/>
      <c r="Q43" s="45" t="str">
        <f t="shared" si="4"/>
        <v>per piece</v>
      </c>
      <c r="R43" s="13">
        <f t="shared" si="5"/>
        <v>8.4999999999999992E-2</v>
      </c>
      <c r="S43" s="16">
        <f>SUMIFS('Parts list'!$W$4:$W$185,'Parts list'!$H$4:$H$185,$C43,'Parts list'!$M$4:$M$185,"Yes")</f>
        <v>4.5049999999999999</v>
      </c>
      <c r="T43" s="45"/>
      <c r="U43" s="4" t="s">
        <v>1555</v>
      </c>
      <c r="V43" s="4"/>
    </row>
    <row r="44" spans="1:22" ht="15" customHeight="1" x14ac:dyDescent="0.2">
      <c r="A44" s="8">
        <v>41</v>
      </c>
      <c r="B44" s="4" t="s">
        <v>1553</v>
      </c>
      <c r="C44" s="4" t="s">
        <v>644</v>
      </c>
      <c r="D44" s="5" t="s">
        <v>643</v>
      </c>
      <c r="E44" s="5" t="s">
        <v>347</v>
      </c>
      <c r="F44" s="5" t="s">
        <v>645</v>
      </c>
      <c r="G44" s="4" t="s">
        <v>174</v>
      </c>
      <c r="H44" s="4" t="s">
        <v>175</v>
      </c>
      <c r="I44" s="4" t="s">
        <v>641</v>
      </c>
      <c r="J44" s="14">
        <f>SUMIFS('Parts list'!$C$4:$C$185,'Parts list'!$H$4:$H$185,$C44,'Parts list'!$M$4:$M$185,"Yes")</f>
        <v>4</v>
      </c>
      <c r="K44" s="14">
        <f>SUMIFS('Parts list'!$R$4:$R$185,'Parts list'!$H$4:$H$185,$C44,'Parts list'!$M$4:$M$185,"Yes")</f>
        <v>20</v>
      </c>
      <c r="L44" s="14">
        <f>SUMIFS('Parts list'!$V$4:$V$185,'Parts list'!$H$4:$H$185,$C44,'Parts list'!$M$4:$M$185,"Yes")</f>
        <v>22</v>
      </c>
      <c r="M44" s="14">
        <f t="shared" si="3"/>
        <v>2</v>
      </c>
      <c r="N44" s="4" t="s">
        <v>1554</v>
      </c>
      <c r="O44" s="18"/>
      <c r="P44" s="18"/>
      <c r="Q44" s="45" t="str">
        <f t="shared" si="4"/>
        <v>per piece</v>
      </c>
      <c r="R44" s="13">
        <f t="shared" si="5"/>
        <v>1.11E-2</v>
      </c>
      <c r="S44" s="16">
        <f>SUMIFS('Parts list'!$W$4:$W$185,'Parts list'!$H$4:$H$185,$C44,'Parts list'!$M$4:$M$185,"Yes")</f>
        <v>0.2442</v>
      </c>
      <c r="T44" s="45"/>
      <c r="U44" s="4" t="s">
        <v>1555</v>
      </c>
      <c r="V44" s="4"/>
    </row>
    <row r="45" spans="1:22" ht="15" customHeight="1" x14ac:dyDescent="0.2">
      <c r="A45" s="8">
        <v>42</v>
      </c>
      <c r="B45" s="4" t="s">
        <v>1553</v>
      </c>
      <c r="C45" s="4" t="s">
        <v>658</v>
      </c>
      <c r="D45" s="5" t="s">
        <v>657</v>
      </c>
      <c r="E45" s="5" t="s">
        <v>347</v>
      </c>
      <c r="F45" s="5" t="s">
        <v>659</v>
      </c>
      <c r="G45" s="4" t="s">
        <v>174</v>
      </c>
      <c r="H45" s="4" t="s">
        <v>175</v>
      </c>
      <c r="I45" s="4" t="s">
        <v>655</v>
      </c>
      <c r="J45" s="14">
        <f>SUMIFS('Parts list'!$C$4:$C$185,'Parts list'!$H$4:$H$185,$C45,'Parts list'!$M$4:$M$185,"Yes")</f>
        <v>8</v>
      </c>
      <c r="K45" s="14">
        <f>SUMIFS('Parts list'!$R$4:$R$185,'Parts list'!$H$4:$H$185,$C45,'Parts list'!$M$4:$M$185,"Yes")</f>
        <v>40</v>
      </c>
      <c r="L45" s="14">
        <f>SUMIFS('Parts list'!$V$4:$V$185,'Parts list'!$H$4:$H$185,$C45,'Parts list'!$M$4:$M$185,"Yes")</f>
        <v>42</v>
      </c>
      <c r="M45" s="14">
        <f t="shared" si="3"/>
        <v>2</v>
      </c>
      <c r="N45" s="4" t="s">
        <v>1554</v>
      </c>
      <c r="O45" s="18"/>
      <c r="P45" s="18"/>
      <c r="Q45" s="45" t="str">
        <f t="shared" si="4"/>
        <v>per piece</v>
      </c>
      <c r="R45" s="13">
        <f t="shared" si="5"/>
        <v>1.6299999999999999E-2</v>
      </c>
      <c r="S45" s="16">
        <f>SUMIFS('Parts list'!$W$4:$W$185,'Parts list'!$H$4:$H$185,$C45,'Parts list'!$M$4:$M$185,"Yes")</f>
        <v>0.68459999999999999</v>
      </c>
      <c r="T45" s="45"/>
      <c r="U45" s="4" t="s">
        <v>1555</v>
      </c>
      <c r="V45" s="4"/>
    </row>
    <row r="46" spans="1:22" ht="15" customHeight="1" x14ac:dyDescent="0.2">
      <c r="A46" s="8">
        <v>43</v>
      </c>
      <c r="B46" s="4" t="s">
        <v>1553</v>
      </c>
      <c r="C46" s="4" t="s">
        <v>668</v>
      </c>
      <c r="D46" s="5" t="s">
        <v>665</v>
      </c>
      <c r="E46" s="5" t="s">
        <v>666</v>
      </c>
      <c r="F46" s="5" t="s">
        <v>669</v>
      </c>
      <c r="G46" s="4" t="s">
        <v>174</v>
      </c>
      <c r="H46" s="4" t="s">
        <v>175</v>
      </c>
      <c r="I46" s="4" t="s">
        <v>663</v>
      </c>
      <c r="J46" s="14">
        <f>SUMIFS('Parts list'!$C$4:$C$185,'Parts list'!$H$4:$H$185,$C46,'Parts list'!$M$4:$M$185,"Yes")</f>
        <v>2</v>
      </c>
      <c r="K46" s="14">
        <f>SUMIFS('Parts list'!$R$4:$R$185,'Parts list'!$H$4:$H$185,$C46,'Parts list'!$M$4:$M$185,"Yes")</f>
        <v>10</v>
      </c>
      <c r="L46" s="14">
        <f>SUMIFS('Parts list'!$V$4:$V$185,'Parts list'!$H$4:$H$185,$C46,'Parts list'!$M$4:$M$185,"Yes")</f>
        <v>12</v>
      </c>
      <c r="M46" s="14">
        <f t="shared" si="3"/>
        <v>2</v>
      </c>
      <c r="N46" s="4" t="s">
        <v>1554</v>
      </c>
      <c r="O46" s="18"/>
      <c r="P46" s="18"/>
      <c r="Q46" s="45" t="str">
        <f t="shared" si="4"/>
        <v>per piece</v>
      </c>
      <c r="R46" s="13">
        <f t="shared" si="5"/>
        <v>0.52569999999999995</v>
      </c>
      <c r="S46" s="16">
        <f>SUMIFS('Parts list'!$W$4:$W$185,'Parts list'!$H$4:$H$185,$C46,'Parts list'!$M$4:$M$185,"Yes")</f>
        <v>6.3083999999999989</v>
      </c>
      <c r="T46" s="45" t="s">
        <v>1584</v>
      </c>
      <c r="U46" s="4" t="s">
        <v>1598</v>
      </c>
      <c r="V46" s="4"/>
    </row>
    <row r="47" spans="1:22" ht="15" customHeight="1" x14ac:dyDescent="0.2">
      <c r="A47" s="8">
        <v>44</v>
      </c>
      <c r="B47" s="4" t="s">
        <v>1599</v>
      </c>
      <c r="C47" s="4" t="s">
        <v>678</v>
      </c>
      <c r="D47" s="5" t="s">
        <v>676</v>
      </c>
      <c r="E47" s="5" t="s">
        <v>378</v>
      </c>
      <c r="F47" s="5" t="s">
        <v>679</v>
      </c>
      <c r="G47" s="4" t="s">
        <v>174</v>
      </c>
      <c r="H47" s="4" t="s">
        <v>175</v>
      </c>
      <c r="I47" s="4" t="s">
        <v>674</v>
      </c>
      <c r="J47" s="14">
        <f>SUMIFS('Parts list'!$C$4:$C$185,'Parts list'!$H$4:$H$185,$C47,'Parts list'!$M$4:$M$185,"Yes")</f>
        <v>4</v>
      </c>
      <c r="K47" s="14">
        <f>SUMIFS('Parts list'!$R$4:$R$185,'Parts list'!$H$4:$H$185,$C47,'Parts list'!$M$4:$M$185,"Yes")</f>
        <v>20</v>
      </c>
      <c r="L47" s="14">
        <f>SUMIFS('Parts list'!$V$4:$V$185,'Parts list'!$H$4:$H$185,$C47,'Parts list'!$M$4:$M$185,"Yes")</f>
        <v>21</v>
      </c>
      <c r="M47" s="14">
        <f t="shared" si="3"/>
        <v>1</v>
      </c>
      <c r="N47" s="4" t="s">
        <v>1554</v>
      </c>
      <c r="O47" s="18"/>
      <c r="P47" s="18"/>
      <c r="Q47" s="45" t="str">
        <f t="shared" si="4"/>
        <v>per piece</v>
      </c>
      <c r="R47" s="13">
        <f t="shared" si="5"/>
        <v>2.4500000000000004E-2</v>
      </c>
      <c r="S47" s="16">
        <f>SUMIFS('Parts list'!$W$4:$W$185,'Parts list'!$H$4:$H$185,$C47,'Parts list'!$M$4:$M$185,"Yes")</f>
        <v>0.51450000000000007</v>
      </c>
      <c r="T47" s="45"/>
      <c r="U47" s="4" t="s">
        <v>1555</v>
      </c>
      <c r="V47" s="4"/>
    </row>
    <row r="48" spans="1:22" ht="15" customHeight="1" x14ac:dyDescent="0.2">
      <c r="A48" s="8">
        <v>45</v>
      </c>
      <c r="B48" s="4" t="s">
        <v>1599</v>
      </c>
      <c r="C48" s="4" t="s">
        <v>689</v>
      </c>
      <c r="D48" s="5" t="s">
        <v>686</v>
      </c>
      <c r="E48" s="5" t="s">
        <v>687</v>
      </c>
      <c r="F48" s="5" t="s">
        <v>690</v>
      </c>
      <c r="G48" s="4" t="s">
        <v>174</v>
      </c>
      <c r="H48" s="4" t="s">
        <v>175</v>
      </c>
      <c r="I48" s="4" t="s">
        <v>684</v>
      </c>
      <c r="J48" s="14">
        <f>SUMIFS('Parts list'!$C$4:$C$185,'Parts list'!$H$4:$H$185,$C48,'Parts list'!$M$4:$M$185,"Yes")</f>
        <v>2</v>
      </c>
      <c r="K48" s="14">
        <f>SUMIFS('Parts list'!$R$4:$R$185,'Parts list'!$H$4:$H$185,$C48,'Parts list'!$M$4:$M$185,"Yes")</f>
        <v>10</v>
      </c>
      <c r="L48" s="14">
        <f>SUMIFS('Parts list'!$V$4:$V$185,'Parts list'!$H$4:$H$185,$C48,'Parts list'!$M$4:$M$185,"Yes")</f>
        <v>11</v>
      </c>
      <c r="M48" s="14">
        <f t="shared" si="3"/>
        <v>1</v>
      </c>
      <c r="N48" s="4" t="s">
        <v>1554</v>
      </c>
      <c r="O48" s="18"/>
      <c r="P48" s="18"/>
      <c r="Q48" s="45" t="str">
        <f t="shared" si="4"/>
        <v>per piece</v>
      </c>
      <c r="R48" s="13">
        <f t="shared" si="5"/>
        <v>0.32090000000000002</v>
      </c>
      <c r="S48" s="16">
        <f>SUMIFS('Parts list'!$W$4:$W$185,'Parts list'!$H$4:$H$185,$C48,'Parts list'!$M$4:$M$185,"Yes")</f>
        <v>3.5299</v>
      </c>
      <c r="T48" s="45"/>
      <c r="U48" s="4" t="s">
        <v>1555</v>
      </c>
      <c r="V48" s="4"/>
    </row>
    <row r="49" spans="1:22" ht="15" customHeight="1" x14ac:dyDescent="0.2">
      <c r="A49" s="8">
        <v>46</v>
      </c>
      <c r="B49" s="4" t="s">
        <v>1599</v>
      </c>
      <c r="C49" s="4" t="s">
        <v>699</v>
      </c>
      <c r="D49" s="5" t="s">
        <v>697</v>
      </c>
      <c r="E49" s="5" t="s">
        <v>378</v>
      </c>
      <c r="F49" s="5" t="s">
        <v>700</v>
      </c>
      <c r="G49" s="4" t="s">
        <v>174</v>
      </c>
      <c r="H49" s="4" t="s">
        <v>175</v>
      </c>
      <c r="I49" s="4" t="s">
        <v>1600</v>
      </c>
      <c r="J49" s="14">
        <f>SUMIFS('Parts list'!$C$4:$C$185,'Parts list'!$H$4:$H$185,$C49,'Parts list'!$M$4:$M$185,"Yes")</f>
        <v>4</v>
      </c>
      <c r="K49" s="14">
        <f>SUMIFS('Parts list'!$R$4:$R$185,'Parts list'!$H$4:$H$185,$C49,'Parts list'!$M$4:$M$185,"Yes")</f>
        <v>20</v>
      </c>
      <c r="L49" s="14">
        <f>SUMIFS('Parts list'!$V$4:$V$185,'Parts list'!$H$4:$H$185,$C49,'Parts list'!$M$4:$M$185,"Yes")</f>
        <v>22</v>
      </c>
      <c r="M49" s="14">
        <f t="shared" si="3"/>
        <v>2</v>
      </c>
      <c r="N49" s="4" t="s">
        <v>1554</v>
      </c>
      <c r="O49" s="18"/>
      <c r="P49" s="18"/>
      <c r="Q49" s="45" t="str">
        <f t="shared" si="4"/>
        <v>per piece</v>
      </c>
      <c r="R49" s="13">
        <f t="shared" si="5"/>
        <v>0.02</v>
      </c>
      <c r="S49" s="16">
        <f>SUMIFS('Parts list'!$W$4:$W$185,'Parts list'!$H$4:$H$185,$C49,'Parts list'!$M$4:$M$185,"Yes")</f>
        <v>0.44</v>
      </c>
      <c r="T49" s="45"/>
      <c r="U49" s="4" t="s">
        <v>1555</v>
      </c>
      <c r="V49" s="4"/>
    </row>
    <row r="50" spans="1:22" ht="40.5" customHeight="1" x14ac:dyDescent="0.2">
      <c r="A50" s="8">
        <v>47</v>
      </c>
      <c r="B50" s="4" t="s">
        <v>1562</v>
      </c>
      <c r="C50" s="4" t="s">
        <v>709</v>
      </c>
      <c r="D50" s="5" t="s">
        <v>707</v>
      </c>
      <c r="E50" s="5" t="s">
        <v>347</v>
      </c>
      <c r="F50" s="5" t="s">
        <v>710</v>
      </c>
      <c r="G50" s="4" t="s">
        <v>174</v>
      </c>
      <c r="H50" s="4" t="s">
        <v>175</v>
      </c>
      <c r="I50" s="4" t="s">
        <v>705</v>
      </c>
      <c r="J50" s="14">
        <f>SUMIFS('Parts list'!$C$4:$C$185,'Parts list'!$H$4:$H$185,$C50,'Parts list'!$M$4:$M$185,"Yes")</f>
        <v>8</v>
      </c>
      <c r="K50" s="14">
        <f>SUMIFS('Parts list'!$R$4:$R$185,'Parts list'!$H$4:$H$185,$C50,'Parts list'!$M$4:$M$185,"Yes")</f>
        <v>40</v>
      </c>
      <c r="L50" s="14">
        <f>SUMIFS('Parts list'!$V$4:$V$185,'Parts list'!$H$4:$H$185,$C50,'Parts list'!$M$4:$M$185,"Yes")</f>
        <v>60</v>
      </c>
      <c r="M50" s="14">
        <f t="shared" si="3"/>
        <v>20</v>
      </c>
      <c r="N50" s="4" t="s">
        <v>1601</v>
      </c>
      <c r="O50" s="19">
        <v>60</v>
      </c>
      <c r="P50" s="18"/>
      <c r="Q50" s="45" t="str">
        <f t="shared" si="4"/>
        <v>OK</v>
      </c>
      <c r="R50" s="13">
        <f t="shared" si="5"/>
        <v>2.5899999999999999E-2</v>
      </c>
      <c r="S50" s="16">
        <f>SUMIFS('Parts list'!$W$4:$W$185,'Parts list'!$H$4:$H$185,$C50,'Parts list'!$M$4:$M$185,"Yes")</f>
        <v>1.554</v>
      </c>
      <c r="T50" s="45" t="s">
        <v>177</v>
      </c>
      <c r="U50" s="4" t="s">
        <v>1602</v>
      </c>
      <c r="V50" s="4"/>
    </row>
    <row r="51" spans="1:22" ht="27.75" customHeight="1" x14ac:dyDescent="0.2">
      <c r="A51" s="8">
        <v>48</v>
      </c>
      <c r="B51" s="4" t="s">
        <v>1562</v>
      </c>
      <c r="C51" s="4" t="s">
        <v>719</v>
      </c>
      <c r="D51" s="5" t="s">
        <v>717</v>
      </c>
      <c r="E51" s="5" t="s">
        <v>347</v>
      </c>
      <c r="F51" s="5" t="s">
        <v>162</v>
      </c>
      <c r="G51" s="4" t="s">
        <v>174</v>
      </c>
      <c r="H51" s="4" t="s">
        <v>220</v>
      </c>
      <c r="I51" s="4" t="s">
        <v>715</v>
      </c>
      <c r="J51" s="14">
        <f>SUMIFS('Parts list'!$C$4:$C$185,'Parts list'!$H$4:$H$185,$C51,'Parts list'!$M$4:$M$185,"Yes")</f>
        <v>8</v>
      </c>
      <c r="K51" s="14">
        <f>SUMIFS('Parts list'!$R$4:$R$185,'Parts list'!$H$4:$H$185,$C51,'Parts list'!$M$4:$M$185,"Yes")</f>
        <v>40</v>
      </c>
      <c r="L51" s="14">
        <f>SUMIFS('Parts list'!$V$4:$V$185,'Parts list'!$H$4:$H$185,$C51,'Parts list'!$M$4:$M$185,"Yes")</f>
        <v>42</v>
      </c>
      <c r="M51" s="14">
        <f t="shared" si="3"/>
        <v>2</v>
      </c>
      <c r="N51" s="4" t="s">
        <v>1560</v>
      </c>
      <c r="O51" s="18"/>
      <c r="P51" s="18"/>
      <c r="Q51" s="45" t="str">
        <f t="shared" si="4"/>
        <v>per piece</v>
      </c>
      <c r="R51" s="13">
        <f t="shared" si="5"/>
        <v>0.6</v>
      </c>
      <c r="S51" s="16">
        <f>SUMIFS('Parts list'!$W$4:$W$185,'Parts list'!$H$4:$H$185,$C51,'Parts list'!$M$4:$M$185,"Yes")</f>
        <v>25.2</v>
      </c>
      <c r="T51" s="45"/>
      <c r="U51" s="4" t="s">
        <v>1561</v>
      </c>
      <c r="V51" s="4"/>
    </row>
    <row r="52" spans="1:22" ht="27.75" customHeight="1" x14ac:dyDescent="0.2">
      <c r="A52" s="8">
        <v>49</v>
      </c>
      <c r="B52" s="4" t="s">
        <v>1562</v>
      </c>
      <c r="C52" s="4" t="s">
        <v>733</v>
      </c>
      <c r="D52" s="5" t="s">
        <v>731</v>
      </c>
      <c r="E52" s="5" t="s">
        <v>347</v>
      </c>
      <c r="F52" s="5" t="s">
        <v>734</v>
      </c>
      <c r="G52" s="4" t="s">
        <v>174</v>
      </c>
      <c r="H52" s="4" t="s">
        <v>175</v>
      </c>
      <c r="I52" s="4" t="s">
        <v>729</v>
      </c>
      <c r="J52" s="14">
        <f>SUMIFS('Parts list'!$C$4:$C$185,'Parts list'!$H$4:$H$185,$C52,'Parts list'!$M$4:$M$185,"Yes")</f>
        <v>4</v>
      </c>
      <c r="K52" s="14">
        <f>SUMIFS('Parts list'!$R$4:$R$185,'Parts list'!$H$4:$H$185,$C52,'Parts list'!$M$4:$M$185,"Yes")</f>
        <v>20</v>
      </c>
      <c r="L52" s="14">
        <f>SUMIFS('Parts list'!$V$4:$V$185,'Parts list'!$H$4:$H$185,$C52,'Parts list'!$M$4:$M$185,"Yes")</f>
        <v>40</v>
      </c>
      <c r="M52" s="14">
        <f t="shared" si="3"/>
        <v>20</v>
      </c>
      <c r="N52" s="4" t="s">
        <v>1603</v>
      </c>
      <c r="O52" s="19">
        <v>40</v>
      </c>
      <c r="P52" s="18"/>
      <c r="Q52" s="45" t="str">
        <f t="shared" si="4"/>
        <v>OK</v>
      </c>
      <c r="R52" s="13">
        <f t="shared" si="5"/>
        <v>2.5399999999999999E-2</v>
      </c>
      <c r="S52" s="16">
        <f>SUMIFS('Parts list'!$W$4:$W$185,'Parts list'!$H$4:$H$185,$C52,'Parts list'!$M$4:$M$185,"Yes")</f>
        <v>1.016</v>
      </c>
      <c r="T52" s="45" t="s">
        <v>1584</v>
      </c>
      <c r="U52" s="4" t="s">
        <v>1604</v>
      </c>
      <c r="V52" s="4"/>
    </row>
    <row r="53" spans="1:22" ht="15" customHeight="1" x14ac:dyDescent="0.2">
      <c r="A53" s="8">
        <v>50</v>
      </c>
      <c r="B53" s="4" t="s">
        <v>1562</v>
      </c>
      <c r="C53" s="4" t="s">
        <v>742</v>
      </c>
      <c r="D53" s="5" t="s">
        <v>741</v>
      </c>
      <c r="E53" s="5" t="s">
        <v>347</v>
      </c>
      <c r="F53" s="5" t="s">
        <v>743</v>
      </c>
      <c r="G53" s="4" t="s">
        <v>174</v>
      </c>
      <c r="H53" s="4" t="s">
        <v>175</v>
      </c>
      <c r="I53" s="4" t="s">
        <v>739</v>
      </c>
      <c r="J53" s="14">
        <f>SUMIFS('Parts list'!$C$4:$C$185,'Parts list'!$H$4:$H$185,$C53,'Parts list'!$M$4:$M$185,"Yes")</f>
        <v>1</v>
      </c>
      <c r="K53" s="14">
        <f>SUMIFS('Parts list'!$R$4:$R$185,'Parts list'!$H$4:$H$185,$C53,'Parts list'!$M$4:$M$185,"Yes")</f>
        <v>5</v>
      </c>
      <c r="L53" s="14">
        <f>SUMIFS('Parts list'!$V$4:$V$185,'Parts list'!$H$4:$H$185,$C53,'Parts list'!$M$4:$M$185,"Yes")</f>
        <v>7</v>
      </c>
      <c r="M53" s="14">
        <f t="shared" si="3"/>
        <v>2</v>
      </c>
      <c r="N53" s="4" t="s">
        <v>1554</v>
      </c>
      <c r="O53" s="18"/>
      <c r="P53" s="18"/>
      <c r="Q53" s="45" t="str">
        <f t="shared" si="4"/>
        <v>per piece</v>
      </c>
      <c r="R53" s="13">
        <f t="shared" si="5"/>
        <v>3.5000000000000003E-2</v>
      </c>
      <c r="S53" s="16">
        <f>SUMIFS('Parts list'!$W$4:$W$185,'Parts list'!$H$4:$H$185,$C53,'Parts list'!$M$4:$M$185,"Yes")</f>
        <v>0.24500000000000002</v>
      </c>
      <c r="T53" s="45"/>
      <c r="U53" s="4" t="s">
        <v>1555</v>
      </c>
      <c r="V53" s="4"/>
    </row>
    <row r="54" spans="1:22" ht="15" customHeight="1" x14ac:dyDescent="0.2">
      <c r="A54" s="8">
        <v>51</v>
      </c>
      <c r="B54" s="4" t="s">
        <v>1562</v>
      </c>
      <c r="C54" s="4" t="s">
        <v>751</v>
      </c>
      <c r="D54" s="5" t="s">
        <v>750</v>
      </c>
      <c r="E54" s="5" t="s">
        <v>347</v>
      </c>
      <c r="F54" s="5" t="s">
        <v>752</v>
      </c>
      <c r="G54" s="4" t="s">
        <v>174</v>
      </c>
      <c r="H54" s="4" t="s">
        <v>175</v>
      </c>
      <c r="I54" s="4" t="s">
        <v>748</v>
      </c>
      <c r="J54" s="14">
        <f>SUMIFS('Parts list'!$C$4:$C$185,'Parts list'!$H$4:$H$185,$C54,'Parts list'!$M$4:$M$185,"Yes")</f>
        <v>1</v>
      </c>
      <c r="K54" s="14">
        <f>SUMIFS('Parts list'!$R$4:$R$185,'Parts list'!$H$4:$H$185,$C54,'Parts list'!$M$4:$M$185,"Yes")</f>
        <v>5</v>
      </c>
      <c r="L54" s="14">
        <f>SUMIFS('Parts list'!$V$4:$V$185,'Parts list'!$H$4:$H$185,$C54,'Parts list'!$M$4:$M$185,"Yes")</f>
        <v>7</v>
      </c>
      <c r="M54" s="14">
        <f t="shared" si="3"/>
        <v>2</v>
      </c>
      <c r="N54" s="4" t="s">
        <v>1554</v>
      </c>
      <c r="O54" s="18"/>
      <c r="P54" s="18"/>
      <c r="Q54" s="45" t="str">
        <f t="shared" si="4"/>
        <v>per piece</v>
      </c>
      <c r="R54" s="13">
        <f t="shared" si="5"/>
        <v>3.3099999999999997E-2</v>
      </c>
      <c r="S54" s="16">
        <f>SUMIFS('Parts list'!$W$4:$W$185,'Parts list'!$H$4:$H$185,$C54,'Parts list'!$M$4:$M$185,"Yes")</f>
        <v>0.23169999999999999</v>
      </c>
      <c r="T54" s="45"/>
      <c r="U54" s="4" t="s">
        <v>1555</v>
      </c>
      <c r="V54" s="4"/>
    </row>
    <row r="55" spans="1:22" ht="27.75" customHeight="1" x14ac:dyDescent="0.2">
      <c r="A55" s="8">
        <v>52</v>
      </c>
      <c r="B55" s="4" t="s">
        <v>1562</v>
      </c>
      <c r="C55" s="4" t="s">
        <v>760</v>
      </c>
      <c r="D55" s="5" t="s">
        <v>759</v>
      </c>
      <c r="E55" s="5" t="s">
        <v>347</v>
      </c>
      <c r="F55" s="5" t="s">
        <v>761</v>
      </c>
      <c r="G55" s="4" t="s">
        <v>174</v>
      </c>
      <c r="H55" s="4" t="s">
        <v>175</v>
      </c>
      <c r="I55" s="4" t="s">
        <v>757</v>
      </c>
      <c r="J55" s="14">
        <f>SUMIFS('Parts list'!$C$4:$C$185,'Parts list'!$H$4:$H$185,$C55,'Parts list'!$M$4:$M$185,"Yes")</f>
        <v>8</v>
      </c>
      <c r="K55" s="14">
        <f>SUMIFS('Parts list'!$R$4:$R$185,'Parts list'!$H$4:$H$185,$C55,'Parts list'!$M$4:$M$185,"Yes")</f>
        <v>40</v>
      </c>
      <c r="L55" s="14">
        <f>SUMIFS('Parts list'!$V$4:$V$185,'Parts list'!$H$4:$H$185,$C55,'Parts list'!$M$4:$M$185,"Yes")</f>
        <v>60</v>
      </c>
      <c r="M55" s="14">
        <f t="shared" si="3"/>
        <v>20</v>
      </c>
      <c r="N55" s="4" t="s">
        <v>1601</v>
      </c>
      <c r="O55" s="19">
        <v>60</v>
      </c>
      <c r="P55" s="18"/>
      <c r="Q55" s="45" t="str">
        <f t="shared" si="4"/>
        <v>OK</v>
      </c>
      <c r="R55" s="13">
        <f t="shared" si="5"/>
        <v>2.5600000000000001E-2</v>
      </c>
      <c r="S55" s="16">
        <f>SUMIFS('Parts list'!$W$4:$W$185,'Parts list'!$H$4:$H$185,$C55,'Parts list'!$M$4:$M$185,"Yes")</f>
        <v>1.536</v>
      </c>
      <c r="T55" s="45" t="s">
        <v>1584</v>
      </c>
      <c r="U55" s="4" t="s">
        <v>1605</v>
      </c>
      <c r="V55" s="4"/>
    </row>
    <row r="56" spans="1:22" ht="27.75" customHeight="1" x14ac:dyDescent="0.2">
      <c r="A56" s="8">
        <v>53</v>
      </c>
      <c r="B56" s="4" t="s">
        <v>1570</v>
      </c>
      <c r="C56" s="4" t="s">
        <v>780</v>
      </c>
      <c r="D56" s="5" t="s">
        <v>777</v>
      </c>
      <c r="E56" s="5" t="s">
        <v>778</v>
      </c>
      <c r="F56" s="5" t="s">
        <v>781</v>
      </c>
      <c r="G56" s="4" t="s">
        <v>174</v>
      </c>
      <c r="H56" s="4" t="s">
        <v>175</v>
      </c>
      <c r="I56" s="4" t="s">
        <v>775</v>
      </c>
      <c r="J56" s="14">
        <f>SUMIFS('Parts list'!$C$4:$C$185,'Parts list'!$H$4:$H$185,$C56,'Parts list'!$M$4:$M$185,"Yes")</f>
        <v>2</v>
      </c>
      <c r="K56" s="14">
        <f>SUMIFS('Parts list'!$R$4:$R$185,'Parts list'!$H$4:$H$185,$C56,'Parts list'!$M$4:$M$185,"Yes")</f>
        <v>10</v>
      </c>
      <c r="L56" s="14">
        <f>SUMIFS('Parts list'!$V$4:$V$185,'Parts list'!$H$4:$H$185,$C56,'Parts list'!$M$4:$M$185,"Yes")</f>
        <v>11</v>
      </c>
      <c r="M56" s="14">
        <f t="shared" si="3"/>
        <v>1</v>
      </c>
      <c r="N56" s="4" t="s">
        <v>1554</v>
      </c>
      <c r="O56" s="18"/>
      <c r="P56" s="18"/>
      <c r="Q56" s="45" t="str">
        <f t="shared" si="4"/>
        <v>per piece</v>
      </c>
      <c r="R56" s="13">
        <f t="shared" si="5"/>
        <v>1.7870999999999997</v>
      </c>
      <c r="S56" s="16">
        <f>SUMIFS('Parts list'!$W$4:$W$185,'Parts list'!$H$4:$H$185,$C56,'Parts list'!$M$4:$M$185,"Yes")</f>
        <v>19.658099999999997</v>
      </c>
      <c r="T56" s="45"/>
      <c r="U56" s="4" t="s">
        <v>1555</v>
      </c>
      <c r="V56" s="4"/>
    </row>
    <row r="57" spans="1:22" ht="27.75" customHeight="1" x14ac:dyDescent="0.2">
      <c r="A57" s="8">
        <v>54</v>
      </c>
      <c r="B57" s="4" t="s">
        <v>1570</v>
      </c>
      <c r="C57" s="4" t="s">
        <v>789</v>
      </c>
      <c r="D57" s="5" t="s">
        <v>786</v>
      </c>
      <c r="E57" s="5" t="s">
        <v>787</v>
      </c>
      <c r="F57" s="5" t="s">
        <v>790</v>
      </c>
      <c r="G57" s="4" t="s">
        <v>174</v>
      </c>
      <c r="H57" s="4" t="s">
        <v>175</v>
      </c>
      <c r="I57" s="4" t="s">
        <v>784</v>
      </c>
      <c r="J57" s="14">
        <f>SUMIFS('Parts list'!$C$4:$C$185,'Parts list'!$H$4:$H$185,$C57,'Parts list'!$M$4:$M$185,"Yes")</f>
        <v>2</v>
      </c>
      <c r="K57" s="14">
        <f>SUMIFS('Parts list'!$R$4:$R$185,'Parts list'!$H$4:$H$185,$C57,'Parts list'!$M$4:$M$185,"Yes")</f>
        <v>10</v>
      </c>
      <c r="L57" s="14">
        <f>SUMIFS('Parts list'!$V$4:$V$185,'Parts list'!$H$4:$H$185,$C57,'Parts list'!$M$4:$M$185,"Yes")</f>
        <v>11</v>
      </c>
      <c r="M57" s="14">
        <f t="shared" si="3"/>
        <v>1</v>
      </c>
      <c r="N57" s="4" t="s">
        <v>1554</v>
      </c>
      <c r="O57" s="18"/>
      <c r="P57" s="18"/>
      <c r="Q57" s="45" t="str">
        <f t="shared" si="4"/>
        <v>per piece</v>
      </c>
      <c r="R57" s="13">
        <f t="shared" si="5"/>
        <v>2.6707999999999998</v>
      </c>
      <c r="S57" s="16">
        <f>SUMIFS('Parts list'!$W$4:$W$185,'Parts list'!$H$4:$H$185,$C57,'Parts list'!$M$4:$M$185,"Yes")</f>
        <v>29.378799999999998</v>
      </c>
      <c r="T57" s="45" t="s">
        <v>177</v>
      </c>
      <c r="U57" s="4" t="s">
        <v>1606</v>
      </c>
      <c r="V57" s="4"/>
    </row>
    <row r="58" spans="1:22" ht="15" customHeight="1" x14ac:dyDescent="0.2">
      <c r="A58" s="8">
        <v>55</v>
      </c>
      <c r="B58" s="4" t="s">
        <v>1575</v>
      </c>
      <c r="C58" s="4" t="s">
        <v>850</v>
      </c>
      <c r="D58" s="5" t="s">
        <v>848</v>
      </c>
      <c r="E58" s="5" t="s">
        <v>347</v>
      </c>
      <c r="F58" s="5" t="s">
        <v>851</v>
      </c>
      <c r="G58" s="4" t="s">
        <v>158</v>
      </c>
      <c r="H58" s="4" t="s">
        <v>175</v>
      </c>
      <c r="I58" s="4" t="s">
        <v>846</v>
      </c>
      <c r="J58" s="14">
        <f>SUMIFS('Parts list'!$C$4:$C$185,'Parts list'!$H$4:$H$185,$C58,'Parts list'!$M$4:$M$185,"Yes")</f>
        <v>1</v>
      </c>
      <c r="K58" s="14">
        <f>SUMIFS('Parts list'!$R$4:$R$185,'Parts list'!$H$4:$H$185,$C58,'Parts list'!$M$4:$M$185,"Yes")</f>
        <v>5</v>
      </c>
      <c r="L58" s="14">
        <f>SUMIFS('Parts list'!$V$4:$V$185,'Parts list'!$H$4:$H$185,$C58,'Parts list'!$M$4:$M$185,"Yes")</f>
        <v>7</v>
      </c>
      <c r="M58" s="14">
        <f t="shared" si="3"/>
        <v>2</v>
      </c>
      <c r="N58" s="4" t="s">
        <v>1554</v>
      </c>
      <c r="O58" s="18"/>
      <c r="P58" s="18"/>
      <c r="Q58" s="45" t="str">
        <f t="shared" si="4"/>
        <v>per piece</v>
      </c>
      <c r="R58" s="13">
        <f t="shared" si="5"/>
        <v>1.5699999999999999E-2</v>
      </c>
      <c r="S58" s="16">
        <f>SUMIFS('Parts list'!$W$4:$W$185,'Parts list'!$H$4:$H$185,$C58,'Parts list'!$M$4:$M$185,"Yes")</f>
        <v>0.1099</v>
      </c>
      <c r="T58" s="45"/>
      <c r="U58" s="4" t="s">
        <v>1555</v>
      </c>
      <c r="V58" s="4"/>
    </row>
    <row r="59" spans="1:22" ht="40.5" customHeight="1" x14ac:dyDescent="0.2">
      <c r="A59" s="8">
        <v>56</v>
      </c>
      <c r="B59" s="4" t="s">
        <v>1577</v>
      </c>
      <c r="C59" s="4" t="s">
        <v>864</v>
      </c>
      <c r="D59" s="5" t="s">
        <v>862</v>
      </c>
      <c r="E59" s="5" t="s">
        <v>378</v>
      </c>
      <c r="F59" s="5" t="s">
        <v>865</v>
      </c>
      <c r="G59" s="4" t="s">
        <v>158</v>
      </c>
      <c r="H59" s="4" t="s">
        <v>175</v>
      </c>
      <c r="I59" s="4" t="s">
        <v>1607</v>
      </c>
      <c r="J59" s="14">
        <f>SUMIFS('Parts list'!$C$4:$C$185,'Parts list'!$H$4:$H$185,$C59,'Parts list'!$M$4:$M$185,"Yes")</f>
        <v>3</v>
      </c>
      <c r="K59" s="14">
        <f>SUMIFS('Parts list'!$R$4:$R$185,'Parts list'!$H$4:$H$185,$C59,'Parts list'!$M$4:$M$185,"Yes")</f>
        <v>15</v>
      </c>
      <c r="L59" s="14">
        <f>SUMIFS('Parts list'!$V$4:$V$185,'Parts list'!$H$4:$H$185,$C59,'Parts list'!$M$4:$M$185,"Yes")</f>
        <v>17</v>
      </c>
      <c r="M59" s="14">
        <f t="shared" si="3"/>
        <v>2</v>
      </c>
      <c r="N59" s="4" t="s">
        <v>1554</v>
      </c>
      <c r="O59" s="18"/>
      <c r="P59" s="18"/>
      <c r="Q59" s="45" t="str">
        <f t="shared" si="4"/>
        <v>per piece</v>
      </c>
      <c r="R59" s="13">
        <f t="shared" si="5"/>
        <v>1.0400000000000001E-2</v>
      </c>
      <c r="S59" s="16">
        <f>SUMIFS('Parts list'!$W$4:$W$185,'Parts list'!$H$4:$H$185,$C59,'Parts list'!$M$4:$M$185,"Yes")</f>
        <v>0.17680000000000001</v>
      </c>
      <c r="T59" s="45" t="s">
        <v>177</v>
      </c>
      <c r="U59" s="4" t="s">
        <v>1608</v>
      </c>
      <c r="V59" s="4"/>
    </row>
    <row r="60" spans="1:22" ht="15" customHeight="1" x14ac:dyDescent="0.2">
      <c r="A60" s="8">
        <v>57</v>
      </c>
      <c r="B60" s="4" t="s">
        <v>1562</v>
      </c>
      <c r="C60" s="4" t="s">
        <v>873</v>
      </c>
      <c r="D60" s="5" t="s">
        <v>872</v>
      </c>
      <c r="E60" s="5" t="s">
        <v>347</v>
      </c>
      <c r="F60" s="5" t="s">
        <v>874</v>
      </c>
      <c r="G60" s="4" t="s">
        <v>308</v>
      </c>
      <c r="H60" s="4" t="s">
        <v>175</v>
      </c>
      <c r="I60" s="4" t="s">
        <v>870</v>
      </c>
      <c r="J60" s="14">
        <f>SUMIFS('Parts list'!$C$4:$C$185,'Parts list'!$H$4:$H$185,$C60,'Parts list'!$M$4:$M$185,"Yes")</f>
        <v>1</v>
      </c>
      <c r="K60" s="14">
        <f>SUMIFS('Parts list'!$R$4:$R$185,'Parts list'!$H$4:$H$185,$C60,'Parts list'!$M$4:$M$185,"Yes")</f>
        <v>5</v>
      </c>
      <c r="L60" s="14">
        <f>SUMIFS('Parts list'!$V$4:$V$185,'Parts list'!$H$4:$H$185,$C60,'Parts list'!$M$4:$M$185,"Yes")</f>
        <v>7</v>
      </c>
      <c r="M60" s="14">
        <f t="shared" si="3"/>
        <v>2</v>
      </c>
      <c r="N60" s="4" t="s">
        <v>1554</v>
      </c>
      <c r="O60" s="18"/>
      <c r="P60" s="18"/>
      <c r="Q60" s="45" t="str">
        <f t="shared" si="4"/>
        <v>per piece</v>
      </c>
      <c r="R60" s="13">
        <f t="shared" si="5"/>
        <v>2.5399999999999999E-2</v>
      </c>
      <c r="S60" s="16">
        <f>SUMIFS('Parts list'!$W$4:$W$185,'Parts list'!$H$4:$H$185,$C60,'Parts list'!$M$4:$M$185,"Yes")</f>
        <v>0.17779999999999999</v>
      </c>
      <c r="T60" s="45"/>
      <c r="U60" s="4" t="s">
        <v>1555</v>
      </c>
      <c r="V60" s="4"/>
    </row>
    <row r="61" spans="1:22" ht="15" customHeight="1" x14ac:dyDescent="0.2">
      <c r="A61" s="8">
        <v>58</v>
      </c>
      <c r="B61" s="4" t="s">
        <v>1562</v>
      </c>
      <c r="C61" s="4" t="s">
        <v>881</v>
      </c>
      <c r="D61" s="5" t="s">
        <v>244</v>
      </c>
      <c r="E61" s="5" t="s">
        <v>347</v>
      </c>
      <c r="F61" s="5" t="s">
        <v>882</v>
      </c>
      <c r="G61" s="4" t="s">
        <v>308</v>
      </c>
      <c r="H61" s="4" t="s">
        <v>175</v>
      </c>
      <c r="I61" s="4" t="s">
        <v>879</v>
      </c>
      <c r="J61" s="14">
        <f>SUMIFS('Parts list'!$C$4:$C$185,'Parts list'!$H$4:$H$185,$C61,'Parts list'!$M$4:$M$185,"Yes")</f>
        <v>2</v>
      </c>
      <c r="K61" s="14">
        <f>SUMIFS('Parts list'!$R$4:$R$185,'Parts list'!$H$4:$H$185,$C61,'Parts list'!$M$4:$M$185,"Yes")</f>
        <v>10</v>
      </c>
      <c r="L61" s="14">
        <f>SUMIFS('Parts list'!$V$4:$V$185,'Parts list'!$H$4:$H$185,$C61,'Parts list'!$M$4:$M$185,"Yes")</f>
        <v>12</v>
      </c>
      <c r="M61" s="14">
        <f t="shared" si="3"/>
        <v>2</v>
      </c>
      <c r="N61" s="4" t="s">
        <v>1554</v>
      </c>
      <c r="O61" s="18"/>
      <c r="P61" s="18"/>
      <c r="Q61" s="45" t="str">
        <f t="shared" si="4"/>
        <v>per piece</v>
      </c>
      <c r="R61" s="13">
        <f t="shared" si="5"/>
        <v>2.23E-2</v>
      </c>
      <c r="S61" s="16">
        <f>SUMIFS('Parts list'!$W$4:$W$185,'Parts list'!$H$4:$H$185,$C61,'Parts list'!$M$4:$M$185,"Yes")</f>
        <v>0.2676</v>
      </c>
      <c r="T61" s="45"/>
      <c r="U61" s="4" t="s">
        <v>1555</v>
      </c>
      <c r="V61" s="4"/>
    </row>
    <row r="62" spans="1:22" ht="15" customHeight="1" x14ac:dyDescent="0.2">
      <c r="A62" s="8">
        <v>59</v>
      </c>
      <c r="B62" s="4" t="s">
        <v>1562</v>
      </c>
      <c r="C62" s="4" t="s">
        <v>890</v>
      </c>
      <c r="D62" s="5" t="s">
        <v>889</v>
      </c>
      <c r="E62" s="5" t="s">
        <v>347</v>
      </c>
      <c r="F62" s="5" t="s">
        <v>891</v>
      </c>
      <c r="G62" s="4" t="s">
        <v>308</v>
      </c>
      <c r="H62" s="4" t="s">
        <v>175</v>
      </c>
      <c r="I62" s="4" t="s">
        <v>887</v>
      </c>
      <c r="J62" s="14">
        <f>SUMIFS('Parts list'!$C$4:$C$185,'Parts list'!$H$4:$H$185,$C62,'Parts list'!$M$4:$M$185,"Yes")</f>
        <v>1</v>
      </c>
      <c r="K62" s="14">
        <f>SUMIFS('Parts list'!$R$4:$R$185,'Parts list'!$H$4:$H$185,$C62,'Parts list'!$M$4:$M$185,"Yes")</f>
        <v>5</v>
      </c>
      <c r="L62" s="14">
        <f>SUMIFS('Parts list'!$V$4:$V$185,'Parts list'!$H$4:$H$185,$C62,'Parts list'!$M$4:$M$185,"Yes")</f>
        <v>7</v>
      </c>
      <c r="M62" s="14">
        <f t="shared" si="3"/>
        <v>2</v>
      </c>
      <c r="N62" s="4" t="s">
        <v>1554</v>
      </c>
      <c r="O62" s="18"/>
      <c r="P62" s="18"/>
      <c r="Q62" s="45" t="str">
        <f t="shared" si="4"/>
        <v>per piece</v>
      </c>
      <c r="R62" s="13">
        <f t="shared" si="5"/>
        <v>3.1600000000000003E-2</v>
      </c>
      <c r="S62" s="16">
        <f>SUMIFS('Parts list'!$W$4:$W$185,'Parts list'!$H$4:$H$185,$C62,'Parts list'!$M$4:$M$185,"Yes")</f>
        <v>0.22120000000000001</v>
      </c>
      <c r="T62" s="45"/>
      <c r="U62" s="4" t="s">
        <v>1555</v>
      </c>
      <c r="V62" s="4"/>
    </row>
    <row r="63" spans="1:22" ht="15" customHeight="1" x14ac:dyDescent="0.2">
      <c r="A63" s="8">
        <v>60</v>
      </c>
      <c r="B63" s="4" t="s">
        <v>1562</v>
      </c>
      <c r="C63" s="4" t="s">
        <v>916</v>
      </c>
      <c r="D63" s="5" t="s">
        <v>915</v>
      </c>
      <c r="E63" s="5" t="s">
        <v>347</v>
      </c>
      <c r="F63" s="5" t="s">
        <v>917</v>
      </c>
      <c r="G63" s="4" t="s">
        <v>174</v>
      </c>
      <c r="H63" s="4" t="s">
        <v>175</v>
      </c>
      <c r="I63" s="4" t="s">
        <v>913</v>
      </c>
      <c r="J63" s="14">
        <f>SUMIFS('Parts list'!$C$4:$C$185,'Parts list'!$H$4:$H$185,$C63,'Parts list'!$M$4:$M$185,"Yes")</f>
        <v>1</v>
      </c>
      <c r="K63" s="14">
        <f>SUMIFS('Parts list'!$R$4:$R$185,'Parts list'!$H$4:$H$185,$C63,'Parts list'!$M$4:$M$185,"Yes")</f>
        <v>5</v>
      </c>
      <c r="L63" s="14">
        <f>SUMIFS('Parts list'!$V$4:$V$185,'Parts list'!$H$4:$H$185,$C63,'Parts list'!$M$4:$M$185,"Yes")</f>
        <v>7</v>
      </c>
      <c r="M63" s="14">
        <f t="shared" si="3"/>
        <v>2</v>
      </c>
      <c r="N63" s="4" t="s">
        <v>1554</v>
      </c>
      <c r="O63" s="18"/>
      <c r="P63" s="18"/>
      <c r="Q63" s="45" t="str">
        <f t="shared" si="4"/>
        <v>per piece</v>
      </c>
      <c r="R63" s="13">
        <f t="shared" si="5"/>
        <v>3.5000000000000003E-2</v>
      </c>
      <c r="S63" s="16">
        <f>SUMIFS('Parts list'!$W$4:$W$185,'Parts list'!$H$4:$H$185,$C63,'Parts list'!$M$4:$M$185,"Yes")</f>
        <v>0.24500000000000002</v>
      </c>
      <c r="T63" s="45"/>
      <c r="U63" s="4" t="s">
        <v>1555</v>
      </c>
      <c r="V63" s="4"/>
    </row>
    <row r="64" spans="1:22" ht="15" customHeight="1" x14ac:dyDescent="0.2">
      <c r="A64" s="8">
        <v>61</v>
      </c>
      <c r="B64" s="4" t="s">
        <v>1562</v>
      </c>
      <c r="C64" s="4" t="s">
        <v>936</v>
      </c>
      <c r="D64" s="5" t="s">
        <v>935</v>
      </c>
      <c r="E64" s="5" t="s">
        <v>154</v>
      </c>
      <c r="F64" s="5" t="s">
        <v>937</v>
      </c>
      <c r="G64" s="4" t="s">
        <v>158</v>
      </c>
      <c r="H64" s="4" t="s">
        <v>175</v>
      </c>
      <c r="I64" s="4" t="s">
        <v>933</v>
      </c>
      <c r="J64" s="14">
        <f>SUMIFS('Parts list'!$C$4:$C$185,'Parts list'!$H$4:$H$185,$C64,'Parts list'!$M$4:$M$185,"Yes")</f>
        <v>2</v>
      </c>
      <c r="K64" s="14">
        <f>SUMIFS('Parts list'!$R$4:$R$185,'Parts list'!$H$4:$H$185,$C64,'Parts list'!$M$4:$M$185,"Yes")</f>
        <v>10</v>
      </c>
      <c r="L64" s="14">
        <f>SUMIFS('Parts list'!$V$4:$V$185,'Parts list'!$H$4:$H$185,$C64,'Parts list'!$M$4:$M$185,"Yes")</f>
        <v>12</v>
      </c>
      <c r="M64" s="14">
        <f t="shared" si="3"/>
        <v>2</v>
      </c>
      <c r="N64" s="4" t="s">
        <v>1554</v>
      </c>
      <c r="O64" s="18"/>
      <c r="P64" s="18"/>
      <c r="Q64" s="45" t="str">
        <f t="shared" si="4"/>
        <v>per piece</v>
      </c>
      <c r="R64" s="13">
        <f t="shared" si="5"/>
        <v>2E-3</v>
      </c>
      <c r="S64" s="16">
        <f>SUMIFS('Parts list'!$W$4:$W$185,'Parts list'!$H$4:$H$185,$C64,'Parts list'!$M$4:$M$185,"Yes")</f>
        <v>2.4E-2</v>
      </c>
      <c r="T64" s="45"/>
      <c r="U64" s="4" t="s">
        <v>1555</v>
      </c>
      <c r="V64" s="4"/>
    </row>
    <row r="65" spans="1:22" ht="15" customHeight="1" x14ac:dyDescent="0.2">
      <c r="A65" s="8">
        <v>62</v>
      </c>
      <c r="B65" s="4" t="s">
        <v>1562</v>
      </c>
      <c r="C65" s="4" t="s">
        <v>944</v>
      </c>
      <c r="D65" s="5" t="s">
        <v>942</v>
      </c>
      <c r="E65" s="5" t="s">
        <v>347</v>
      </c>
      <c r="F65" s="5" t="s">
        <v>945</v>
      </c>
      <c r="G65" s="4" t="s">
        <v>158</v>
      </c>
      <c r="H65" s="4" t="s">
        <v>175</v>
      </c>
      <c r="I65" s="4" t="s">
        <v>940</v>
      </c>
      <c r="J65" s="14">
        <f>SUMIFS('Parts list'!$C$4:$C$185,'Parts list'!$H$4:$H$185,$C65,'Parts list'!$M$4:$M$185,"Yes")</f>
        <v>2</v>
      </c>
      <c r="K65" s="14">
        <f>SUMIFS('Parts list'!$R$4:$R$185,'Parts list'!$H$4:$H$185,$C65,'Parts list'!$M$4:$M$185,"Yes")</f>
        <v>10</v>
      </c>
      <c r="L65" s="14">
        <f>SUMIFS('Parts list'!$V$4:$V$185,'Parts list'!$H$4:$H$185,$C65,'Parts list'!$M$4:$M$185,"Yes")</f>
        <v>12</v>
      </c>
      <c r="M65" s="14">
        <f t="shared" si="3"/>
        <v>2</v>
      </c>
      <c r="N65" s="4" t="s">
        <v>1554</v>
      </c>
      <c r="O65" s="18"/>
      <c r="P65" s="18"/>
      <c r="Q65" s="45" t="str">
        <f t="shared" si="4"/>
        <v>per piece</v>
      </c>
      <c r="R65" s="13">
        <f t="shared" si="5"/>
        <v>3.0000000000000005E-3</v>
      </c>
      <c r="S65" s="16">
        <f>SUMIFS('Parts list'!$W$4:$W$185,'Parts list'!$H$4:$H$185,$C65,'Parts list'!$M$4:$M$185,"Yes")</f>
        <v>3.6000000000000004E-2</v>
      </c>
      <c r="T65" s="45"/>
      <c r="U65" s="4" t="s">
        <v>1555</v>
      </c>
      <c r="V65" s="4"/>
    </row>
    <row r="66" spans="1:22" ht="15" customHeight="1" x14ac:dyDescent="0.2">
      <c r="A66" s="8">
        <v>63</v>
      </c>
      <c r="B66" s="4" t="s">
        <v>1562</v>
      </c>
      <c r="C66" s="4" t="s">
        <v>953</v>
      </c>
      <c r="D66" s="5" t="s">
        <v>951</v>
      </c>
      <c r="E66" s="5" t="s">
        <v>347</v>
      </c>
      <c r="F66" s="5" t="s">
        <v>954</v>
      </c>
      <c r="G66" s="4" t="s">
        <v>278</v>
      </c>
      <c r="H66" s="4" t="s">
        <v>175</v>
      </c>
      <c r="I66" s="4" t="s">
        <v>949</v>
      </c>
      <c r="J66" s="14">
        <f>SUMIFS('Parts list'!$C$4:$C$185,'Parts list'!$H$4:$H$185,$C66,'Parts list'!$M$4:$M$185,"Yes")</f>
        <v>1</v>
      </c>
      <c r="K66" s="14">
        <f>SUMIFS('Parts list'!$R$4:$R$185,'Parts list'!$H$4:$H$185,$C66,'Parts list'!$M$4:$M$185,"Yes")</f>
        <v>5</v>
      </c>
      <c r="L66" s="14">
        <f>SUMIFS('Parts list'!$V$4:$V$185,'Parts list'!$H$4:$H$185,$C66,'Parts list'!$M$4:$M$185,"Yes")</f>
        <v>7</v>
      </c>
      <c r="M66" s="14">
        <f t="shared" si="3"/>
        <v>2</v>
      </c>
      <c r="N66" s="4" t="s">
        <v>1554</v>
      </c>
      <c r="O66" s="18"/>
      <c r="P66" s="18"/>
      <c r="Q66" s="45" t="str">
        <f t="shared" si="4"/>
        <v>per piece</v>
      </c>
      <c r="R66" s="13">
        <f t="shared" si="5"/>
        <v>2.8999999999999998E-3</v>
      </c>
      <c r="S66" s="16">
        <f>SUMIFS('Parts list'!$W$4:$W$185,'Parts list'!$H$4:$H$185,$C66,'Parts list'!$M$4:$M$185,"Yes")</f>
        <v>2.0299999999999999E-2</v>
      </c>
      <c r="T66" s="45"/>
      <c r="U66" s="4" t="s">
        <v>1555</v>
      </c>
      <c r="V66" s="4"/>
    </row>
    <row r="67" spans="1:22" ht="27.75" customHeight="1" x14ac:dyDescent="0.2">
      <c r="A67" s="8">
        <v>64</v>
      </c>
      <c r="B67" s="4" t="s">
        <v>1570</v>
      </c>
      <c r="C67" s="4" t="s">
        <v>994</v>
      </c>
      <c r="D67" s="5" t="s">
        <v>991</v>
      </c>
      <c r="E67" s="5" t="s">
        <v>992</v>
      </c>
      <c r="F67" s="5" t="s">
        <v>995</v>
      </c>
      <c r="G67" s="4" t="s">
        <v>174</v>
      </c>
      <c r="H67" s="4" t="s">
        <v>175</v>
      </c>
      <c r="I67" s="4" t="s">
        <v>989</v>
      </c>
      <c r="J67" s="14">
        <f>SUMIFS('Parts list'!$C$4:$C$185,'Parts list'!$H$4:$H$185,$C67,'Parts list'!$M$4:$M$185,"Yes")</f>
        <v>1</v>
      </c>
      <c r="K67" s="14">
        <f>SUMIFS('Parts list'!$R$4:$R$185,'Parts list'!$H$4:$H$185,$C67,'Parts list'!$M$4:$M$185,"Yes")</f>
        <v>5</v>
      </c>
      <c r="L67" s="14">
        <f>SUMIFS('Parts list'!$V$4:$V$185,'Parts list'!$H$4:$H$185,$C67,'Parts list'!$M$4:$M$185,"Yes")</f>
        <v>6</v>
      </c>
      <c r="M67" s="14">
        <f t="shared" si="3"/>
        <v>1</v>
      </c>
      <c r="N67" s="4" t="s">
        <v>1554</v>
      </c>
      <c r="O67" s="18"/>
      <c r="P67" s="18"/>
      <c r="Q67" s="45" t="str">
        <f t="shared" si="4"/>
        <v>per piece</v>
      </c>
      <c r="R67" s="13">
        <f t="shared" si="5"/>
        <v>1.0174000000000001</v>
      </c>
      <c r="S67" s="16">
        <f>SUMIFS('Parts list'!$W$4:$W$185,'Parts list'!$H$4:$H$185,$C67,'Parts list'!$M$4:$M$185,"Yes")</f>
        <v>6.1044</v>
      </c>
      <c r="T67" s="45"/>
      <c r="U67" s="4" t="s">
        <v>1555</v>
      </c>
      <c r="V67" s="4"/>
    </row>
    <row r="68" spans="1:22" ht="27.75" customHeight="1" x14ac:dyDescent="0.2">
      <c r="A68" s="8">
        <v>65</v>
      </c>
      <c r="B68" s="4" t="s">
        <v>1570</v>
      </c>
      <c r="C68" s="4" t="s">
        <v>1003</v>
      </c>
      <c r="D68" s="5" t="s">
        <v>1001</v>
      </c>
      <c r="E68" s="5" t="s">
        <v>602</v>
      </c>
      <c r="F68" s="5" t="s">
        <v>1004</v>
      </c>
      <c r="G68" s="4" t="s">
        <v>174</v>
      </c>
      <c r="H68" s="4" t="s">
        <v>175</v>
      </c>
      <c r="I68" s="4" t="s">
        <v>999</v>
      </c>
      <c r="J68" s="14">
        <f>SUMIFS('Parts list'!$C$4:$C$185,'Parts list'!$H$4:$H$185,$C68,'Parts list'!$M$4:$M$185,"Yes")</f>
        <v>1</v>
      </c>
      <c r="K68" s="14">
        <f>SUMIFS('Parts list'!$R$4:$R$185,'Parts list'!$H$4:$H$185,$C68,'Parts list'!$M$4:$M$185,"Yes")</f>
        <v>5</v>
      </c>
      <c r="L68" s="14">
        <f>SUMIFS('Parts list'!$V$4:$V$185,'Parts list'!$H$4:$H$185,$C68,'Parts list'!$M$4:$M$185,"Yes")</f>
        <v>6</v>
      </c>
      <c r="M68" s="14">
        <f t="shared" ref="M68:M99" si="6">$L68-$K68</f>
        <v>1</v>
      </c>
      <c r="N68" s="4" t="s">
        <v>1554</v>
      </c>
      <c r="O68" s="18"/>
      <c r="P68" s="18"/>
      <c r="Q68" s="45" t="str">
        <f t="shared" ref="Q68:Q99" si="7">IF(N($O68)=0,"per piece",IF(AND($L68&gt;=$O68,MOD($L68,MAX(1,N($P68)))=0),"OK","CHECK"))</f>
        <v>per piece</v>
      </c>
      <c r="R68" s="13">
        <f t="shared" ref="R68:R99" si="8">IF($L68=0,0,$S68/$L68)</f>
        <v>0.26</v>
      </c>
      <c r="S68" s="16">
        <f>SUMIFS('Parts list'!$W$4:$W$185,'Parts list'!$H$4:$H$185,$C68,'Parts list'!$M$4:$M$185,"Yes")</f>
        <v>1.56</v>
      </c>
      <c r="T68" s="45" t="s">
        <v>177</v>
      </c>
      <c r="U68" s="4" t="s">
        <v>1609</v>
      </c>
      <c r="V68" s="4"/>
    </row>
    <row r="69" spans="1:22" ht="27.75" customHeight="1" x14ac:dyDescent="0.2">
      <c r="A69" s="8">
        <v>66</v>
      </c>
      <c r="B69" s="4" t="s">
        <v>1570</v>
      </c>
      <c r="C69" s="4" t="s">
        <v>1013</v>
      </c>
      <c r="D69" s="5" t="s">
        <v>162</v>
      </c>
      <c r="E69" s="5" t="s">
        <v>1011</v>
      </c>
      <c r="F69" s="5" t="s">
        <v>1014</v>
      </c>
      <c r="G69" s="4" t="s">
        <v>174</v>
      </c>
      <c r="H69" s="4" t="s">
        <v>175</v>
      </c>
      <c r="I69" s="4" t="s">
        <v>1009</v>
      </c>
      <c r="J69" s="14">
        <f>SUMIFS('Parts list'!$C$4:$C$185,'Parts list'!$H$4:$H$185,$C69,'Parts list'!$M$4:$M$185,"Yes")</f>
        <v>1</v>
      </c>
      <c r="K69" s="14">
        <f>SUMIFS('Parts list'!$R$4:$R$185,'Parts list'!$H$4:$H$185,$C69,'Parts list'!$M$4:$M$185,"Yes")</f>
        <v>5</v>
      </c>
      <c r="L69" s="14">
        <f>SUMIFS('Parts list'!$V$4:$V$185,'Parts list'!$H$4:$H$185,$C69,'Parts list'!$M$4:$M$185,"Yes")</f>
        <v>6</v>
      </c>
      <c r="M69" s="14">
        <f t="shared" si="6"/>
        <v>1</v>
      </c>
      <c r="N69" s="4" t="s">
        <v>1554</v>
      </c>
      <c r="O69" s="18"/>
      <c r="P69" s="18"/>
      <c r="Q69" s="45" t="str">
        <f t="shared" si="7"/>
        <v>per piece</v>
      </c>
      <c r="R69" s="13">
        <f t="shared" si="8"/>
        <v>1.3</v>
      </c>
      <c r="S69" s="16">
        <f>SUMIFS('Parts list'!$W$4:$W$185,'Parts list'!$H$4:$H$185,$C69,'Parts list'!$M$4:$M$185,"Yes")</f>
        <v>7.8000000000000007</v>
      </c>
      <c r="T69" s="45"/>
      <c r="U69" s="4" t="s">
        <v>1555</v>
      </c>
      <c r="V69" s="4"/>
    </row>
    <row r="70" spans="1:22" ht="27.75" customHeight="1" x14ac:dyDescent="0.2">
      <c r="A70" s="8">
        <v>67</v>
      </c>
      <c r="B70" s="4" t="s">
        <v>1570</v>
      </c>
      <c r="C70" s="4" t="s">
        <v>1023</v>
      </c>
      <c r="D70" s="5" t="s">
        <v>1021</v>
      </c>
      <c r="E70" s="5" t="s">
        <v>294</v>
      </c>
      <c r="F70" s="5" t="s">
        <v>1024</v>
      </c>
      <c r="G70" s="4" t="s">
        <v>174</v>
      </c>
      <c r="H70" s="4" t="s">
        <v>175</v>
      </c>
      <c r="I70" s="4" t="s">
        <v>1019</v>
      </c>
      <c r="J70" s="14">
        <f>SUMIFS('Parts list'!$C$4:$C$185,'Parts list'!$H$4:$H$185,$C70,'Parts list'!$M$4:$M$185,"Yes")</f>
        <v>1</v>
      </c>
      <c r="K70" s="14">
        <f>SUMIFS('Parts list'!$R$4:$R$185,'Parts list'!$H$4:$H$185,$C70,'Parts list'!$M$4:$M$185,"Yes")</f>
        <v>5</v>
      </c>
      <c r="L70" s="14">
        <f>SUMIFS('Parts list'!$V$4:$V$185,'Parts list'!$H$4:$H$185,$C70,'Parts list'!$M$4:$M$185,"Yes")</f>
        <v>6</v>
      </c>
      <c r="M70" s="14">
        <f t="shared" si="6"/>
        <v>1</v>
      </c>
      <c r="N70" s="4" t="s">
        <v>1554</v>
      </c>
      <c r="O70" s="18"/>
      <c r="P70" s="18"/>
      <c r="Q70" s="45" t="str">
        <f t="shared" si="7"/>
        <v>per piece</v>
      </c>
      <c r="R70" s="13">
        <f t="shared" si="8"/>
        <v>0.27</v>
      </c>
      <c r="S70" s="16">
        <f>SUMIFS('Parts list'!$W$4:$W$185,'Parts list'!$H$4:$H$185,$C70,'Parts list'!$M$4:$M$185,"Yes")</f>
        <v>1.62</v>
      </c>
      <c r="T70" s="45"/>
      <c r="U70" s="4" t="s">
        <v>1555</v>
      </c>
      <c r="V70" s="4"/>
    </row>
    <row r="71" spans="1:22" ht="15" customHeight="1" x14ac:dyDescent="0.2">
      <c r="A71" s="8">
        <v>68</v>
      </c>
      <c r="B71" s="4" t="s">
        <v>1570</v>
      </c>
      <c r="C71" s="4" t="s">
        <v>1032</v>
      </c>
      <c r="D71" s="5" t="s">
        <v>162</v>
      </c>
      <c r="E71" s="5" t="s">
        <v>612</v>
      </c>
      <c r="F71" s="5" t="s">
        <v>1033</v>
      </c>
      <c r="G71" s="4" t="s">
        <v>174</v>
      </c>
      <c r="H71" s="4" t="s">
        <v>175</v>
      </c>
      <c r="I71" s="4" t="s">
        <v>1029</v>
      </c>
      <c r="J71" s="14">
        <f>SUMIFS('Parts list'!$C$4:$C$185,'Parts list'!$H$4:$H$185,$C71,'Parts list'!$M$4:$M$185,"Yes")</f>
        <v>1</v>
      </c>
      <c r="K71" s="14">
        <f>SUMIFS('Parts list'!$R$4:$R$185,'Parts list'!$H$4:$H$185,$C71,'Parts list'!$M$4:$M$185,"Yes")</f>
        <v>5</v>
      </c>
      <c r="L71" s="14">
        <f>SUMIFS('Parts list'!$V$4:$V$185,'Parts list'!$H$4:$H$185,$C71,'Parts list'!$M$4:$M$185,"Yes")</f>
        <v>6</v>
      </c>
      <c r="M71" s="14">
        <f t="shared" si="6"/>
        <v>1</v>
      </c>
      <c r="N71" s="4" t="s">
        <v>1554</v>
      </c>
      <c r="O71" s="18"/>
      <c r="P71" s="18"/>
      <c r="Q71" s="45" t="str">
        <f t="shared" si="7"/>
        <v>per piece</v>
      </c>
      <c r="R71" s="13">
        <f t="shared" si="8"/>
        <v>0.45</v>
      </c>
      <c r="S71" s="16">
        <f>SUMIFS('Parts list'!$W$4:$W$185,'Parts list'!$H$4:$H$185,$C71,'Parts list'!$M$4:$M$185,"Yes")</f>
        <v>2.7</v>
      </c>
      <c r="T71" s="45"/>
      <c r="U71" s="4" t="s">
        <v>1555</v>
      </c>
      <c r="V71" s="4"/>
    </row>
    <row r="72" spans="1:22" ht="15" customHeight="1" x14ac:dyDescent="0.2">
      <c r="A72" s="8">
        <v>69</v>
      </c>
      <c r="B72" s="4" t="s">
        <v>1553</v>
      </c>
      <c r="C72" s="4" t="s">
        <v>1043</v>
      </c>
      <c r="D72" s="5" t="s">
        <v>1041</v>
      </c>
      <c r="E72" s="5" t="s">
        <v>170</v>
      </c>
      <c r="F72" s="5" t="s">
        <v>1044</v>
      </c>
      <c r="G72" s="4" t="s">
        <v>158</v>
      </c>
      <c r="H72" s="4" t="s">
        <v>175</v>
      </c>
      <c r="I72" s="4" t="s">
        <v>1039</v>
      </c>
      <c r="J72" s="14">
        <f>SUMIFS('Parts list'!$C$4:$C$185,'Parts list'!$H$4:$H$185,$C72,'Parts list'!$M$4:$M$185,"Yes")</f>
        <v>5</v>
      </c>
      <c r="K72" s="14">
        <f>SUMIFS('Parts list'!$R$4:$R$185,'Parts list'!$H$4:$H$185,$C72,'Parts list'!$M$4:$M$185,"Yes")</f>
        <v>25</v>
      </c>
      <c r="L72" s="14">
        <f>SUMIFS('Parts list'!$V$4:$V$185,'Parts list'!$H$4:$H$185,$C72,'Parts list'!$M$4:$M$185,"Yes")</f>
        <v>27</v>
      </c>
      <c r="M72" s="14">
        <f t="shared" si="6"/>
        <v>2</v>
      </c>
      <c r="N72" s="4" t="s">
        <v>1554</v>
      </c>
      <c r="O72" s="18"/>
      <c r="P72" s="18"/>
      <c r="Q72" s="45" t="str">
        <f t="shared" si="7"/>
        <v>per piece</v>
      </c>
      <c r="R72" s="13">
        <f t="shared" si="8"/>
        <v>1.52E-2</v>
      </c>
      <c r="S72" s="16">
        <f>SUMIFS('Parts list'!$W$4:$W$185,'Parts list'!$H$4:$H$185,$C72,'Parts list'!$M$4:$M$185,"Yes")</f>
        <v>0.41039999999999999</v>
      </c>
      <c r="T72" s="45"/>
      <c r="U72" s="4" t="s">
        <v>1555</v>
      </c>
      <c r="V72" s="4"/>
    </row>
    <row r="73" spans="1:22" ht="15" customHeight="1" x14ac:dyDescent="0.2">
      <c r="A73" s="8">
        <v>70</v>
      </c>
      <c r="B73" s="4" t="s">
        <v>1553</v>
      </c>
      <c r="C73" s="4" t="s">
        <v>1070</v>
      </c>
      <c r="D73" s="5" t="s">
        <v>1069</v>
      </c>
      <c r="E73" s="5" t="s">
        <v>154</v>
      </c>
      <c r="F73" s="5" t="s">
        <v>1071</v>
      </c>
      <c r="G73" s="4" t="s">
        <v>174</v>
      </c>
      <c r="H73" s="4" t="s">
        <v>175</v>
      </c>
      <c r="I73" s="4" t="s">
        <v>1067</v>
      </c>
      <c r="J73" s="14">
        <f>SUMIFS('Parts list'!$C$4:$C$185,'Parts list'!$H$4:$H$185,$C73,'Parts list'!$M$4:$M$185,"Yes")</f>
        <v>1</v>
      </c>
      <c r="K73" s="14">
        <f>SUMIFS('Parts list'!$R$4:$R$185,'Parts list'!$H$4:$H$185,$C73,'Parts list'!$M$4:$M$185,"Yes")</f>
        <v>5</v>
      </c>
      <c r="L73" s="14">
        <f>SUMIFS('Parts list'!$V$4:$V$185,'Parts list'!$H$4:$H$185,$C73,'Parts list'!$M$4:$M$185,"Yes")</f>
        <v>7</v>
      </c>
      <c r="M73" s="14">
        <f t="shared" si="6"/>
        <v>2</v>
      </c>
      <c r="N73" s="4" t="s">
        <v>1554</v>
      </c>
      <c r="O73" s="18"/>
      <c r="P73" s="18"/>
      <c r="Q73" s="45" t="str">
        <f t="shared" si="7"/>
        <v>per piece</v>
      </c>
      <c r="R73" s="13">
        <f t="shared" si="8"/>
        <v>2.8E-3</v>
      </c>
      <c r="S73" s="16">
        <f>SUMIFS('Parts list'!$W$4:$W$185,'Parts list'!$H$4:$H$185,$C73,'Parts list'!$M$4:$M$185,"Yes")</f>
        <v>1.9599999999999999E-2</v>
      </c>
      <c r="T73" s="45"/>
      <c r="U73" s="4" t="s">
        <v>1555</v>
      </c>
      <c r="V73" s="4"/>
    </row>
    <row r="74" spans="1:22" ht="15" customHeight="1" x14ac:dyDescent="0.2">
      <c r="A74" s="8">
        <v>71</v>
      </c>
      <c r="B74" s="4" t="s">
        <v>1553</v>
      </c>
      <c r="C74" s="4" t="s">
        <v>1079</v>
      </c>
      <c r="D74" s="5" t="s">
        <v>1078</v>
      </c>
      <c r="E74" s="5" t="s">
        <v>154</v>
      </c>
      <c r="F74" s="5" t="s">
        <v>1080</v>
      </c>
      <c r="G74" s="4" t="s">
        <v>174</v>
      </c>
      <c r="H74" s="4" t="s">
        <v>175</v>
      </c>
      <c r="I74" s="4" t="s">
        <v>1076</v>
      </c>
      <c r="J74" s="14">
        <f>SUMIFS('Parts list'!$C$4:$C$185,'Parts list'!$H$4:$H$185,$C74,'Parts list'!$M$4:$M$185,"Yes")</f>
        <v>5</v>
      </c>
      <c r="K74" s="14">
        <f>SUMIFS('Parts list'!$R$4:$R$185,'Parts list'!$H$4:$H$185,$C74,'Parts list'!$M$4:$M$185,"Yes")</f>
        <v>25</v>
      </c>
      <c r="L74" s="14">
        <f>SUMIFS('Parts list'!$V$4:$V$185,'Parts list'!$H$4:$H$185,$C74,'Parts list'!$M$4:$M$185,"Yes")</f>
        <v>27</v>
      </c>
      <c r="M74" s="14">
        <f t="shared" si="6"/>
        <v>2</v>
      </c>
      <c r="N74" s="4" t="s">
        <v>1554</v>
      </c>
      <c r="O74" s="18"/>
      <c r="P74" s="18"/>
      <c r="Q74" s="45" t="str">
        <f t="shared" si="7"/>
        <v>per piece</v>
      </c>
      <c r="R74" s="13">
        <f t="shared" si="8"/>
        <v>6.8999999999999999E-3</v>
      </c>
      <c r="S74" s="16">
        <f>SUMIFS('Parts list'!$W$4:$W$185,'Parts list'!$H$4:$H$185,$C74,'Parts list'!$M$4:$M$185,"Yes")</f>
        <v>0.18629999999999999</v>
      </c>
      <c r="T74" s="45"/>
      <c r="U74" s="4" t="s">
        <v>1555</v>
      </c>
      <c r="V74" s="4"/>
    </row>
    <row r="75" spans="1:22" ht="40.5" customHeight="1" x14ac:dyDescent="0.2">
      <c r="A75" s="8">
        <v>72</v>
      </c>
      <c r="B75" s="4" t="s">
        <v>1553</v>
      </c>
      <c r="C75" s="4" t="s">
        <v>1090</v>
      </c>
      <c r="D75" s="5" t="s">
        <v>1087</v>
      </c>
      <c r="E75" s="5" t="s">
        <v>1088</v>
      </c>
      <c r="F75" s="5" t="s">
        <v>162</v>
      </c>
      <c r="G75" s="4" t="s">
        <v>220</v>
      </c>
      <c r="H75" s="4" t="s">
        <v>220</v>
      </c>
      <c r="I75" s="4" t="s">
        <v>1085</v>
      </c>
      <c r="J75" s="14">
        <f>SUMIFS('Parts list'!$C$4:$C$185,'Parts list'!$H$4:$H$185,$C75,'Parts list'!$M$4:$M$185,"Yes")</f>
        <v>4</v>
      </c>
      <c r="K75" s="14">
        <f>SUMIFS('Parts list'!$R$4:$R$185,'Parts list'!$H$4:$H$185,$C75,'Parts list'!$M$4:$M$185,"Yes")</f>
        <v>20</v>
      </c>
      <c r="L75" s="14">
        <f>SUMIFS('Parts list'!$V$4:$V$185,'Parts list'!$H$4:$H$185,$C75,'Parts list'!$M$4:$M$185,"Yes")</f>
        <v>22</v>
      </c>
      <c r="M75" s="14">
        <f t="shared" si="6"/>
        <v>2</v>
      </c>
      <c r="N75" s="4" t="s">
        <v>1560</v>
      </c>
      <c r="O75" s="18"/>
      <c r="P75" s="18"/>
      <c r="Q75" s="45" t="str">
        <f t="shared" si="7"/>
        <v>per piece</v>
      </c>
      <c r="R75" s="13">
        <f t="shared" si="8"/>
        <v>1.36</v>
      </c>
      <c r="S75" s="16">
        <f>SUMIFS('Parts list'!$W$4:$W$185,'Parts list'!$H$4:$H$185,$C75,'Parts list'!$M$4:$M$185,"Yes")</f>
        <v>29.92</v>
      </c>
      <c r="T75" s="45" t="s">
        <v>177</v>
      </c>
      <c r="U75" s="4" t="s">
        <v>1610</v>
      </c>
      <c r="V75" s="4"/>
    </row>
    <row r="76" spans="1:22" ht="15" customHeight="1" x14ac:dyDescent="0.2">
      <c r="A76" s="8">
        <v>73</v>
      </c>
      <c r="B76" s="4" t="s">
        <v>1553</v>
      </c>
      <c r="C76" s="4" t="s">
        <v>1098</v>
      </c>
      <c r="D76" s="5" t="s">
        <v>1096</v>
      </c>
      <c r="E76" s="5" t="s">
        <v>347</v>
      </c>
      <c r="F76" s="5" t="s">
        <v>1099</v>
      </c>
      <c r="G76" s="4" t="s">
        <v>174</v>
      </c>
      <c r="H76" s="4" t="s">
        <v>175</v>
      </c>
      <c r="I76" s="4" t="s">
        <v>1094</v>
      </c>
      <c r="J76" s="14">
        <f>SUMIFS('Parts list'!$C$4:$C$185,'Parts list'!$H$4:$H$185,$C76,'Parts list'!$M$4:$M$185,"Yes")</f>
        <v>4</v>
      </c>
      <c r="K76" s="14">
        <f>SUMIFS('Parts list'!$R$4:$R$185,'Parts list'!$H$4:$H$185,$C76,'Parts list'!$M$4:$M$185,"Yes")</f>
        <v>20</v>
      </c>
      <c r="L76" s="14">
        <f>SUMIFS('Parts list'!$V$4:$V$185,'Parts list'!$H$4:$H$185,$C76,'Parts list'!$M$4:$M$185,"Yes")</f>
        <v>22</v>
      </c>
      <c r="M76" s="14">
        <f t="shared" si="6"/>
        <v>2</v>
      </c>
      <c r="N76" s="4" t="s">
        <v>1554</v>
      </c>
      <c r="O76" s="18"/>
      <c r="P76" s="18"/>
      <c r="Q76" s="45" t="str">
        <f t="shared" si="7"/>
        <v>per piece</v>
      </c>
      <c r="R76" s="13">
        <f t="shared" si="8"/>
        <v>2.4299999999999999E-2</v>
      </c>
      <c r="S76" s="16">
        <f>SUMIFS('Parts list'!$W$4:$W$185,'Parts list'!$H$4:$H$185,$C76,'Parts list'!$M$4:$M$185,"Yes")</f>
        <v>0.53459999999999996</v>
      </c>
      <c r="T76" s="45"/>
      <c r="U76" s="4" t="s">
        <v>1555</v>
      </c>
      <c r="V76" s="4"/>
    </row>
    <row r="77" spans="1:22" ht="15" customHeight="1" x14ac:dyDescent="0.2">
      <c r="A77" s="8">
        <v>74</v>
      </c>
      <c r="B77" s="4" t="s">
        <v>1553</v>
      </c>
      <c r="C77" s="4" t="s">
        <v>1107</v>
      </c>
      <c r="D77" s="5" t="s">
        <v>194</v>
      </c>
      <c r="E77" s="5" t="s">
        <v>1105</v>
      </c>
      <c r="F77" s="5" t="s">
        <v>1108</v>
      </c>
      <c r="G77" s="4" t="s">
        <v>174</v>
      </c>
      <c r="H77" s="4" t="s">
        <v>175</v>
      </c>
      <c r="I77" s="4" t="s">
        <v>1103</v>
      </c>
      <c r="J77" s="14">
        <f>SUMIFS('Parts list'!$C$4:$C$185,'Parts list'!$H$4:$H$185,$C77,'Parts list'!$M$4:$M$185,"Yes")</f>
        <v>8</v>
      </c>
      <c r="K77" s="14">
        <f>SUMIFS('Parts list'!$R$4:$R$185,'Parts list'!$H$4:$H$185,$C77,'Parts list'!$M$4:$M$185,"Yes")</f>
        <v>40</v>
      </c>
      <c r="L77" s="14">
        <f>SUMIFS('Parts list'!$V$4:$V$185,'Parts list'!$H$4:$H$185,$C77,'Parts list'!$M$4:$M$185,"Yes")</f>
        <v>42</v>
      </c>
      <c r="M77" s="14">
        <f t="shared" si="6"/>
        <v>2</v>
      </c>
      <c r="N77" s="4" t="s">
        <v>1554</v>
      </c>
      <c r="O77" s="18"/>
      <c r="P77" s="18"/>
      <c r="Q77" s="45" t="str">
        <f t="shared" si="7"/>
        <v>per piece</v>
      </c>
      <c r="R77" s="13">
        <f t="shared" si="8"/>
        <v>0.3296</v>
      </c>
      <c r="S77" s="16">
        <f>SUMIFS('Parts list'!$W$4:$W$185,'Parts list'!$H$4:$H$185,$C77,'Parts list'!$M$4:$M$185,"Yes")</f>
        <v>13.8432</v>
      </c>
      <c r="T77" s="45"/>
      <c r="U77" s="4" t="s">
        <v>1555</v>
      </c>
      <c r="V77" s="4"/>
    </row>
    <row r="78" spans="1:22" ht="15" customHeight="1" x14ac:dyDescent="0.2">
      <c r="A78" s="8">
        <v>75</v>
      </c>
      <c r="B78" s="4" t="s">
        <v>1599</v>
      </c>
      <c r="C78" s="4" t="s">
        <v>1116</v>
      </c>
      <c r="D78" s="5" t="s">
        <v>1114</v>
      </c>
      <c r="E78" s="5" t="s">
        <v>378</v>
      </c>
      <c r="F78" s="5" t="s">
        <v>1117</v>
      </c>
      <c r="G78" s="4" t="s">
        <v>174</v>
      </c>
      <c r="H78" s="4" t="s">
        <v>175</v>
      </c>
      <c r="I78" s="4" t="s">
        <v>1112</v>
      </c>
      <c r="J78" s="14">
        <f>SUMIFS('Parts list'!$C$4:$C$185,'Parts list'!$H$4:$H$185,$C78,'Parts list'!$M$4:$M$185,"Yes")</f>
        <v>2</v>
      </c>
      <c r="K78" s="14">
        <f>SUMIFS('Parts list'!$R$4:$R$185,'Parts list'!$H$4:$H$185,$C78,'Parts list'!$M$4:$M$185,"Yes")</f>
        <v>10</v>
      </c>
      <c r="L78" s="14">
        <f>SUMIFS('Parts list'!$V$4:$V$185,'Parts list'!$H$4:$H$185,$C78,'Parts list'!$M$4:$M$185,"Yes")</f>
        <v>11</v>
      </c>
      <c r="M78" s="14">
        <f t="shared" si="6"/>
        <v>1</v>
      </c>
      <c r="N78" s="4" t="s">
        <v>1554</v>
      </c>
      <c r="O78" s="18"/>
      <c r="P78" s="18"/>
      <c r="Q78" s="45" t="str">
        <f t="shared" si="7"/>
        <v>per piece</v>
      </c>
      <c r="R78" s="13">
        <f t="shared" si="8"/>
        <v>9.6200000000000008E-2</v>
      </c>
      <c r="S78" s="16">
        <f>SUMIFS('Parts list'!$W$4:$W$185,'Parts list'!$H$4:$H$185,$C78,'Parts list'!$M$4:$M$185,"Yes")</f>
        <v>1.0582</v>
      </c>
      <c r="T78" s="45"/>
      <c r="U78" s="4" t="s">
        <v>1555</v>
      </c>
      <c r="V78" s="4"/>
    </row>
    <row r="79" spans="1:22" ht="15" customHeight="1" x14ac:dyDescent="0.2">
      <c r="A79" s="8">
        <v>76</v>
      </c>
      <c r="B79" s="4" t="s">
        <v>1577</v>
      </c>
      <c r="C79" s="4" t="s">
        <v>1148</v>
      </c>
      <c r="D79" s="5" t="s">
        <v>1146</v>
      </c>
      <c r="E79" s="5" t="s">
        <v>378</v>
      </c>
      <c r="F79" s="5" t="s">
        <v>1149</v>
      </c>
      <c r="G79" s="4" t="s">
        <v>158</v>
      </c>
      <c r="H79" s="4" t="s">
        <v>175</v>
      </c>
      <c r="I79" s="4" t="s">
        <v>1144</v>
      </c>
      <c r="J79" s="14">
        <f>SUMIFS('Parts list'!$C$4:$C$185,'Parts list'!$H$4:$H$185,$C79,'Parts list'!$M$4:$M$185,"Yes")</f>
        <v>2</v>
      </c>
      <c r="K79" s="14">
        <f>SUMIFS('Parts list'!$R$4:$R$185,'Parts list'!$H$4:$H$185,$C79,'Parts list'!$M$4:$M$185,"Yes")</f>
        <v>10</v>
      </c>
      <c r="L79" s="14">
        <f>SUMIFS('Parts list'!$V$4:$V$185,'Parts list'!$H$4:$H$185,$C79,'Parts list'!$M$4:$M$185,"Yes")</f>
        <v>11</v>
      </c>
      <c r="M79" s="14">
        <f t="shared" si="6"/>
        <v>1</v>
      </c>
      <c r="N79" s="4" t="s">
        <v>1554</v>
      </c>
      <c r="O79" s="18"/>
      <c r="P79" s="18"/>
      <c r="Q79" s="45" t="str">
        <f t="shared" si="7"/>
        <v>per piece</v>
      </c>
      <c r="R79" s="13">
        <f t="shared" si="8"/>
        <v>1.77E-2</v>
      </c>
      <c r="S79" s="16">
        <f>SUMIFS('Parts list'!$W$4:$W$185,'Parts list'!$H$4:$H$185,$C79,'Parts list'!$M$4:$M$185,"Yes")</f>
        <v>0.19470000000000001</v>
      </c>
      <c r="T79" s="45"/>
      <c r="U79" s="4" t="s">
        <v>1555</v>
      </c>
      <c r="V79" s="4"/>
    </row>
    <row r="80" spans="1:22" ht="15" customHeight="1" x14ac:dyDescent="0.2">
      <c r="A80" s="8">
        <v>77</v>
      </c>
      <c r="B80" s="4" t="s">
        <v>1577</v>
      </c>
      <c r="C80" s="4" t="s">
        <v>1156</v>
      </c>
      <c r="D80" s="5" t="s">
        <v>862</v>
      </c>
      <c r="E80" s="5" t="s">
        <v>378</v>
      </c>
      <c r="F80" s="5" t="s">
        <v>1157</v>
      </c>
      <c r="G80" s="4" t="s">
        <v>174</v>
      </c>
      <c r="H80" s="4" t="s">
        <v>175</v>
      </c>
      <c r="I80" s="4" t="s">
        <v>1153</v>
      </c>
      <c r="J80" s="14">
        <f>SUMIFS('Parts list'!$C$4:$C$185,'Parts list'!$H$4:$H$185,$C80,'Parts list'!$M$4:$M$185,"Yes")</f>
        <v>5</v>
      </c>
      <c r="K80" s="14">
        <f>SUMIFS('Parts list'!$R$4:$R$185,'Parts list'!$H$4:$H$185,$C80,'Parts list'!$M$4:$M$185,"Yes")</f>
        <v>25</v>
      </c>
      <c r="L80" s="14">
        <f>SUMIFS('Parts list'!$V$4:$V$185,'Parts list'!$H$4:$H$185,$C80,'Parts list'!$M$4:$M$185,"Yes")</f>
        <v>26</v>
      </c>
      <c r="M80" s="14">
        <f t="shared" si="6"/>
        <v>1</v>
      </c>
      <c r="N80" s="4" t="s">
        <v>1554</v>
      </c>
      <c r="O80" s="18"/>
      <c r="P80" s="18"/>
      <c r="Q80" s="45" t="str">
        <f t="shared" si="7"/>
        <v>per piece</v>
      </c>
      <c r="R80" s="13">
        <f t="shared" si="8"/>
        <v>1.67E-2</v>
      </c>
      <c r="S80" s="16">
        <f>SUMIFS('Parts list'!$W$4:$W$185,'Parts list'!$H$4:$H$185,$C80,'Parts list'!$M$4:$M$185,"Yes")</f>
        <v>0.43419999999999997</v>
      </c>
      <c r="T80" s="45"/>
      <c r="U80" s="4" t="s">
        <v>1555</v>
      </c>
      <c r="V80" s="4"/>
    </row>
    <row r="81" spans="1:22" ht="27.75" customHeight="1" x14ac:dyDescent="0.2">
      <c r="A81" s="8">
        <v>78</v>
      </c>
      <c r="B81" s="4" t="s">
        <v>1562</v>
      </c>
      <c r="C81" s="4" t="s">
        <v>1166</v>
      </c>
      <c r="D81" s="5" t="s">
        <v>1164</v>
      </c>
      <c r="E81" s="5" t="s">
        <v>154</v>
      </c>
      <c r="F81" s="5" t="s">
        <v>1167</v>
      </c>
      <c r="G81" s="4" t="s">
        <v>174</v>
      </c>
      <c r="H81" s="4" t="s">
        <v>175</v>
      </c>
      <c r="I81" s="4" t="s">
        <v>1162</v>
      </c>
      <c r="J81" s="14">
        <f>SUMIFS('Parts list'!$C$4:$C$185,'Parts list'!$H$4:$H$185,$C81,'Parts list'!$M$4:$M$185,"Yes")</f>
        <v>6</v>
      </c>
      <c r="K81" s="14">
        <f>SUMIFS('Parts list'!$R$4:$R$185,'Parts list'!$H$4:$H$185,$C81,'Parts list'!$M$4:$M$185,"Yes")</f>
        <v>30</v>
      </c>
      <c r="L81" s="14">
        <f>SUMIFS('Parts list'!$V$4:$V$185,'Parts list'!$H$4:$H$185,$C81,'Parts list'!$M$4:$M$185,"Yes")</f>
        <v>32</v>
      </c>
      <c r="M81" s="14">
        <f t="shared" si="6"/>
        <v>2</v>
      </c>
      <c r="N81" s="4" t="s">
        <v>1554</v>
      </c>
      <c r="O81" s="18"/>
      <c r="P81" s="18"/>
      <c r="Q81" s="45" t="str">
        <f t="shared" si="7"/>
        <v>per piece</v>
      </c>
      <c r="R81" s="13">
        <f t="shared" si="8"/>
        <v>3.3799999999999997E-2</v>
      </c>
      <c r="S81" s="16">
        <f>SUMIFS('Parts list'!$W$4:$W$185,'Parts list'!$H$4:$H$185,$C81,'Parts list'!$M$4:$M$185,"Yes")</f>
        <v>1.0815999999999999</v>
      </c>
      <c r="T81" s="45"/>
      <c r="U81" s="4" t="s">
        <v>1555</v>
      </c>
      <c r="V81" s="4"/>
    </row>
    <row r="82" spans="1:22" ht="27.75" customHeight="1" x14ac:dyDescent="0.2">
      <c r="A82" s="8">
        <v>79</v>
      </c>
      <c r="B82" s="4" t="s">
        <v>1562</v>
      </c>
      <c r="C82" s="4" t="s">
        <v>1173</v>
      </c>
      <c r="D82" s="5" t="s">
        <v>228</v>
      </c>
      <c r="E82" s="5" t="s">
        <v>154</v>
      </c>
      <c r="F82" s="5" t="s">
        <v>1174</v>
      </c>
      <c r="G82" s="4" t="s">
        <v>174</v>
      </c>
      <c r="H82" s="4" t="s">
        <v>220</v>
      </c>
      <c r="I82" s="4" t="s">
        <v>1171</v>
      </c>
      <c r="J82" s="14">
        <f>SUMIFS('Parts list'!$C$4:$C$185,'Parts list'!$H$4:$H$185,$C82,'Parts list'!$M$4:$M$185,"Yes")</f>
        <v>6</v>
      </c>
      <c r="K82" s="14">
        <f>SUMIFS('Parts list'!$R$4:$R$185,'Parts list'!$H$4:$H$185,$C82,'Parts list'!$M$4:$M$185,"Yes")</f>
        <v>30</v>
      </c>
      <c r="L82" s="14">
        <f>SUMIFS('Parts list'!$V$4:$V$185,'Parts list'!$H$4:$H$185,$C82,'Parts list'!$M$4:$M$185,"Yes")</f>
        <v>32</v>
      </c>
      <c r="M82" s="14">
        <f t="shared" si="6"/>
        <v>2</v>
      </c>
      <c r="N82" s="4" t="s">
        <v>1560</v>
      </c>
      <c r="O82" s="18"/>
      <c r="P82" s="18"/>
      <c r="Q82" s="45" t="str">
        <f t="shared" si="7"/>
        <v>per piece</v>
      </c>
      <c r="R82" s="13">
        <f t="shared" si="8"/>
        <v>1.41E-2</v>
      </c>
      <c r="S82" s="16">
        <f>SUMIFS('Parts list'!$W$4:$W$185,'Parts list'!$H$4:$H$185,$C82,'Parts list'!$M$4:$M$185,"Yes")</f>
        <v>0.45119999999999999</v>
      </c>
      <c r="T82" s="45"/>
      <c r="U82" s="4" t="s">
        <v>1561</v>
      </c>
      <c r="V82" s="4"/>
    </row>
    <row r="83" spans="1:22" ht="15" customHeight="1" x14ac:dyDescent="0.2">
      <c r="A83" s="8">
        <v>80</v>
      </c>
      <c r="B83" s="4" t="s">
        <v>1562</v>
      </c>
      <c r="C83" s="4" t="s">
        <v>1181</v>
      </c>
      <c r="D83" s="5" t="s">
        <v>1180</v>
      </c>
      <c r="E83" s="5" t="s">
        <v>154</v>
      </c>
      <c r="F83" s="5" t="s">
        <v>1182</v>
      </c>
      <c r="G83" s="4" t="s">
        <v>174</v>
      </c>
      <c r="H83" s="4" t="s">
        <v>175</v>
      </c>
      <c r="I83" s="4" t="s">
        <v>1178</v>
      </c>
      <c r="J83" s="14">
        <f>SUMIFS('Parts list'!$C$4:$C$185,'Parts list'!$H$4:$H$185,$C83,'Parts list'!$M$4:$M$185,"Yes")</f>
        <v>5</v>
      </c>
      <c r="K83" s="14">
        <f>SUMIFS('Parts list'!$R$4:$R$185,'Parts list'!$H$4:$H$185,$C83,'Parts list'!$M$4:$M$185,"Yes")</f>
        <v>25</v>
      </c>
      <c r="L83" s="14">
        <f>SUMIFS('Parts list'!$V$4:$V$185,'Parts list'!$H$4:$H$185,$C83,'Parts list'!$M$4:$M$185,"Yes")</f>
        <v>27</v>
      </c>
      <c r="M83" s="14">
        <f t="shared" si="6"/>
        <v>2</v>
      </c>
      <c r="N83" s="4" t="s">
        <v>1554</v>
      </c>
      <c r="O83" s="18"/>
      <c r="P83" s="18"/>
      <c r="Q83" s="45" t="str">
        <f t="shared" si="7"/>
        <v>per piece</v>
      </c>
      <c r="R83" s="13">
        <f t="shared" si="8"/>
        <v>1.24E-2</v>
      </c>
      <c r="S83" s="16">
        <f>SUMIFS('Parts list'!$W$4:$W$185,'Parts list'!$H$4:$H$185,$C83,'Parts list'!$M$4:$M$185,"Yes")</f>
        <v>0.33479999999999999</v>
      </c>
      <c r="T83" s="45"/>
      <c r="U83" s="4" t="s">
        <v>1555</v>
      </c>
      <c r="V83" s="4"/>
    </row>
    <row r="84" spans="1:22" ht="15" customHeight="1" x14ac:dyDescent="0.2">
      <c r="A84" s="8">
        <v>81</v>
      </c>
      <c r="B84" s="4" t="s">
        <v>1562</v>
      </c>
      <c r="C84" s="4" t="s">
        <v>1190</v>
      </c>
      <c r="D84" s="5" t="s">
        <v>1188</v>
      </c>
      <c r="E84" s="5" t="s">
        <v>154</v>
      </c>
      <c r="F84" s="5" t="s">
        <v>1191</v>
      </c>
      <c r="G84" s="4" t="s">
        <v>174</v>
      </c>
      <c r="H84" s="4" t="s">
        <v>175</v>
      </c>
      <c r="I84" s="4" t="s">
        <v>1186</v>
      </c>
      <c r="J84" s="14">
        <f>SUMIFS('Parts list'!$C$4:$C$185,'Parts list'!$H$4:$H$185,$C84,'Parts list'!$M$4:$M$185,"Yes")</f>
        <v>2</v>
      </c>
      <c r="K84" s="14">
        <f>SUMIFS('Parts list'!$R$4:$R$185,'Parts list'!$H$4:$H$185,$C84,'Parts list'!$M$4:$M$185,"Yes")</f>
        <v>10</v>
      </c>
      <c r="L84" s="14">
        <f>SUMIFS('Parts list'!$V$4:$V$185,'Parts list'!$H$4:$H$185,$C84,'Parts list'!$M$4:$M$185,"Yes")</f>
        <v>12</v>
      </c>
      <c r="M84" s="14">
        <f t="shared" si="6"/>
        <v>2</v>
      </c>
      <c r="N84" s="4" t="s">
        <v>1554</v>
      </c>
      <c r="O84" s="18"/>
      <c r="P84" s="18"/>
      <c r="Q84" s="45" t="str">
        <f t="shared" si="7"/>
        <v>per piece</v>
      </c>
      <c r="R84" s="13">
        <f t="shared" si="8"/>
        <v>3.4299999999999997E-2</v>
      </c>
      <c r="S84" s="16">
        <f>SUMIFS('Parts list'!$W$4:$W$185,'Parts list'!$H$4:$H$185,$C84,'Parts list'!$M$4:$M$185,"Yes")</f>
        <v>0.41159999999999997</v>
      </c>
      <c r="T84" s="45"/>
      <c r="U84" s="4" t="s">
        <v>1555</v>
      </c>
      <c r="V84" s="4"/>
    </row>
    <row r="85" spans="1:22" ht="53.25" customHeight="1" x14ac:dyDescent="0.2">
      <c r="A85" s="8">
        <v>82</v>
      </c>
      <c r="B85" s="4" t="s">
        <v>1562</v>
      </c>
      <c r="C85" s="4" t="s">
        <v>1202</v>
      </c>
      <c r="D85" s="5" t="s">
        <v>1201</v>
      </c>
      <c r="E85" s="5" t="s">
        <v>154</v>
      </c>
      <c r="F85" s="5" t="s">
        <v>1203</v>
      </c>
      <c r="G85" s="4" t="s">
        <v>158</v>
      </c>
      <c r="H85" s="4" t="s">
        <v>175</v>
      </c>
      <c r="I85" s="4" t="s">
        <v>1611</v>
      </c>
      <c r="J85" s="14">
        <f>SUMIFS('Parts list'!$C$4:$C$185,'Parts list'!$H$4:$H$185,$C85,'Parts list'!$M$4:$M$185,"Yes")</f>
        <v>3</v>
      </c>
      <c r="K85" s="14">
        <f>SUMIFS('Parts list'!$R$4:$R$185,'Parts list'!$H$4:$H$185,$C85,'Parts list'!$M$4:$M$185,"Yes")</f>
        <v>15</v>
      </c>
      <c r="L85" s="14">
        <f>SUMIFS('Parts list'!$V$4:$V$185,'Parts list'!$H$4:$H$185,$C85,'Parts list'!$M$4:$M$185,"Yes")</f>
        <v>19</v>
      </c>
      <c r="M85" s="14">
        <f t="shared" si="6"/>
        <v>4</v>
      </c>
      <c r="N85" s="4" t="s">
        <v>1554</v>
      </c>
      <c r="O85" s="18"/>
      <c r="P85" s="18"/>
      <c r="Q85" s="45" t="str">
        <f t="shared" si="7"/>
        <v>per piece</v>
      </c>
      <c r="R85" s="13">
        <f t="shared" si="8"/>
        <v>1.0526315789473684E-3</v>
      </c>
      <c r="S85" s="16">
        <f>SUMIFS('Parts list'!$W$4:$W$185,'Parts list'!$H$4:$H$185,$C85,'Parts list'!$M$4:$M$185,"Yes")</f>
        <v>0.02</v>
      </c>
      <c r="T85" s="45"/>
      <c r="U85" s="4" t="s">
        <v>1555</v>
      </c>
      <c r="V85" s="4" t="s">
        <v>1583</v>
      </c>
    </row>
    <row r="86" spans="1:22" ht="15" customHeight="1" x14ac:dyDescent="0.2">
      <c r="A86" s="8">
        <v>83</v>
      </c>
      <c r="B86" s="4" t="s">
        <v>1562</v>
      </c>
      <c r="C86" s="4" t="s">
        <v>1213</v>
      </c>
      <c r="D86" s="5" t="s">
        <v>244</v>
      </c>
      <c r="E86" s="5" t="s">
        <v>154</v>
      </c>
      <c r="F86" s="5" t="s">
        <v>1214</v>
      </c>
      <c r="G86" s="4" t="s">
        <v>174</v>
      </c>
      <c r="H86" s="4" t="s">
        <v>175</v>
      </c>
      <c r="I86" s="4" t="s">
        <v>1211</v>
      </c>
      <c r="J86" s="14">
        <f>SUMIFS('Parts list'!$C$4:$C$185,'Parts list'!$H$4:$H$185,$C86,'Parts list'!$M$4:$M$185,"Yes")</f>
        <v>7</v>
      </c>
      <c r="K86" s="14">
        <f>SUMIFS('Parts list'!$R$4:$R$185,'Parts list'!$H$4:$H$185,$C86,'Parts list'!$M$4:$M$185,"Yes")</f>
        <v>35</v>
      </c>
      <c r="L86" s="14">
        <f>SUMIFS('Parts list'!$V$4:$V$185,'Parts list'!$H$4:$H$185,$C86,'Parts list'!$M$4:$M$185,"Yes")</f>
        <v>37</v>
      </c>
      <c r="M86" s="14">
        <f t="shared" si="6"/>
        <v>2</v>
      </c>
      <c r="N86" s="4" t="s">
        <v>1554</v>
      </c>
      <c r="O86" s="18"/>
      <c r="P86" s="18"/>
      <c r="Q86" s="45" t="str">
        <f t="shared" si="7"/>
        <v>per piece</v>
      </c>
      <c r="R86" s="13">
        <f t="shared" si="8"/>
        <v>1.95E-2</v>
      </c>
      <c r="S86" s="16">
        <f>SUMIFS('Parts list'!$W$4:$W$185,'Parts list'!$H$4:$H$185,$C86,'Parts list'!$M$4:$M$185,"Yes")</f>
        <v>0.72150000000000003</v>
      </c>
      <c r="T86" s="45"/>
      <c r="U86" s="4" t="s">
        <v>1555</v>
      </c>
      <c r="V86" s="4"/>
    </row>
    <row r="87" spans="1:22" ht="15" customHeight="1" x14ac:dyDescent="0.2">
      <c r="A87" s="8">
        <v>84</v>
      </c>
      <c r="B87" s="4" t="s">
        <v>1562</v>
      </c>
      <c r="C87" s="4" t="s">
        <v>1221</v>
      </c>
      <c r="D87" s="5" t="s">
        <v>750</v>
      </c>
      <c r="E87" s="5" t="s">
        <v>154</v>
      </c>
      <c r="F87" s="5" t="s">
        <v>1222</v>
      </c>
      <c r="G87" s="4" t="s">
        <v>174</v>
      </c>
      <c r="H87" s="4" t="s">
        <v>175</v>
      </c>
      <c r="I87" s="4" t="s">
        <v>1219</v>
      </c>
      <c r="J87" s="14">
        <f>SUMIFS('Parts list'!$C$4:$C$185,'Parts list'!$H$4:$H$185,$C87,'Parts list'!$M$4:$M$185,"Yes")</f>
        <v>3</v>
      </c>
      <c r="K87" s="14">
        <f>SUMIFS('Parts list'!$R$4:$R$185,'Parts list'!$H$4:$H$185,$C87,'Parts list'!$M$4:$M$185,"Yes")</f>
        <v>15</v>
      </c>
      <c r="L87" s="14">
        <f>SUMIFS('Parts list'!$V$4:$V$185,'Parts list'!$H$4:$H$185,$C87,'Parts list'!$M$4:$M$185,"Yes")</f>
        <v>17</v>
      </c>
      <c r="M87" s="14">
        <f t="shared" si="6"/>
        <v>2</v>
      </c>
      <c r="N87" s="4" t="s">
        <v>1554</v>
      </c>
      <c r="O87" s="18"/>
      <c r="P87" s="18"/>
      <c r="Q87" s="45" t="str">
        <f t="shared" si="7"/>
        <v>per piece</v>
      </c>
      <c r="R87" s="13">
        <f t="shared" si="8"/>
        <v>1.04E-2</v>
      </c>
      <c r="S87" s="16">
        <f>SUMIFS('Parts list'!$W$4:$W$185,'Parts list'!$H$4:$H$185,$C87,'Parts list'!$M$4:$M$185,"Yes")</f>
        <v>0.17679999999999998</v>
      </c>
      <c r="T87" s="45"/>
      <c r="U87" s="4" t="s">
        <v>1555</v>
      </c>
      <c r="V87" s="4"/>
    </row>
    <row r="88" spans="1:22" ht="27.75" customHeight="1" x14ac:dyDescent="0.2">
      <c r="A88" s="8">
        <v>85</v>
      </c>
      <c r="B88" s="4" t="s">
        <v>1562</v>
      </c>
      <c r="C88" s="4" t="s">
        <v>1230</v>
      </c>
      <c r="D88" s="5" t="s">
        <v>1228</v>
      </c>
      <c r="E88" s="5" t="s">
        <v>154</v>
      </c>
      <c r="F88" s="5" t="s">
        <v>1231</v>
      </c>
      <c r="G88" s="4" t="s">
        <v>174</v>
      </c>
      <c r="H88" s="4" t="s">
        <v>175</v>
      </c>
      <c r="I88" s="4" t="s">
        <v>1226</v>
      </c>
      <c r="J88" s="14">
        <f>SUMIFS('Parts list'!$C$4:$C$185,'Parts list'!$H$4:$H$185,$C88,'Parts list'!$M$4:$M$185,"Yes")</f>
        <v>11</v>
      </c>
      <c r="K88" s="14">
        <f>SUMIFS('Parts list'!$R$4:$R$185,'Parts list'!$H$4:$H$185,$C88,'Parts list'!$M$4:$M$185,"Yes")</f>
        <v>55</v>
      </c>
      <c r="L88" s="14">
        <f>SUMIFS('Parts list'!$V$4:$V$185,'Parts list'!$H$4:$H$185,$C88,'Parts list'!$M$4:$M$185,"Yes")</f>
        <v>58</v>
      </c>
      <c r="M88" s="14">
        <f t="shared" si="6"/>
        <v>3</v>
      </c>
      <c r="N88" s="4" t="s">
        <v>1554</v>
      </c>
      <c r="O88" s="18"/>
      <c r="P88" s="18"/>
      <c r="Q88" s="45" t="str">
        <f t="shared" si="7"/>
        <v>per piece</v>
      </c>
      <c r="R88" s="13">
        <f t="shared" si="8"/>
        <v>8.0000000000000004E-4</v>
      </c>
      <c r="S88" s="16">
        <f>SUMIFS('Parts list'!$W$4:$W$185,'Parts list'!$H$4:$H$185,$C88,'Parts list'!$M$4:$M$185,"Yes")</f>
        <v>4.6400000000000004E-2</v>
      </c>
      <c r="T88" s="45"/>
      <c r="U88" s="4" t="s">
        <v>1555</v>
      </c>
      <c r="V88" s="4"/>
    </row>
    <row r="89" spans="1:22" ht="27.75" customHeight="1" x14ac:dyDescent="0.2">
      <c r="A89" s="8">
        <v>86</v>
      </c>
      <c r="B89" s="4" t="s">
        <v>1562</v>
      </c>
      <c r="C89" s="4" t="s">
        <v>1244</v>
      </c>
      <c r="D89" s="5" t="s">
        <v>1243</v>
      </c>
      <c r="E89" s="5" t="s">
        <v>154</v>
      </c>
      <c r="F89" s="5" t="s">
        <v>1245</v>
      </c>
      <c r="G89" s="4" t="s">
        <v>158</v>
      </c>
      <c r="H89" s="4" t="s">
        <v>175</v>
      </c>
      <c r="I89" s="4" t="s">
        <v>1241</v>
      </c>
      <c r="J89" s="14">
        <f>SUMIFS('Parts list'!$C$4:$C$185,'Parts list'!$H$4:$H$185,$C89,'Parts list'!$M$4:$M$185,"Yes")</f>
        <v>8</v>
      </c>
      <c r="K89" s="14">
        <f>SUMIFS('Parts list'!$R$4:$R$185,'Parts list'!$H$4:$H$185,$C89,'Parts list'!$M$4:$M$185,"Yes")</f>
        <v>40</v>
      </c>
      <c r="L89" s="14">
        <f>SUMIFS('Parts list'!$V$4:$V$185,'Parts list'!$H$4:$H$185,$C89,'Parts list'!$M$4:$M$185,"Yes")</f>
        <v>42</v>
      </c>
      <c r="M89" s="14">
        <f t="shared" si="6"/>
        <v>2</v>
      </c>
      <c r="N89" s="4" t="s">
        <v>1554</v>
      </c>
      <c r="O89" s="18"/>
      <c r="P89" s="18"/>
      <c r="Q89" s="45" t="str">
        <f t="shared" si="7"/>
        <v>per piece</v>
      </c>
      <c r="R89" s="13">
        <f t="shared" si="8"/>
        <v>2.5999999999999999E-3</v>
      </c>
      <c r="S89" s="16">
        <f>SUMIFS('Parts list'!$W$4:$W$185,'Parts list'!$H$4:$H$185,$C89,'Parts list'!$M$4:$M$185,"Yes")</f>
        <v>0.10919999999999999</v>
      </c>
      <c r="T89" s="45"/>
      <c r="U89" s="4" t="s">
        <v>1555</v>
      </c>
      <c r="V89" s="4"/>
    </row>
    <row r="90" spans="1:22" ht="15" customHeight="1" x14ac:dyDescent="0.2">
      <c r="A90" s="8">
        <v>87</v>
      </c>
      <c r="B90" s="4" t="s">
        <v>1562</v>
      </c>
      <c r="C90" s="4" t="s">
        <v>1253</v>
      </c>
      <c r="D90" s="5" t="s">
        <v>1252</v>
      </c>
      <c r="E90" s="5" t="s">
        <v>154</v>
      </c>
      <c r="F90" s="5" t="s">
        <v>1254</v>
      </c>
      <c r="G90" s="4" t="s">
        <v>174</v>
      </c>
      <c r="H90" s="4" t="s">
        <v>175</v>
      </c>
      <c r="I90" s="4" t="s">
        <v>1250</v>
      </c>
      <c r="J90" s="14">
        <f>SUMIFS('Parts list'!$C$4:$C$185,'Parts list'!$H$4:$H$185,$C90,'Parts list'!$M$4:$M$185,"Yes")</f>
        <v>1</v>
      </c>
      <c r="K90" s="14">
        <f>SUMIFS('Parts list'!$R$4:$R$185,'Parts list'!$H$4:$H$185,$C90,'Parts list'!$M$4:$M$185,"Yes")</f>
        <v>5</v>
      </c>
      <c r="L90" s="14">
        <f>SUMIFS('Parts list'!$V$4:$V$185,'Parts list'!$H$4:$H$185,$C90,'Parts list'!$M$4:$M$185,"Yes")</f>
        <v>7</v>
      </c>
      <c r="M90" s="14">
        <f t="shared" si="6"/>
        <v>2</v>
      </c>
      <c r="N90" s="4" t="s">
        <v>1554</v>
      </c>
      <c r="O90" s="18"/>
      <c r="P90" s="18"/>
      <c r="Q90" s="45" t="str">
        <f t="shared" si="7"/>
        <v>per piece</v>
      </c>
      <c r="R90" s="13">
        <f t="shared" si="8"/>
        <v>8.0000000000000004E-4</v>
      </c>
      <c r="S90" s="16">
        <f>SUMIFS('Parts list'!$W$4:$W$185,'Parts list'!$H$4:$H$185,$C90,'Parts list'!$M$4:$M$185,"Yes")</f>
        <v>5.5999999999999999E-3</v>
      </c>
      <c r="T90" s="45"/>
      <c r="U90" s="4" t="s">
        <v>1555</v>
      </c>
      <c r="V90" s="4"/>
    </row>
    <row r="91" spans="1:22" ht="15" customHeight="1" x14ac:dyDescent="0.2">
      <c r="A91" s="8">
        <v>88</v>
      </c>
      <c r="B91" s="4" t="s">
        <v>1562</v>
      </c>
      <c r="C91" s="4" t="s">
        <v>1263</v>
      </c>
      <c r="D91" s="5" t="s">
        <v>1262</v>
      </c>
      <c r="E91" s="5" t="s">
        <v>154</v>
      </c>
      <c r="F91" s="5" t="s">
        <v>1264</v>
      </c>
      <c r="G91" s="4" t="s">
        <v>174</v>
      </c>
      <c r="H91" s="4" t="s">
        <v>175</v>
      </c>
      <c r="I91" s="4" t="s">
        <v>1260</v>
      </c>
      <c r="J91" s="14">
        <f>SUMIFS('Parts list'!$C$4:$C$185,'Parts list'!$H$4:$H$185,$C91,'Parts list'!$M$4:$M$185,"Yes")</f>
        <v>1</v>
      </c>
      <c r="K91" s="14">
        <f>SUMIFS('Parts list'!$R$4:$R$185,'Parts list'!$H$4:$H$185,$C91,'Parts list'!$M$4:$M$185,"Yes")</f>
        <v>5</v>
      </c>
      <c r="L91" s="14">
        <f>SUMIFS('Parts list'!$V$4:$V$185,'Parts list'!$H$4:$H$185,$C91,'Parts list'!$M$4:$M$185,"Yes")</f>
        <v>7</v>
      </c>
      <c r="M91" s="14">
        <f t="shared" si="6"/>
        <v>2</v>
      </c>
      <c r="N91" s="4" t="s">
        <v>1554</v>
      </c>
      <c r="O91" s="18"/>
      <c r="P91" s="18"/>
      <c r="Q91" s="45" t="str">
        <f t="shared" si="7"/>
        <v>per piece</v>
      </c>
      <c r="R91" s="13">
        <f t="shared" si="8"/>
        <v>2.9499999999999998E-2</v>
      </c>
      <c r="S91" s="16">
        <f>SUMIFS('Parts list'!$W$4:$W$185,'Parts list'!$H$4:$H$185,$C91,'Parts list'!$M$4:$M$185,"Yes")</f>
        <v>0.20649999999999999</v>
      </c>
      <c r="T91" s="45"/>
      <c r="U91" s="4" t="s">
        <v>1555</v>
      </c>
      <c r="V91" s="4"/>
    </row>
    <row r="92" spans="1:22" ht="15" customHeight="1" x14ac:dyDescent="0.2">
      <c r="A92" s="8">
        <v>89</v>
      </c>
      <c r="B92" s="4" t="s">
        <v>1562</v>
      </c>
      <c r="C92" s="4" t="s">
        <v>1272</v>
      </c>
      <c r="D92" s="5" t="s">
        <v>1271</v>
      </c>
      <c r="E92" s="5" t="s">
        <v>154</v>
      </c>
      <c r="F92" s="5" t="s">
        <v>1273</v>
      </c>
      <c r="G92" s="4" t="s">
        <v>158</v>
      </c>
      <c r="H92" s="4" t="s">
        <v>175</v>
      </c>
      <c r="I92" s="4" t="s">
        <v>1612</v>
      </c>
      <c r="J92" s="14">
        <f>SUMIFS('Parts list'!$C$4:$C$185,'Parts list'!$H$4:$H$185,$C92,'Parts list'!$M$4:$M$185,"Yes")</f>
        <v>2</v>
      </c>
      <c r="K92" s="14">
        <f>SUMIFS('Parts list'!$R$4:$R$185,'Parts list'!$H$4:$H$185,$C92,'Parts list'!$M$4:$M$185,"Yes")</f>
        <v>10</v>
      </c>
      <c r="L92" s="14">
        <f>SUMIFS('Parts list'!$V$4:$V$185,'Parts list'!$H$4:$H$185,$C92,'Parts list'!$M$4:$M$185,"Yes")</f>
        <v>14</v>
      </c>
      <c r="M92" s="14">
        <f t="shared" si="6"/>
        <v>4</v>
      </c>
      <c r="N92" s="4" t="s">
        <v>1554</v>
      </c>
      <c r="O92" s="18"/>
      <c r="P92" s="18"/>
      <c r="Q92" s="45" t="str">
        <f t="shared" si="7"/>
        <v>per piece</v>
      </c>
      <c r="R92" s="13">
        <f t="shared" si="8"/>
        <v>2E-3</v>
      </c>
      <c r="S92" s="16">
        <f>SUMIFS('Parts list'!$W$4:$W$185,'Parts list'!$H$4:$H$185,$C92,'Parts list'!$M$4:$M$185,"Yes")</f>
        <v>2.8000000000000001E-2</v>
      </c>
      <c r="T92" s="45"/>
      <c r="U92" s="4" t="s">
        <v>1555</v>
      </c>
      <c r="V92" s="4"/>
    </row>
    <row r="93" spans="1:22" ht="15" customHeight="1" x14ac:dyDescent="0.2">
      <c r="A93" s="8">
        <v>90</v>
      </c>
      <c r="B93" s="4" t="s">
        <v>1562</v>
      </c>
      <c r="C93" s="4" t="s">
        <v>1281</v>
      </c>
      <c r="D93" s="5" t="s">
        <v>1280</v>
      </c>
      <c r="E93" s="5" t="s">
        <v>154</v>
      </c>
      <c r="F93" s="5" t="s">
        <v>1282</v>
      </c>
      <c r="G93" s="4" t="s">
        <v>174</v>
      </c>
      <c r="H93" s="4" t="s">
        <v>175</v>
      </c>
      <c r="I93" s="4" t="s">
        <v>1278</v>
      </c>
      <c r="J93" s="14">
        <f>SUMIFS('Parts list'!$C$4:$C$185,'Parts list'!$H$4:$H$185,$C93,'Parts list'!$M$4:$M$185,"Yes")</f>
        <v>2</v>
      </c>
      <c r="K93" s="14">
        <f>SUMIFS('Parts list'!$R$4:$R$185,'Parts list'!$H$4:$H$185,$C93,'Parts list'!$M$4:$M$185,"Yes")</f>
        <v>10</v>
      </c>
      <c r="L93" s="14">
        <f>SUMIFS('Parts list'!$V$4:$V$185,'Parts list'!$H$4:$H$185,$C93,'Parts list'!$M$4:$M$185,"Yes")</f>
        <v>12</v>
      </c>
      <c r="M93" s="14">
        <f t="shared" si="6"/>
        <v>2</v>
      </c>
      <c r="N93" s="4" t="s">
        <v>1554</v>
      </c>
      <c r="O93" s="18"/>
      <c r="P93" s="18"/>
      <c r="Q93" s="45" t="str">
        <f t="shared" si="7"/>
        <v>per piece</v>
      </c>
      <c r="R93" s="13">
        <f t="shared" si="8"/>
        <v>0.02</v>
      </c>
      <c r="S93" s="16">
        <f>SUMIFS('Parts list'!$W$4:$W$185,'Parts list'!$H$4:$H$185,$C93,'Parts list'!$M$4:$M$185,"Yes")</f>
        <v>0.24</v>
      </c>
      <c r="T93" s="45"/>
      <c r="U93" s="4" t="s">
        <v>1555</v>
      </c>
      <c r="V93" s="4"/>
    </row>
    <row r="94" spans="1:22" ht="27.75" customHeight="1" x14ac:dyDescent="0.2">
      <c r="A94" s="8">
        <v>91</v>
      </c>
      <c r="B94" s="4" t="s">
        <v>1562</v>
      </c>
      <c r="C94" s="4" t="s">
        <v>1289</v>
      </c>
      <c r="D94" s="5" t="s">
        <v>1288</v>
      </c>
      <c r="E94" s="5" t="s">
        <v>154</v>
      </c>
      <c r="F94" s="5" t="s">
        <v>1290</v>
      </c>
      <c r="G94" s="4" t="s">
        <v>220</v>
      </c>
      <c r="H94" s="4" t="s">
        <v>220</v>
      </c>
      <c r="I94" s="4" t="s">
        <v>1286</v>
      </c>
      <c r="J94" s="14">
        <f>SUMIFS('Parts list'!$C$4:$C$185,'Parts list'!$H$4:$H$185,$C94,'Parts list'!$M$4:$M$185,"Yes")</f>
        <v>2</v>
      </c>
      <c r="K94" s="14">
        <f>SUMIFS('Parts list'!$R$4:$R$185,'Parts list'!$H$4:$H$185,$C94,'Parts list'!$M$4:$M$185,"Yes")</f>
        <v>10</v>
      </c>
      <c r="L94" s="14">
        <f>SUMIFS('Parts list'!$V$4:$V$185,'Parts list'!$H$4:$H$185,$C94,'Parts list'!$M$4:$M$185,"Yes")</f>
        <v>12</v>
      </c>
      <c r="M94" s="14">
        <f t="shared" si="6"/>
        <v>2</v>
      </c>
      <c r="N94" s="4" t="s">
        <v>1560</v>
      </c>
      <c r="O94" s="18"/>
      <c r="P94" s="18"/>
      <c r="Q94" s="45" t="str">
        <f t="shared" si="7"/>
        <v>per piece</v>
      </c>
      <c r="R94" s="13">
        <f t="shared" si="8"/>
        <v>2E-3</v>
      </c>
      <c r="S94" s="16">
        <f>SUMIFS('Parts list'!$W$4:$W$185,'Parts list'!$H$4:$H$185,$C94,'Parts list'!$M$4:$M$185,"Yes")</f>
        <v>2.4E-2</v>
      </c>
      <c r="T94" s="45" t="s">
        <v>177</v>
      </c>
      <c r="U94" s="4" t="s">
        <v>1613</v>
      </c>
      <c r="V94" s="4"/>
    </row>
    <row r="95" spans="1:22" ht="27.75" customHeight="1" x14ac:dyDescent="0.2">
      <c r="A95" s="8">
        <v>92</v>
      </c>
      <c r="B95" s="4" t="s">
        <v>1562</v>
      </c>
      <c r="C95" s="4" t="s">
        <v>1298</v>
      </c>
      <c r="D95" s="5" t="s">
        <v>1296</v>
      </c>
      <c r="E95" s="5" t="s">
        <v>347</v>
      </c>
      <c r="F95" s="5" t="s">
        <v>1299</v>
      </c>
      <c r="G95" s="4" t="s">
        <v>174</v>
      </c>
      <c r="H95" s="4" t="s">
        <v>175</v>
      </c>
      <c r="I95" s="4" t="s">
        <v>1294</v>
      </c>
      <c r="J95" s="14">
        <f>SUMIFS('Parts list'!$C$4:$C$185,'Parts list'!$H$4:$H$185,$C95,'Parts list'!$M$4:$M$185,"Yes")</f>
        <v>2</v>
      </c>
      <c r="K95" s="14">
        <f>SUMIFS('Parts list'!$R$4:$R$185,'Parts list'!$H$4:$H$185,$C95,'Parts list'!$M$4:$M$185,"Yes")</f>
        <v>10</v>
      </c>
      <c r="L95" s="14">
        <f>SUMIFS('Parts list'!$V$4:$V$185,'Parts list'!$H$4:$H$185,$C95,'Parts list'!$M$4:$M$185,"Yes")</f>
        <v>12</v>
      </c>
      <c r="M95" s="14">
        <f t="shared" si="6"/>
        <v>2</v>
      </c>
      <c r="N95" s="4" t="s">
        <v>1554</v>
      </c>
      <c r="O95" s="18"/>
      <c r="P95" s="18"/>
      <c r="Q95" s="45" t="str">
        <f t="shared" si="7"/>
        <v>per piece</v>
      </c>
      <c r="R95" s="13">
        <f t="shared" si="8"/>
        <v>2E-3</v>
      </c>
      <c r="S95" s="16">
        <f>SUMIFS('Parts list'!$W$4:$W$185,'Parts list'!$H$4:$H$185,$C95,'Parts list'!$M$4:$M$185,"Yes")</f>
        <v>2.4E-2</v>
      </c>
      <c r="T95" s="45" t="s">
        <v>177</v>
      </c>
      <c r="U95" s="4" t="s">
        <v>1614</v>
      </c>
      <c r="V95" s="4"/>
    </row>
    <row r="96" spans="1:22" ht="27.75" customHeight="1" x14ac:dyDescent="0.2">
      <c r="A96" s="8">
        <v>93</v>
      </c>
      <c r="B96" s="4" t="s">
        <v>1562</v>
      </c>
      <c r="C96" s="4" t="s">
        <v>1305</v>
      </c>
      <c r="D96" s="5" t="s">
        <v>1243</v>
      </c>
      <c r="E96" s="5" t="s">
        <v>347</v>
      </c>
      <c r="F96" s="5" t="s">
        <v>1306</v>
      </c>
      <c r="G96" s="4" t="s">
        <v>174</v>
      </c>
      <c r="H96" s="4" t="s">
        <v>175</v>
      </c>
      <c r="I96" s="4" t="s">
        <v>1303</v>
      </c>
      <c r="J96" s="14">
        <f>SUMIFS('Parts list'!$C$4:$C$185,'Parts list'!$H$4:$H$185,$C96,'Parts list'!$M$4:$M$185,"Yes")</f>
        <v>10</v>
      </c>
      <c r="K96" s="14">
        <f>SUMIFS('Parts list'!$R$4:$R$185,'Parts list'!$H$4:$H$185,$C96,'Parts list'!$M$4:$M$185,"Yes")</f>
        <v>50</v>
      </c>
      <c r="L96" s="14">
        <f>SUMIFS('Parts list'!$V$4:$V$185,'Parts list'!$H$4:$H$185,$C96,'Parts list'!$M$4:$M$185,"Yes")</f>
        <v>53</v>
      </c>
      <c r="M96" s="14">
        <f t="shared" si="6"/>
        <v>3</v>
      </c>
      <c r="N96" s="4" t="s">
        <v>1554</v>
      </c>
      <c r="O96" s="18"/>
      <c r="P96" s="18"/>
      <c r="Q96" s="45" t="str">
        <f t="shared" si="7"/>
        <v>per piece</v>
      </c>
      <c r="R96" s="13">
        <f t="shared" si="8"/>
        <v>0.03</v>
      </c>
      <c r="S96" s="16">
        <f>SUMIFS('Parts list'!$W$4:$W$185,'Parts list'!$H$4:$H$185,$C96,'Parts list'!$M$4:$M$185,"Yes")</f>
        <v>1.5899999999999999</v>
      </c>
      <c r="T96" s="45" t="s">
        <v>177</v>
      </c>
      <c r="U96" s="4" t="s">
        <v>1615</v>
      </c>
      <c r="V96" s="4"/>
    </row>
    <row r="97" spans="1:22" ht="27.75" customHeight="1" x14ac:dyDescent="0.2">
      <c r="A97" s="8">
        <v>94</v>
      </c>
      <c r="B97" s="4" t="s">
        <v>1562</v>
      </c>
      <c r="C97" s="4" t="s">
        <v>1313</v>
      </c>
      <c r="D97" s="5" t="s">
        <v>1312</v>
      </c>
      <c r="E97" s="5" t="s">
        <v>154</v>
      </c>
      <c r="F97" s="5" t="s">
        <v>1314</v>
      </c>
      <c r="G97" s="4" t="s">
        <v>174</v>
      </c>
      <c r="H97" s="4" t="s">
        <v>220</v>
      </c>
      <c r="I97" s="4" t="s">
        <v>1310</v>
      </c>
      <c r="J97" s="14">
        <f>SUMIFS('Parts list'!$C$4:$C$185,'Parts list'!$H$4:$H$185,$C97,'Parts list'!$M$4:$M$185,"Yes")</f>
        <v>2</v>
      </c>
      <c r="K97" s="14">
        <f>SUMIFS('Parts list'!$R$4:$R$185,'Parts list'!$H$4:$H$185,$C97,'Parts list'!$M$4:$M$185,"Yes")</f>
        <v>10</v>
      </c>
      <c r="L97" s="14">
        <f>SUMIFS('Parts list'!$V$4:$V$185,'Parts list'!$H$4:$H$185,$C97,'Parts list'!$M$4:$M$185,"Yes")</f>
        <v>12</v>
      </c>
      <c r="M97" s="14">
        <f t="shared" si="6"/>
        <v>2</v>
      </c>
      <c r="N97" s="4" t="s">
        <v>1560</v>
      </c>
      <c r="O97" s="18"/>
      <c r="P97" s="18"/>
      <c r="Q97" s="45" t="str">
        <f t="shared" si="7"/>
        <v>per piece</v>
      </c>
      <c r="R97" s="13">
        <f t="shared" si="8"/>
        <v>2E-3</v>
      </c>
      <c r="S97" s="16">
        <f>SUMIFS('Parts list'!$W$4:$W$185,'Parts list'!$H$4:$H$185,$C97,'Parts list'!$M$4:$M$185,"Yes")</f>
        <v>2.4E-2</v>
      </c>
      <c r="T97" s="45"/>
      <c r="U97" s="4" t="s">
        <v>1561</v>
      </c>
      <c r="V97" s="4"/>
    </row>
    <row r="98" spans="1:22" ht="15" customHeight="1" x14ac:dyDescent="0.2">
      <c r="A98" s="8">
        <v>95</v>
      </c>
      <c r="B98" s="4" t="s">
        <v>1562</v>
      </c>
      <c r="C98" s="4" t="s">
        <v>1321</v>
      </c>
      <c r="D98" s="5" t="s">
        <v>1320</v>
      </c>
      <c r="E98" s="5" t="s">
        <v>154</v>
      </c>
      <c r="F98" s="5" t="s">
        <v>1322</v>
      </c>
      <c r="G98" s="4" t="s">
        <v>174</v>
      </c>
      <c r="H98" s="4" t="s">
        <v>175</v>
      </c>
      <c r="I98" s="4" t="s">
        <v>1318</v>
      </c>
      <c r="J98" s="14">
        <f>SUMIFS('Parts list'!$C$4:$C$185,'Parts list'!$H$4:$H$185,$C98,'Parts list'!$M$4:$M$185,"Yes")</f>
        <v>1</v>
      </c>
      <c r="K98" s="14">
        <f>SUMIFS('Parts list'!$R$4:$R$185,'Parts list'!$H$4:$H$185,$C98,'Parts list'!$M$4:$M$185,"Yes")</f>
        <v>5</v>
      </c>
      <c r="L98" s="14">
        <f>SUMIFS('Parts list'!$V$4:$V$185,'Parts list'!$H$4:$H$185,$C98,'Parts list'!$M$4:$M$185,"Yes")</f>
        <v>7</v>
      </c>
      <c r="M98" s="14">
        <f t="shared" si="6"/>
        <v>2</v>
      </c>
      <c r="N98" s="4" t="s">
        <v>1554</v>
      </c>
      <c r="O98" s="18"/>
      <c r="P98" s="18"/>
      <c r="Q98" s="45" t="str">
        <f t="shared" si="7"/>
        <v>per piece</v>
      </c>
      <c r="R98" s="13">
        <f t="shared" si="8"/>
        <v>2.3E-3</v>
      </c>
      <c r="S98" s="16">
        <f>SUMIFS('Parts list'!$W$4:$W$185,'Parts list'!$H$4:$H$185,$C98,'Parts list'!$M$4:$M$185,"Yes")</f>
        <v>1.61E-2</v>
      </c>
      <c r="T98" s="45"/>
      <c r="U98" s="4" t="s">
        <v>1555</v>
      </c>
      <c r="V98" s="4"/>
    </row>
    <row r="99" spans="1:22" ht="27.75" customHeight="1" x14ac:dyDescent="0.2">
      <c r="A99" s="8">
        <v>96</v>
      </c>
      <c r="B99" s="4" t="s">
        <v>1562</v>
      </c>
      <c r="C99" s="4" t="s">
        <v>1335</v>
      </c>
      <c r="D99" s="5" t="s">
        <v>1334</v>
      </c>
      <c r="E99" s="5" t="s">
        <v>347</v>
      </c>
      <c r="F99" s="5" t="s">
        <v>1336</v>
      </c>
      <c r="G99" s="4" t="s">
        <v>174</v>
      </c>
      <c r="H99" s="4" t="s">
        <v>175</v>
      </c>
      <c r="I99" s="4" t="s">
        <v>1332</v>
      </c>
      <c r="J99" s="14">
        <f>SUMIFS('Parts list'!$C$4:$C$185,'Parts list'!$H$4:$H$185,$C99,'Parts list'!$M$4:$M$185,"Yes")</f>
        <v>8</v>
      </c>
      <c r="K99" s="14">
        <f>SUMIFS('Parts list'!$R$4:$R$185,'Parts list'!$H$4:$H$185,$C99,'Parts list'!$M$4:$M$185,"Yes")</f>
        <v>40</v>
      </c>
      <c r="L99" s="14">
        <f>SUMIFS('Parts list'!$V$4:$V$185,'Parts list'!$H$4:$H$185,$C99,'Parts list'!$M$4:$M$185,"Yes")</f>
        <v>42</v>
      </c>
      <c r="M99" s="14">
        <f t="shared" si="6"/>
        <v>2</v>
      </c>
      <c r="N99" s="4" t="s">
        <v>1554</v>
      </c>
      <c r="O99" s="18"/>
      <c r="P99" s="18"/>
      <c r="Q99" s="45" t="str">
        <f t="shared" si="7"/>
        <v>per piece</v>
      </c>
      <c r="R99" s="13">
        <f t="shared" si="8"/>
        <v>0.03</v>
      </c>
      <c r="S99" s="16">
        <f>SUMIFS('Parts list'!$W$4:$W$185,'Parts list'!$H$4:$H$185,$C99,'Parts list'!$M$4:$M$185,"Yes")</f>
        <v>1.26</v>
      </c>
      <c r="T99" s="45" t="s">
        <v>177</v>
      </c>
      <c r="U99" s="4" t="s">
        <v>1616</v>
      </c>
      <c r="V99" s="4"/>
    </row>
    <row r="100" spans="1:22" ht="15" customHeight="1" x14ac:dyDescent="0.2">
      <c r="A100" s="8">
        <v>97</v>
      </c>
      <c r="B100" s="4" t="s">
        <v>1562</v>
      </c>
      <c r="C100" s="4" t="s">
        <v>1343</v>
      </c>
      <c r="D100" s="5" t="s">
        <v>1342</v>
      </c>
      <c r="E100" s="5" t="s">
        <v>154</v>
      </c>
      <c r="F100" s="5" t="s">
        <v>1344</v>
      </c>
      <c r="G100" s="4" t="s">
        <v>174</v>
      </c>
      <c r="H100" s="4" t="s">
        <v>175</v>
      </c>
      <c r="I100" s="4" t="s">
        <v>1340</v>
      </c>
      <c r="J100" s="14">
        <f>SUMIFS('Parts list'!$C$4:$C$185,'Parts list'!$H$4:$H$185,$C100,'Parts list'!$M$4:$M$185,"Yes")</f>
        <v>4</v>
      </c>
      <c r="K100" s="14">
        <f>SUMIFS('Parts list'!$R$4:$R$185,'Parts list'!$H$4:$H$185,$C100,'Parts list'!$M$4:$M$185,"Yes")</f>
        <v>20</v>
      </c>
      <c r="L100" s="14">
        <f>SUMIFS('Parts list'!$V$4:$V$185,'Parts list'!$H$4:$H$185,$C100,'Parts list'!$M$4:$M$185,"Yes")</f>
        <v>22</v>
      </c>
      <c r="M100" s="14">
        <f t="shared" ref="M100:M114" si="9">$L100-$K100</f>
        <v>2</v>
      </c>
      <c r="N100" s="4" t="s">
        <v>1554</v>
      </c>
      <c r="O100" s="18"/>
      <c r="P100" s="18"/>
      <c r="Q100" s="45" t="str">
        <f t="shared" ref="Q100:Q114" si="10">IF(N($O100)=0,"per piece",IF(AND($L100&gt;=$O100,MOD($L100,MAX(1,N($P100)))=0),"OK","CHECK"))</f>
        <v>per piece</v>
      </c>
      <c r="R100" s="13">
        <f t="shared" ref="R100:R114" si="11">IF($L100=0,0,$S100/$L100)</f>
        <v>0.02</v>
      </c>
      <c r="S100" s="16">
        <f>SUMIFS('Parts list'!$W$4:$W$185,'Parts list'!$H$4:$H$185,$C100,'Parts list'!$M$4:$M$185,"Yes")</f>
        <v>0.44</v>
      </c>
      <c r="T100" s="45" t="s">
        <v>177</v>
      </c>
      <c r="U100" s="4" t="s">
        <v>1617</v>
      </c>
      <c r="V100" s="4"/>
    </row>
    <row r="101" spans="1:22" ht="40.5" customHeight="1" x14ac:dyDescent="0.2">
      <c r="A101" s="8">
        <v>98</v>
      </c>
      <c r="B101" s="4" t="s">
        <v>1562</v>
      </c>
      <c r="C101" s="4" t="s">
        <v>1351</v>
      </c>
      <c r="D101" s="5" t="s">
        <v>1350</v>
      </c>
      <c r="E101" s="5" t="s">
        <v>154</v>
      </c>
      <c r="F101" s="5" t="s">
        <v>1352</v>
      </c>
      <c r="G101" s="4" t="s">
        <v>220</v>
      </c>
      <c r="H101" s="4" t="s">
        <v>220</v>
      </c>
      <c r="I101" s="4" t="s">
        <v>1348</v>
      </c>
      <c r="J101" s="14">
        <f>SUMIFS('Parts list'!$C$4:$C$185,'Parts list'!$H$4:$H$185,$C101,'Parts list'!$M$4:$M$185,"Yes")</f>
        <v>1</v>
      </c>
      <c r="K101" s="14">
        <f>SUMIFS('Parts list'!$R$4:$R$185,'Parts list'!$H$4:$H$185,$C101,'Parts list'!$M$4:$M$185,"Yes")</f>
        <v>5</v>
      </c>
      <c r="L101" s="14">
        <f>SUMIFS('Parts list'!$V$4:$V$185,'Parts list'!$H$4:$H$185,$C101,'Parts list'!$M$4:$M$185,"Yes")</f>
        <v>7</v>
      </c>
      <c r="M101" s="14">
        <f t="shared" si="9"/>
        <v>2</v>
      </c>
      <c r="N101" s="4" t="s">
        <v>1560</v>
      </c>
      <c r="O101" s="18"/>
      <c r="P101" s="18"/>
      <c r="Q101" s="45" t="str">
        <f t="shared" si="10"/>
        <v>per piece</v>
      </c>
      <c r="R101" s="13">
        <f t="shared" si="11"/>
        <v>0.02</v>
      </c>
      <c r="S101" s="16">
        <f>SUMIFS('Parts list'!$W$4:$W$185,'Parts list'!$H$4:$H$185,$C101,'Parts list'!$M$4:$M$185,"Yes")</f>
        <v>0.14000000000000001</v>
      </c>
      <c r="T101" s="45" t="s">
        <v>177</v>
      </c>
      <c r="U101" s="4" t="s">
        <v>1618</v>
      </c>
      <c r="V101" s="4"/>
    </row>
    <row r="102" spans="1:22" ht="15" customHeight="1" x14ac:dyDescent="0.2">
      <c r="A102" s="8">
        <v>99</v>
      </c>
      <c r="B102" s="4" t="s">
        <v>1562</v>
      </c>
      <c r="C102" s="4" t="s">
        <v>1360</v>
      </c>
      <c r="D102" s="5" t="s">
        <v>1358</v>
      </c>
      <c r="E102" s="5" t="s">
        <v>154</v>
      </c>
      <c r="F102" s="5" t="s">
        <v>1361</v>
      </c>
      <c r="G102" s="4" t="s">
        <v>174</v>
      </c>
      <c r="H102" s="4" t="s">
        <v>175</v>
      </c>
      <c r="I102" s="4" t="s">
        <v>1356</v>
      </c>
      <c r="J102" s="14">
        <f>SUMIFS('Parts list'!$C$4:$C$185,'Parts list'!$H$4:$H$185,$C102,'Parts list'!$M$4:$M$185,"Yes")</f>
        <v>1</v>
      </c>
      <c r="K102" s="14">
        <f>SUMIFS('Parts list'!$R$4:$R$185,'Parts list'!$H$4:$H$185,$C102,'Parts list'!$M$4:$M$185,"Yes")</f>
        <v>5</v>
      </c>
      <c r="L102" s="14">
        <f>SUMIFS('Parts list'!$V$4:$V$185,'Parts list'!$H$4:$H$185,$C102,'Parts list'!$M$4:$M$185,"Yes")</f>
        <v>7</v>
      </c>
      <c r="M102" s="14">
        <f t="shared" si="9"/>
        <v>2</v>
      </c>
      <c r="N102" s="4" t="s">
        <v>1554</v>
      </c>
      <c r="O102" s="18"/>
      <c r="P102" s="18"/>
      <c r="Q102" s="45" t="str">
        <f t="shared" si="10"/>
        <v>per piece</v>
      </c>
      <c r="R102" s="13">
        <f t="shared" si="11"/>
        <v>1E-3</v>
      </c>
      <c r="S102" s="16">
        <f>SUMIFS('Parts list'!$W$4:$W$185,'Parts list'!$H$4:$H$185,$C102,'Parts list'!$M$4:$M$185,"Yes")</f>
        <v>7.0000000000000001E-3</v>
      </c>
      <c r="T102" s="45"/>
      <c r="U102" s="4" t="s">
        <v>1555</v>
      </c>
      <c r="V102" s="4"/>
    </row>
    <row r="103" spans="1:22" ht="15" customHeight="1" x14ac:dyDescent="0.2">
      <c r="A103" s="8">
        <v>100</v>
      </c>
      <c r="B103" s="4" t="s">
        <v>1562</v>
      </c>
      <c r="C103" s="4" t="s">
        <v>1368</v>
      </c>
      <c r="D103" s="5" t="s">
        <v>1367</v>
      </c>
      <c r="E103" s="5" t="s">
        <v>154</v>
      </c>
      <c r="F103" s="5" t="s">
        <v>1369</v>
      </c>
      <c r="G103" s="4" t="s">
        <v>174</v>
      </c>
      <c r="H103" s="4" t="s">
        <v>175</v>
      </c>
      <c r="I103" s="4" t="s">
        <v>1365</v>
      </c>
      <c r="J103" s="14">
        <f>SUMIFS('Parts list'!$C$4:$C$185,'Parts list'!$H$4:$H$185,$C103,'Parts list'!$M$4:$M$185,"Yes")</f>
        <v>1</v>
      </c>
      <c r="K103" s="14">
        <f>SUMIFS('Parts list'!$R$4:$R$185,'Parts list'!$H$4:$H$185,$C103,'Parts list'!$M$4:$M$185,"Yes")</f>
        <v>5</v>
      </c>
      <c r="L103" s="14">
        <f>SUMIFS('Parts list'!$V$4:$V$185,'Parts list'!$H$4:$H$185,$C103,'Parts list'!$M$4:$M$185,"Yes")</f>
        <v>7</v>
      </c>
      <c r="M103" s="14">
        <f t="shared" si="9"/>
        <v>2</v>
      </c>
      <c r="N103" s="4" t="s">
        <v>1554</v>
      </c>
      <c r="O103" s="18"/>
      <c r="P103" s="18"/>
      <c r="Q103" s="45" t="str">
        <f t="shared" si="10"/>
        <v>per piece</v>
      </c>
      <c r="R103" s="13">
        <f t="shared" si="11"/>
        <v>5.9999999999999995E-4</v>
      </c>
      <c r="S103" s="16">
        <f>SUMIFS('Parts list'!$W$4:$W$185,'Parts list'!$H$4:$H$185,$C103,'Parts list'!$M$4:$M$185,"Yes")</f>
        <v>4.1999999999999997E-3</v>
      </c>
      <c r="T103" s="45"/>
      <c r="U103" s="4" t="s">
        <v>1555</v>
      </c>
      <c r="V103" s="4"/>
    </row>
    <row r="104" spans="1:22" ht="15" customHeight="1" x14ac:dyDescent="0.2">
      <c r="A104" s="8">
        <v>101</v>
      </c>
      <c r="B104" s="4" t="s">
        <v>1562</v>
      </c>
      <c r="C104" s="4" t="s">
        <v>1376</v>
      </c>
      <c r="D104" s="5" t="s">
        <v>1375</v>
      </c>
      <c r="E104" s="5" t="s">
        <v>154</v>
      </c>
      <c r="F104" s="5" t="s">
        <v>1377</v>
      </c>
      <c r="G104" s="4" t="s">
        <v>174</v>
      </c>
      <c r="H104" s="4" t="s">
        <v>175</v>
      </c>
      <c r="I104" s="4" t="s">
        <v>1373</v>
      </c>
      <c r="J104" s="14">
        <f>SUMIFS('Parts list'!$C$4:$C$185,'Parts list'!$H$4:$H$185,$C104,'Parts list'!$M$4:$M$185,"Yes")</f>
        <v>8</v>
      </c>
      <c r="K104" s="14">
        <f>SUMIFS('Parts list'!$R$4:$R$185,'Parts list'!$H$4:$H$185,$C104,'Parts list'!$M$4:$M$185,"Yes")</f>
        <v>40</v>
      </c>
      <c r="L104" s="14">
        <f>SUMIFS('Parts list'!$V$4:$V$185,'Parts list'!$H$4:$H$185,$C104,'Parts list'!$M$4:$M$185,"Yes")</f>
        <v>42</v>
      </c>
      <c r="M104" s="14">
        <f t="shared" si="9"/>
        <v>2</v>
      </c>
      <c r="N104" s="4" t="s">
        <v>1554</v>
      </c>
      <c r="O104" s="18"/>
      <c r="P104" s="18"/>
      <c r="Q104" s="45" t="str">
        <f t="shared" si="10"/>
        <v>per piece</v>
      </c>
      <c r="R104" s="13">
        <f t="shared" si="11"/>
        <v>3.4999999999999996E-3</v>
      </c>
      <c r="S104" s="16">
        <f>SUMIFS('Parts list'!$W$4:$W$185,'Parts list'!$H$4:$H$185,$C104,'Parts list'!$M$4:$M$185,"Yes")</f>
        <v>0.14699999999999999</v>
      </c>
      <c r="T104" s="45"/>
      <c r="U104" s="4" t="s">
        <v>1555</v>
      </c>
      <c r="V104" s="4"/>
    </row>
    <row r="105" spans="1:22" ht="66" customHeight="1" x14ac:dyDescent="0.2">
      <c r="A105" s="8">
        <v>102</v>
      </c>
      <c r="B105" s="4" t="s">
        <v>1570</v>
      </c>
      <c r="C105" s="4" t="s">
        <v>1391</v>
      </c>
      <c r="D105" s="5" t="s">
        <v>1388</v>
      </c>
      <c r="E105" s="5" t="s">
        <v>1389</v>
      </c>
      <c r="F105" s="5" t="s">
        <v>1392</v>
      </c>
      <c r="G105" s="4" t="s">
        <v>174</v>
      </c>
      <c r="H105" s="4" t="s">
        <v>175</v>
      </c>
      <c r="I105" s="4" t="s">
        <v>1386</v>
      </c>
      <c r="J105" s="14">
        <f>SUMIFS('Parts list'!$C$4:$C$185,'Parts list'!$H$4:$H$185,$C105,'Parts list'!$M$4:$M$185,"Yes")</f>
        <v>6</v>
      </c>
      <c r="K105" s="14">
        <f>SUMIFS('Parts list'!$R$4:$R$185,'Parts list'!$H$4:$H$185,$C105,'Parts list'!$M$4:$M$185,"Yes")</f>
        <v>30</v>
      </c>
      <c r="L105" s="14">
        <f>SUMIFS('Parts list'!$V$4:$V$185,'Parts list'!$H$4:$H$185,$C105,'Parts list'!$M$4:$M$185,"Yes")</f>
        <v>31</v>
      </c>
      <c r="M105" s="14">
        <f t="shared" si="9"/>
        <v>1</v>
      </c>
      <c r="N105" s="4" t="s">
        <v>1554</v>
      </c>
      <c r="O105" s="18"/>
      <c r="P105" s="18"/>
      <c r="Q105" s="45" t="str">
        <f t="shared" si="10"/>
        <v>per piece</v>
      </c>
      <c r="R105" s="13">
        <f t="shared" si="11"/>
        <v>1.5567</v>
      </c>
      <c r="S105" s="16">
        <f>SUMIFS('Parts list'!$W$4:$W$185,'Parts list'!$H$4:$H$185,$C105,'Parts list'!$M$4:$M$185,"Yes")</f>
        <v>48.2577</v>
      </c>
      <c r="T105" s="45" t="s">
        <v>177</v>
      </c>
      <c r="U105" s="4" t="s">
        <v>1619</v>
      </c>
      <c r="V105" s="4"/>
    </row>
    <row r="106" spans="1:22" ht="15" customHeight="1" x14ac:dyDescent="0.2">
      <c r="A106" s="8">
        <v>103</v>
      </c>
      <c r="B106" s="4" t="s">
        <v>1570</v>
      </c>
      <c r="C106" s="4" t="s">
        <v>1401</v>
      </c>
      <c r="D106" s="5" t="s">
        <v>1399</v>
      </c>
      <c r="E106" s="5" t="s">
        <v>787</v>
      </c>
      <c r="F106" s="5" t="s">
        <v>1402</v>
      </c>
      <c r="G106" s="4" t="s">
        <v>1403</v>
      </c>
      <c r="H106" s="4" t="s">
        <v>175</v>
      </c>
      <c r="I106" s="4" t="s">
        <v>1397</v>
      </c>
      <c r="J106" s="14">
        <f>SUMIFS('Parts list'!$C$4:$C$185,'Parts list'!$H$4:$H$185,$C106,'Parts list'!$M$4:$M$185,"Yes")</f>
        <v>1</v>
      </c>
      <c r="K106" s="14">
        <f>SUMIFS('Parts list'!$R$4:$R$185,'Parts list'!$H$4:$H$185,$C106,'Parts list'!$M$4:$M$185,"Yes")</f>
        <v>5</v>
      </c>
      <c r="L106" s="14">
        <f>SUMIFS('Parts list'!$V$4:$V$185,'Parts list'!$H$4:$H$185,$C106,'Parts list'!$M$4:$M$185,"Yes")</f>
        <v>6</v>
      </c>
      <c r="M106" s="14">
        <f t="shared" si="9"/>
        <v>1</v>
      </c>
      <c r="N106" s="4" t="s">
        <v>1554</v>
      </c>
      <c r="O106" s="18"/>
      <c r="P106" s="18"/>
      <c r="Q106" s="45" t="str">
        <f t="shared" si="10"/>
        <v>per piece</v>
      </c>
      <c r="R106" s="13">
        <f t="shared" si="11"/>
        <v>0.65549999999999997</v>
      </c>
      <c r="S106" s="16">
        <f>SUMIFS('Parts list'!$W$4:$W$185,'Parts list'!$H$4:$H$185,$C106,'Parts list'!$M$4:$M$185,"Yes")</f>
        <v>3.9329999999999998</v>
      </c>
      <c r="T106" s="45"/>
      <c r="U106" s="4" t="s">
        <v>1555</v>
      </c>
      <c r="V106" s="4"/>
    </row>
    <row r="107" spans="1:22" ht="27.75" customHeight="1" x14ac:dyDescent="0.2">
      <c r="A107" s="8">
        <v>104</v>
      </c>
      <c r="B107" s="4" t="s">
        <v>1570</v>
      </c>
      <c r="C107" s="4" t="s">
        <v>1411</v>
      </c>
      <c r="D107" s="5" t="s">
        <v>1409</v>
      </c>
      <c r="E107" s="5" t="s">
        <v>787</v>
      </c>
      <c r="F107" s="5" t="s">
        <v>1412</v>
      </c>
      <c r="G107" s="4" t="s">
        <v>174</v>
      </c>
      <c r="H107" s="4" t="s">
        <v>175</v>
      </c>
      <c r="I107" s="4" t="s">
        <v>1407</v>
      </c>
      <c r="J107" s="14">
        <f>SUMIFS('Parts list'!$C$4:$C$185,'Parts list'!$H$4:$H$185,$C107,'Parts list'!$M$4:$M$185,"Yes")</f>
        <v>1</v>
      </c>
      <c r="K107" s="14">
        <f>SUMIFS('Parts list'!$R$4:$R$185,'Parts list'!$H$4:$H$185,$C107,'Parts list'!$M$4:$M$185,"Yes")</f>
        <v>5</v>
      </c>
      <c r="L107" s="14">
        <f>SUMIFS('Parts list'!$V$4:$V$185,'Parts list'!$H$4:$H$185,$C107,'Parts list'!$M$4:$M$185,"Yes")</f>
        <v>6</v>
      </c>
      <c r="M107" s="14">
        <f t="shared" si="9"/>
        <v>1</v>
      </c>
      <c r="N107" s="4" t="s">
        <v>1554</v>
      </c>
      <c r="O107" s="18"/>
      <c r="P107" s="18"/>
      <c r="Q107" s="45" t="str">
        <f t="shared" si="10"/>
        <v>per piece</v>
      </c>
      <c r="R107" s="13">
        <f t="shared" si="11"/>
        <v>0.67709999999999992</v>
      </c>
      <c r="S107" s="16">
        <f>SUMIFS('Parts list'!$W$4:$W$185,'Parts list'!$H$4:$H$185,$C107,'Parts list'!$M$4:$M$185,"Yes")</f>
        <v>4.0625999999999998</v>
      </c>
      <c r="T107" s="45" t="s">
        <v>1584</v>
      </c>
      <c r="U107" s="4" t="s">
        <v>1620</v>
      </c>
      <c r="V107" s="4"/>
    </row>
    <row r="108" spans="1:22" ht="27.75" customHeight="1" x14ac:dyDescent="0.2">
      <c r="A108" s="8">
        <v>105</v>
      </c>
      <c r="B108" s="4" t="s">
        <v>1570</v>
      </c>
      <c r="C108" s="4" t="s">
        <v>1422</v>
      </c>
      <c r="D108" s="5" t="s">
        <v>1419</v>
      </c>
      <c r="E108" s="5" t="s">
        <v>1420</v>
      </c>
      <c r="F108" s="5" t="s">
        <v>1423</v>
      </c>
      <c r="G108" s="4" t="s">
        <v>174</v>
      </c>
      <c r="H108" s="4" t="s">
        <v>220</v>
      </c>
      <c r="I108" s="4" t="s">
        <v>1417</v>
      </c>
      <c r="J108" s="14">
        <f>SUMIFS('Parts list'!$C$4:$C$185,'Parts list'!$H$4:$H$185,$C108,'Parts list'!$M$4:$M$185,"Yes")</f>
        <v>1</v>
      </c>
      <c r="K108" s="14">
        <f>SUMIFS('Parts list'!$R$4:$R$185,'Parts list'!$H$4:$H$185,$C108,'Parts list'!$M$4:$M$185,"Yes")</f>
        <v>5</v>
      </c>
      <c r="L108" s="14">
        <f>SUMIFS('Parts list'!$V$4:$V$185,'Parts list'!$H$4:$H$185,$C108,'Parts list'!$M$4:$M$185,"Yes")</f>
        <v>6</v>
      </c>
      <c r="M108" s="14">
        <f t="shared" si="9"/>
        <v>1</v>
      </c>
      <c r="N108" s="4" t="s">
        <v>1560</v>
      </c>
      <c r="O108" s="18"/>
      <c r="P108" s="18"/>
      <c r="Q108" s="45" t="str">
        <f t="shared" si="10"/>
        <v>per piece</v>
      </c>
      <c r="R108" s="13">
        <f t="shared" si="11"/>
        <v>0.10000000000000002</v>
      </c>
      <c r="S108" s="16">
        <f>SUMIFS('Parts list'!$W$4:$W$185,'Parts list'!$H$4:$H$185,$C108,'Parts list'!$M$4:$M$185,"Yes")</f>
        <v>0.60000000000000009</v>
      </c>
      <c r="T108" s="45" t="s">
        <v>177</v>
      </c>
      <c r="U108" s="4" t="s">
        <v>1621</v>
      </c>
      <c r="V108" s="4"/>
    </row>
    <row r="109" spans="1:22" ht="27.75" customHeight="1" x14ac:dyDescent="0.2">
      <c r="A109" s="8">
        <v>106</v>
      </c>
      <c r="B109" s="4" t="s">
        <v>1570</v>
      </c>
      <c r="C109" s="4" t="s">
        <v>1432</v>
      </c>
      <c r="D109" s="5" t="s">
        <v>1429</v>
      </c>
      <c r="E109" s="5" t="s">
        <v>1430</v>
      </c>
      <c r="F109" s="5" t="s">
        <v>1433</v>
      </c>
      <c r="G109" s="4" t="s">
        <v>1434</v>
      </c>
      <c r="H109" s="4" t="s">
        <v>175</v>
      </c>
      <c r="I109" s="4" t="s">
        <v>1427</v>
      </c>
      <c r="J109" s="14">
        <f>SUMIFS('Parts list'!$C$4:$C$185,'Parts list'!$H$4:$H$185,$C109,'Parts list'!$M$4:$M$185,"Yes")</f>
        <v>1</v>
      </c>
      <c r="K109" s="14">
        <f>SUMIFS('Parts list'!$R$4:$R$185,'Parts list'!$H$4:$H$185,$C109,'Parts list'!$M$4:$M$185,"Yes")</f>
        <v>5</v>
      </c>
      <c r="L109" s="14">
        <f>SUMIFS('Parts list'!$V$4:$V$185,'Parts list'!$H$4:$H$185,$C109,'Parts list'!$M$4:$M$185,"Yes")</f>
        <v>6</v>
      </c>
      <c r="M109" s="14">
        <f t="shared" si="9"/>
        <v>1</v>
      </c>
      <c r="N109" s="4" t="s">
        <v>1554</v>
      </c>
      <c r="O109" s="18"/>
      <c r="P109" s="18"/>
      <c r="Q109" s="45" t="str">
        <f t="shared" si="10"/>
        <v>per piece</v>
      </c>
      <c r="R109" s="13">
        <f t="shared" si="11"/>
        <v>0.12</v>
      </c>
      <c r="S109" s="16">
        <f>SUMIFS('Parts list'!$W$4:$W$185,'Parts list'!$H$4:$H$185,$C109,'Parts list'!$M$4:$M$185,"Yes")</f>
        <v>0.72</v>
      </c>
      <c r="T109" s="45" t="s">
        <v>177</v>
      </c>
      <c r="U109" s="4" t="s">
        <v>1622</v>
      </c>
      <c r="V109" s="4"/>
    </row>
    <row r="110" spans="1:22" ht="53.25" customHeight="1" x14ac:dyDescent="0.2">
      <c r="A110" s="8">
        <v>107</v>
      </c>
      <c r="B110" s="4" t="s">
        <v>1570</v>
      </c>
      <c r="C110" s="4" t="s">
        <v>1442</v>
      </c>
      <c r="D110" s="5" t="s">
        <v>1409</v>
      </c>
      <c r="E110" s="5" t="s">
        <v>1440</v>
      </c>
      <c r="F110" s="5" t="s">
        <v>1443</v>
      </c>
      <c r="G110" s="4" t="s">
        <v>174</v>
      </c>
      <c r="H110" s="4" t="s">
        <v>175</v>
      </c>
      <c r="I110" s="4" t="s">
        <v>1438</v>
      </c>
      <c r="J110" s="14">
        <f>SUMIFS('Parts list'!$C$4:$C$185,'Parts list'!$H$4:$H$185,$C110,'Parts list'!$M$4:$M$185,"Yes")</f>
        <v>8</v>
      </c>
      <c r="K110" s="14">
        <f>SUMIFS('Parts list'!$R$4:$R$185,'Parts list'!$H$4:$H$185,$C110,'Parts list'!$M$4:$M$185,"Yes")</f>
        <v>40</v>
      </c>
      <c r="L110" s="14">
        <f>SUMIFS('Parts list'!$V$4:$V$185,'Parts list'!$H$4:$H$185,$C110,'Parts list'!$M$4:$M$185,"Yes")</f>
        <v>41</v>
      </c>
      <c r="M110" s="14">
        <f t="shared" si="9"/>
        <v>1</v>
      </c>
      <c r="N110" s="4" t="s">
        <v>1554</v>
      </c>
      <c r="O110" s="18"/>
      <c r="P110" s="18"/>
      <c r="Q110" s="45" t="str">
        <f t="shared" si="10"/>
        <v>per piece</v>
      </c>
      <c r="R110" s="13">
        <f t="shared" si="11"/>
        <v>1.3642000000000001</v>
      </c>
      <c r="S110" s="16">
        <f>SUMIFS('Parts list'!$W$4:$W$185,'Parts list'!$H$4:$H$185,$C110,'Parts list'!$M$4:$M$185,"Yes")</f>
        <v>55.932200000000002</v>
      </c>
      <c r="T110" s="45" t="s">
        <v>177</v>
      </c>
      <c r="U110" s="4" t="s">
        <v>1623</v>
      </c>
      <c r="V110" s="4"/>
    </row>
    <row r="111" spans="1:22" ht="15" customHeight="1" x14ac:dyDescent="0.2">
      <c r="A111" s="8">
        <v>108</v>
      </c>
      <c r="B111" s="4" t="s">
        <v>1624</v>
      </c>
      <c r="C111" s="4" t="s">
        <v>1453</v>
      </c>
      <c r="D111" s="5" t="s">
        <v>1450</v>
      </c>
      <c r="E111" s="5" t="s">
        <v>1451</v>
      </c>
      <c r="F111" s="5" t="s">
        <v>1454</v>
      </c>
      <c r="G111" s="4" t="s">
        <v>174</v>
      </c>
      <c r="H111" s="4" t="s">
        <v>175</v>
      </c>
      <c r="I111" s="4" t="s">
        <v>1448</v>
      </c>
      <c r="J111" s="14">
        <f>SUMIFS('Parts list'!$C$4:$C$185,'Parts list'!$H$4:$H$185,$C111,'Parts list'!$M$4:$M$185,"Yes")</f>
        <v>4</v>
      </c>
      <c r="K111" s="14">
        <f>SUMIFS('Parts list'!$R$4:$R$185,'Parts list'!$H$4:$H$185,$C111,'Parts list'!$M$4:$M$185,"Yes")</f>
        <v>20</v>
      </c>
      <c r="L111" s="14">
        <f>SUMIFS('Parts list'!$V$4:$V$185,'Parts list'!$H$4:$H$185,$C111,'Parts list'!$M$4:$M$185,"Yes")</f>
        <v>21</v>
      </c>
      <c r="M111" s="14">
        <f t="shared" si="9"/>
        <v>1</v>
      </c>
      <c r="N111" s="4" t="s">
        <v>1554</v>
      </c>
      <c r="O111" s="18"/>
      <c r="P111" s="18"/>
      <c r="Q111" s="45" t="str">
        <f t="shared" si="10"/>
        <v>per piece</v>
      </c>
      <c r="R111" s="13">
        <f t="shared" si="11"/>
        <v>1.55E-2</v>
      </c>
      <c r="S111" s="16">
        <f>SUMIFS('Parts list'!$W$4:$W$185,'Parts list'!$H$4:$H$185,$C111,'Parts list'!$M$4:$M$185,"Yes")</f>
        <v>0.32550000000000001</v>
      </c>
      <c r="T111" s="45"/>
      <c r="U111" s="4" t="s">
        <v>1555</v>
      </c>
      <c r="V111" s="4"/>
    </row>
    <row r="112" spans="1:22" ht="15" customHeight="1" x14ac:dyDescent="0.2">
      <c r="A112" s="8">
        <v>109</v>
      </c>
      <c r="B112" s="4" t="s">
        <v>1625</v>
      </c>
      <c r="C112" s="4" t="s">
        <v>1463</v>
      </c>
      <c r="D112" s="5" t="s">
        <v>1461</v>
      </c>
      <c r="E112" s="5" t="s">
        <v>170</v>
      </c>
      <c r="F112" s="5" t="s">
        <v>1464</v>
      </c>
      <c r="G112" s="4" t="s">
        <v>158</v>
      </c>
      <c r="H112" s="4" t="s">
        <v>175</v>
      </c>
      <c r="I112" s="4" t="s">
        <v>1459</v>
      </c>
      <c r="J112" s="14">
        <f>SUMIFS('Parts list'!$C$4:$C$185,'Parts list'!$H$4:$H$185,$C112,'Parts list'!$M$4:$M$185,"Yes")</f>
        <v>1</v>
      </c>
      <c r="K112" s="14">
        <f>SUMIFS('Parts list'!$R$4:$R$185,'Parts list'!$H$4:$H$185,$C112,'Parts list'!$M$4:$M$185,"Yes")</f>
        <v>5</v>
      </c>
      <c r="L112" s="14">
        <f>SUMIFS('Parts list'!$V$4:$V$185,'Parts list'!$H$4:$H$185,$C112,'Parts list'!$M$4:$M$185,"Yes")</f>
        <v>6</v>
      </c>
      <c r="M112" s="14">
        <f t="shared" si="9"/>
        <v>1</v>
      </c>
      <c r="N112" s="4" t="s">
        <v>1554</v>
      </c>
      <c r="O112" s="18"/>
      <c r="P112" s="18"/>
      <c r="Q112" s="45" t="str">
        <f t="shared" si="10"/>
        <v>per piece</v>
      </c>
      <c r="R112" s="13">
        <f t="shared" si="11"/>
        <v>1.6299999999999999E-2</v>
      </c>
      <c r="S112" s="16">
        <f>SUMIFS('Parts list'!$W$4:$W$185,'Parts list'!$H$4:$H$185,$C112,'Parts list'!$M$4:$M$185,"Yes")</f>
        <v>9.7799999999999998E-2</v>
      </c>
      <c r="T112" s="45"/>
      <c r="U112" s="4" t="s">
        <v>1555</v>
      </c>
      <c r="V112" s="4"/>
    </row>
    <row r="113" spans="1:22" ht="15" customHeight="1" x14ac:dyDescent="0.2">
      <c r="A113" s="8">
        <v>110</v>
      </c>
      <c r="B113" s="4" t="s">
        <v>1625</v>
      </c>
      <c r="C113" s="4" t="s">
        <v>1472</v>
      </c>
      <c r="D113" s="5" t="s">
        <v>1470</v>
      </c>
      <c r="E113" s="5" t="s">
        <v>347</v>
      </c>
      <c r="F113" s="5" t="s">
        <v>1473</v>
      </c>
      <c r="G113" s="4" t="s">
        <v>158</v>
      </c>
      <c r="H113" s="4" t="s">
        <v>175</v>
      </c>
      <c r="I113" s="4" t="s">
        <v>1468</v>
      </c>
      <c r="J113" s="14">
        <f>SUMIFS('Parts list'!$C$4:$C$185,'Parts list'!$H$4:$H$185,$C113,'Parts list'!$M$4:$M$185,"Yes")</f>
        <v>1</v>
      </c>
      <c r="K113" s="14">
        <f>SUMIFS('Parts list'!$R$4:$R$185,'Parts list'!$H$4:$H$185,$C113,'Parts list'!$M$4:$M$185,"Yes")</f>
        <v>5</v>
      </c>
      <c r="L113" s="14">
        <f>SUMIFS('Parts list'!$V$4:$V$185,'Parts list'!$H$4:$H$185,$C113,'Parts list'!$M$4:$M$185,"Yes")</f>
        <v>6</v>
      </c>
      <c r="M113" s="14">
        <f t="shared" si="9"/>
        <v>1</v>
      </c>
      <c r="N113" s="4" t="s">
        <v>1554</v>
      </c>
      <c r="O113" s="18"/>
      <c r="P113" s="18"/>
      <c r="Q113" s="45" t="str">
        <f t="shared" si="10"/>
        <v>per piece</v>
      </c>
      <c r="R113" s="13">
        <f t="shared" si="11"/>
        <v>7.4999999999999997E-3</v>
      </c>
      <c r="S113" s="16">
        <f>SUMIFS('Parts list'!$W$4:$W$185,'Parts list'!$H$4:$H$185,$C113,'Parts list'!$M$4:$M$185,"Yes")</f>
        <v>4.4999999999999998E-2</v>
      </c>
      <c r="T113" s="45"/>
      <c r="U113" s="4" t="s">
        <v>1555</v>
      </c>
      <c r="V113" s="4"/>
    </row>
    <row r="114" spans="1:22" ht="27.75" customHeight="1" x14ac:dyDescent="0.2">
      <c r="A114" s="8">
        <v>111</v>
      </c>
      <c r="B114" s="4" t="s">
        <v>1559</v>
      </c>
      <c r="C114" s="4" t="s">
        <v>1491</v>
      </c>
      <c r="D114" s="5" t="s">
        <v>162</v>
      </c>
      <c r="E114" s="5" t="s">
        <v>1489</v>
      </c>
      <c r="F114" s="5" t="s">
        <v>1492</v>
      </c>
      <c r="G114" s="4" t="s">
        <v>174</v>
      </c>
      <c r="H114" s="4" t="s">
        <v>175</v>
      </c>
      <c r="I114" s="4" t="s">
        <v>1487</v>
      </c>
      <c r="J114" s="14">
        <f>SUMIFS('Parts list'!$C$4:$C$185,'Parts list'!$H$4:$H$185,$C114,'Parts list'!$M$4:$M$185,"Yes")</f>
        <v>1</v>
      </c>
      <c r="K114" s="14">
        <f>SUMIFS('Parts list'!$R$4:$R$185,'Parts list'!$H$4:$H$185,$C114,'Parts list'!$M$4:$M$185,"Yes")</f>
        <v>5</v>
      </c>
      <c r="L114" s="14">
        <f>SUMIFS('Parts list'!$V$4:$V$185,'Parts list'!$H$4:$H$185,$C114,'Parts list'!$M$4:$M$185,"Yes")</f>
        <v>6</v>
      </c>
      <c r="M114" s="14">
        <f t="shared" si="9"/>
        <v>1</v>
      </c>
      <c r="N114" s="4" t="s">
        <v>1554</v>
      </c>
      <c r="O114" s="18"/>
      <c r="P114" s="18"/>
      <c r="Q114" s="45" t="str">
        <f t="shared" si="10"/>
        <v>per piece</v>
      </c>
      <c r="R114" s="13">
        <f t="shared" si="11"/>
        <v>0.29210000000000003</v>
      </c>
      <c r="S114" s="16">
        <f>SUMIFS('Parts list'!$W$4:$W$185,'Parts list'!$H$4:$H$185,$C114,'Parts list'!$M$4:$M$185,"Yes")</f>
        <v>1.7526000000000002</v>
      </c>
      <c r="T114" s="45"/>
      <c r="U114" s="4" t="s">
        <v>1555</v>
      </c>
      <c r="V114" s="4"/>
    </row>
    <row r="115" spans="1:22" x14ac:dyDescent="0.2">
      <c r="A115" s="4"/>
      <c r="B115" s="4"/>
      <c r="C115" s="4"/>
      <c r="D115" s="4"/>
      <c r="E115" s="4"/>
      <c r="F115" s="4"/>
      <c r="G115" s="4"/>
      <c r="H115" s="4"/>
      <c r="I115" s="4"/>
      <c r="J115" s="14"/>
      <c r="K115" s="14"/>
      <c r="L115" s="14"/>
      <c r="M115" s="14"/>
      <c r="N115" s="4"/>
      <c r="O115" s="18"/>
      <c r="P115" s="18"/>
      <c r="Q115" s="45"/>
      <c r="R115" s="4"/>
      <c r="S115" s="16"/>
      <c r="T115" s="45"/>
      <c r="U115" s="4"/>
      <c r="V115" s="4"/>
    </row>
    <row r="116" spans="1:22" ht="30" x14ac:dyDescent="0.2">
      <c r="A116" s="46"/>
      <c r="B116" s="46" t="s">
        <v>1626</v>
      </c>
      <c r="C116" s="46"/>
      <c r="D116" s="46"/>
      <c r="E116" s="46"/>
      <c r="F116" s="46"/>
      <c r="G116" s="46"/>
      <c r="H116" s="46"/>
      <c r="I116" s="46"/>
      <c r="J116" s="47">
        <f>SUM(J4:J114)</f>
        <v>455</v>
      </c>
      <c r="K116" s="47">
        <f>SUM(K4:K114)</f>
        <v>2275</v>
      </c>
      <c r="L116" s="47">
        <f>SUM(L4:L114)</f>
        <v>2630</v>
      </c>
      <c r="M116" s="47">
        <f>SUM(M4:M114)</f>
        <v>355</v>
      </c>
      <c r="N116" s="46"/>
      <c r="O116" s="48"/>
      <c r="P116" s="48"/>
      <c r="Q116" s="49">
        <f>COUNTIF(Q4:Q114,"CHECK")</f>
        <v>0</v>
      </c>
      <c r="R116" s="46"/>
      <c r="S116" s="50">
        <f>SUM(S4:S114)</f>
        <v>397.33459999999991</v>
      </c>
      <c r="T116" s="49">
        <f>COUNTIF(T4:T114,"Yes")</f>
        <v>18</v>
      </c>
      <c r="U116" s="51" t="str">
        <f>"buy-now part numbers (column T); pre-order: "&amp;COUNTIF(T4:T114,"Pre-order")&amp;"; order-rule flags (column Q): "&amp;Q116</f>
        <v>buy-now part numbers (column T); pre-order: 8; order-rule flags (column Q): 0</v>
      </c>
      <c r="V116" s="46"/>
    </row>
    <row r="117" spans="1:22" x14ac:dyDescent="0.2">
      <c r="A117" s="4"/>
      <c r="B117" s="4"/>
      <c r="C117" s="4"/>
      <c r="D117" s="4"/>
      <c r="E117" s="4"/>
      <c r="F117" s="4"/>
      <c r="G117" s="4"/>
      <c r="H117" s="4"/>
      <c r="I117" s="4"/>
      <c r="J117" s="4"/>
      <c r="K117" s="4"/>
      <c r="L117" s="4"/>
      <c r="M117" s="4"/>
      <c r="N117" s="4"/>
      <c r="O117" s="18"/>
      <c r="P117" s="18"/>
      <c r="Q117" s="45"/>
      <c r="R117" s="4"/>
      <c r="S117" s="16"/>
      <c r="T117" s="45"/>
      <c r="U117" s="4"/>
      <c r="V117" s="4"/>
    </row>
    <row r="118" spans="1:22" x14ac:dyDescent="0.2">
      <c r="A118" s="149" t="s">
        <v>1627</v>
      </c>
      <c r="B118" s="149"/>
      <c r="C118" s="149"/>
      <c r="D118" s="149"/>
      <c r="E118" s="149"/>
      <c r="F118" s="149"/>
      <c r="G118" s="149"/>
      <c r="H118" s="149"/>
      <c r="I118" s="149"/>
      <c r="J118" s="149"/>
      <c r="K118" s="149"/>
      <c r="L118" s="149"/>
      <c r="M118" s="149"/>
      <c r="N118" s="149"/>
      <c r="O118" s="149"/>
      <c r="P118" s="149"/>
      <c r="Q118" s="149"/>
      <c r="R118" s="149"/>
      <c r="S118" s="149"/>
      <c r="T118" s="149"/>
      <c r="U118" s="149"/>
      <c r="V118" s="149"/>
    </row>
    <row r="119" spans="1:22" ht="45" x14ac:dyDescent="0.2">
      <c r="A119" s="53" t="s">
        <v>20</v>
      </c>
      <c r="B119" s="53" t="s">
        <v>1628</v>
      </c>
      <c r="C119" s="53" t="s">
        <v>124</v>
      </c>
      <c r="D119" s="53"/>
      <c r="E119" s="53"/>
      <c r="F119" s="53" t="s">
        <v>125</v>
      </c>
      <c r="G119" s="53"/>
      <c r="H119" s="53"/>
      <c r="I119" s="53" t="s">
        <v>119</v>
      </c>
      <c r="J119" s="53"/>
      <c r="K119" s="53"/>
      <c r="L119" s="53" t="s">
        <v>1629</v>
      </c>
      <c r="M119" s="53"/>
      <c r="N119" s="53" t="s">
        <v>1546</v>
      </c>
      <c r="O119" s="52" t="s">
        <v>1547</v>
      </c>
      <c r="P119" s="52" t="s">
        <v>1548</v>
      </c>
      <c r="Q119" s="53" t="s">
        <v>1549</v>
      </c>
      <c r="R119" s="53" t="s">
        <v>133</v>
      </c>
      <c r="S119" s="54" t="s">
        <v>1550</v>
      </c>
      <c r="T119" s="53" t="s">
        <v>1551</v>
      </c>
      <c r="U119" s="53" t="s">
        <v>1630</v>
      </c>
      <c r="V119" s="53"/>
    </row>
    <row r="120" spans="1:22" ht="27.75" customHeight="1" x14ac:dyDescent="0.2">
      <c r="A120" s="8">
        <v>1</v>
      </c>
      <c r="B120" s="4" t="s">
        <v>1631</v>
      </c>
      <c r="C120" s="4" t="s">
        <v>1127</v>
      </c>
      <c r="D120" s="4"/>
      <c r="E120" s="4"/>
      <c r="F120" s="4"/>
      <c r="G120" s="4"/>
      <c r="H120" s="4"/>
      <c r="I120" s="4" t="s">
        <v>1632</v>
      </c>
      <c r="J120" s="4"/>
      <c r="K120" s="4"/>
      <c r="L120" s="11">
        <v>20</v>
      </c>
      <c r="M120" s="4"/>
      <c r="N120" s="4" t="s">
        <v>1633</v>
      </c>
      <c r="O120" s="19"/>
      <c r="P120" s="19"/>
      <c r="Q120" s="45" t="str">
        <f t="shared" ref="Q120:Q129" si="12">IF(N($O120)=0,"per piece",IF(AND($L120&gt;=$O120,MOD($L120,MAX(1,N($P120)))=0),"OK","CHECK"))</f>
        <v>per piece</v>
      </c>
      <c r="R120" s="55">
        <v>3.6840000000000002</v>
      </c>
      <c r="S120" s="16">
        <f t="shared" ref="S120:S129" si="13">L120*R120</f>
        <v>73.680000000000007</v>
      </c>
      <c r="T120" s="45" t="s">
        <v>177</v>
      </c>
      <c r="U120" s="4" t="s">
        <v>1634</v>
      </c>
      <c r="V120" s="4"/>
    </row>
    <row r="121" spans="1:22" ht="27.75" customHeight="1" x14ac:dyDescent="0.2">
      <c r="A121" s="8">
        <v>2</v>
      </c>
      <c r="B121" s="4" t="s">
        <v>1631</v>
      </c>
      <c r="C121" s="4" t="s">
        <v>206</v>
      </c>
      <c r="D121" s="4"/>
      <c r="E121" s="4"/>
      <c r="F121" s="4"/>
      <c r="G121" s="4"/>
      <c r="H121" s="4"/>
      <c r="I121" s="4" t="s">
        <v>201</v>
      </c>
      <c r="J121" s="4"/>
      <c r="K121" s="4"/>
      <c r="L121" s="11">
        <v>5</v>
      </c>
      <c r="M121" s="4"/>
      <c r="N121" s="4" t="s">
        <v>1633</v>
      </c>
      <c r="O121" s="19"/>
      <c r="P121" s="19"/>
      <c r="Q121" s="45" t="str">
        <f t="shared" si="12"/>
        <v>per piece</v>
      </c>
      <c r="R121" s="55">
        <v>1.6</v>
      </c>
      <c r="S121" s="16">
        <f t="shared" si="13"/>
        <v>8</v>
      </c>
      <c r="T121" s="45" t="s">
        <v>177</v>
      </c>
      <c r="U121" s="4" t="s">
        <v>1635</v>
      </c>
      <c r="V121" s="4"/>
    </row>
    <row r="122" spans="1:22" ht="15" customHeight="1" x14ac:dyDescent="0.2">
      <c r="A122" s="8">
        <v>3</v>
      </c>
      <c r="B122" s="4" t="s">
        <v>1631</v>
      </c>
      <c r="C122" s="4" t="s">
        <v>907</v>
      </c>
      <c r="D122" s="4"/>
      <c r="E122" s="4"/>
      <c r="F122" s="4"/>
      <c r="G122" s="4"/>
      <c r="H122" s="4"/>
      <c r="I122" s="4" t="s">
        <v>904</v>
      </c>
      <c r="J122" s="4"/>
      <c r="K122" s="4"/>
      <c r="L122" s="11">
        <v>5</v>
      </c>
      <c r="M122" s="4"/>
      <c r="N122" s="4" t="s">
        <v>1633</v>
      </c>
      <c r="O122" s="19"/>
      <c r="P122" s="19"/>
      <c r="Q122" s="45" t="str">
        <f t="shared" si="12"/>
        <v>per piece</v>
      </c>
      <c r="R122" s="55">
        <v>0.1</v>
      </c>
      <c r="S122" s="16">
        <f t="shared" si="13"/>
        <v>0.5</v>
      </c>
      <c r="T122" s="45" t="s">
        <v>177</v>
      </c>
      <c r="U122" s="4" t="s">
        <v>1636</v>
      </c>
      <c r="V122" s="4"/>
    </row>
    <row r="123" spans="1:22" ht="15" customHeight="1" x14ac:dyDescent="0.2">
      <c r="A123" s="8">
        <v>4</v>
      </c>
      <c r="B123" s="4" t="s">
        <v>1637</v>
      </c>
      <c r="C123" s="4" t="s">
        <v>218</v>
      </c>
      <c r="D123" s="4"/>
      <c r="E123" s="4"/>
      <c r="F123" s="4"/>
      <c r="G123" s="4"/>
      <c r="H123" s="4"/>
      <c r="I123" s="4" t="s">
        <v>162</v>
      </c>
      <c r="J123" s="4"/>
      <c r="K123" s="4"/>
      <c r="L123" s="11">
        <v>2</v>
      </c>
      <c r="M123" s="4"/>
      <c r="N123" s="4" t="s">
        <v>1633</v>
      </c>
      <c r="O123" s="19"/>
      <c r="P123" s="19"/>
      <c r="Q123" s="45" t="str">
        <f t="shared" si="12"/>
        <v>per piece</v>
      </c>
      <c r="R123" s="55">
        <v>1.0900000000000001</v>
      </c>
      <c r="S123" s="16">
        <f t="shared" si="13"/>
        <v>2.1800000000000002</v>
      </c>
      <c r="T123" s="45" t="s">
        <v>177</v>
      </c>
      <c r="U123" s="4" t="s">
        <v>1638</v>
      </c>
      <c r="V123" s="4"/>
    </row>
    <row r="124" spans="1:22" ht="15" customHeight="1" x14ac:dyDescent="0.2">
      <c r="A124" s="8">
        <v>5</v>
      </c>
      <c r="B124" s="4" t="s">
        <v>1637</v>
      </c>
      <c r="C124" s="4" t="s">
        <v>481</v>
      </c>
      <c r="D124" s="4"/>
      <c r="E124" s="4"/>
      <c r="F124" s="4"/>
      <c r="G124" s="4"/>
      <c r="H124" s="4"/>
      <c r="I124" s="4" t="s">
        <v>162</v>
      </c>
      <c r="J124" s="4"/>
      <c r="K124" s="4"/>
      <c r="L124" s="11">
        <v>2</v>
      </c>
      <c r="M124" s="4"/>
      <c r="N124" s="4" t="s">
        <v>1633</v>
      </c>
      <c r="O124" s="19"/>
      <c r="P124" s="19"/>
      <c r="Q124" s="45" t="str">
        <f t="shared" si="12"/>
        <v>per piece</v>
      </c>
      <c r="R124" s="55">
        <v>1.39</v>
      </c>
      <c r="S124" s="16">
        <f t="shared" si="13"/>
        <v>2.78</v>
      </c>
      <c r="T124" s="45" t="s">
        <v>177</v>
      </c>
      <c r="U124" s="4" t="s">
        <v>1639</v>
      </c>
      <c r="V124" s="4"/>
    </row>
    <row r="125" spans="1:22" ht="15" customHeight="1" x14ac:dyDescent="0.2">
      <c r="A125" s="8">
        <v>6</v>
      </c>
      <c r="B125" s="4" t="s">
        <v>1637</v>
      </c>
      <c r="C125" s="4" t="s">
        <v>492</v>
      </c>
      <c r="D125" s="4"/>
      <c r="E125" s="4"/>
      <c r="F125" s="4"/>
      <c r="G125" s="4"/>
      <c r="H125" s="4"/>
      <c r="I125" s="4" t="s">
        <v>162</v>
      </c>
      <c r="J125" s="4"/>
      <c r="K125" s="4"/>
      <c r="L125" s="11">
        <v>2</v>
      </c>
      <c r="M125" s="4"/>
      <c r="N125" s="4" t="s">
        <v>1633</v>
      </c>
      <c r="O125" s="19"/>
      <c r="P125" s="19"/>
      <c r="Q125" s="45" t="str">
        <f t="shared" si="12"/>
        <v>per piece</v>
      </c>
      <c r="R125" s="55">
        <v>2</v>
      </c>
      <c r="S125" s="16">
        <f t="shared" si="13"/>
        <v>4</v>
      </c>
      <c r="T125" s="45" t="s">
        <v>177</v>
      </c>
      <c r="U125" s="4" t="s">
        <v>1639</v>
      </c>
      <c r="V125" s="4"/>
    </row>
    <row r="126" spans="1:22" ht="15" customHeight="1" x14ac:dyDescent="0.2">
      <c r="A126" s="8">
        <v>7</v>
      </c>
      <c r="B126" s="4" t="s">
        <v>1637</v>
      </c>
      <c r="C126" s="4" t="s">
        <v>500</v>
      </c>
      <c r="D126" s="4"/>
      <c r="E126" s="4"/>
      <c r="F126" s="4"/>
      <c r="G126" s="4"/>
      <c r="H126" s="4"/>
      <c r="I126" s="4" t="s">
        <v>162</v>
      </c>
      <c r="J126" s="4"/>
      <c r="K126" s="4"/>
      <c r="L126" s="11">
        <v>2</v>
      </c>
      <c r="M126" s="4"/>
      <c r="N126" s="4" t="s">
        <v>1633</v>
      </c>
      <c r="O126" s="19"/>
      <c r="P126" s="19"/>
      <c r="Q126" s="45" t="str">
        <f t="shared" si="12"/>
        <v>per piece</v>
      </c>
      <c r="R126" s="55">
        <v>2</v>
      </c>
      <c r="S126" s="16">
        <f t="shared" si="13"/>
        <v>4</v>
      </c>
      <c r="T126" s="45" t="s">
        <v>177</v>
      </c>
      <c r="U126" s="4" t="s">
        <v>1639</v>
      </c>
      <c r="V126" s="4"/>
    </row>
    <row r="127" spans="1:22" ht="15" customHeight="1" x14ac:dyDescent="0.2">
      <c r="A127" s="8">
        <v>8</v>
      </c>
      <c r="B127" s="4" t="s">
        <v>1637</v>
      </c>
      <c r="C127" s="4" t="s">
        <v>1422</v>
      </c>
      <c r="D127" s="4"/>
      <c r="E127" s="4"/>
      <c r="F127" s="4"/>
      <c r="G127" s="4"/>
      <c r="H127" s="4"/>
      <c r="I127" s="4" t="s">
        <v>162</v>
      </c>
      <c r="J127" s="4"/>
      <c r="K127" s="4"/>
      <c r="L127" s="11">
        <v>2</v>
      </c>
      <c r="M127" s="4"/>
      <c r="N127" s="4" t="s">
        <v>1633</v>
      </c>
      <c r="O127" s="19"/>
      <c r="P127" s="19"/>
      <c r="Q127" s="45" t="str">
        <f t="shared" si="12"/>
        <v>per piece</v>
      </c>
      <c r="R127" s="55">
        <v>0.18</v>
      </c>
      <c r="S127" s="16">
        <f t="shared" si="13"/>
        <v>0.36</v>
      </c>
      <c r="T127" s="45" t="s">
        <v>177</v>
      </c>
      <c r="U127" s="4" t="s">
        <v>1640</v>
      </c>
      <c r="V127" s="4"/>
    </row>
    <row r="128" spans="1:22" ht="27.75" customHeight="1" x14ac:dyDescent="0.2">
      <c r="A128" s="8">
        <v>9</v>
      </c>
      <c r="B128" s="4" t="s">
        <v>1637</v>
      </c>
      <c r="C128" s="4" t="s">
        <v>1013</v>
      </c>
      <c r="D128" s="4"/>
      <c r="E128" s="4"/>
      <c r="F128" s="4"/>
      <c r="G128" s="4"/>
      <c r="H128" s="4"/>
      <c r="I128" s="4" t="s">
        <v>162</v>
      </c>
      <c r="J128" s="4"/>
      <c r="K128" s="4"/>
      <c r="L128" s="11">
        <v>2</v>
      </c>
      <c r="M128" s="4"/>
      <c r="N128" s="4" t="s">
        <v>1633</v>
      </c>
      <c r="O128" s="19"/>
      <c r="P128" s="19"/>
      <c r="Q128" s="45" t="str">
        <f t="shared" si="12"/>
        <v>per piece</v>
      </c>
      <c r="R128" s="55">
        <v>1.3</v>
      </c>
      <c r="S128" s="16">
        <f t="shared" si="13"/>
        <v>2.6</v>
      </c>
      <c r="T128" s="45" t="s">
        <v>177</v>
      </c>
      <c r="U128" s="4" t="s">
        <v>1641</v>
      </c>
      <c r="V128" s="4"/>
    </row>
    <row r="129" spans="1:22" ht="27.75" customHeight="1" x14ac:dyDescent="0.2">
      <c r="A129" s="8">
        <v>10</v>
      </c>
      <c r="B129" s="4" t="s">
        <v>1637</v>
      </c>
      <c r="C129" s="4" t="s">
        <v>1391</v>
      </c>
      <c r="D129" s="4"/>
      <c r="E129" s="4"/>
      <c r="F129" s="4"/>
      <c r="G129" s="4"/>
      <c r="H129" s="4"/>
      <c r="I129" s="4" t="s">
        <v>162</v>
      </c>
      <c r="J129" s="4"/>
      <c r="K129" s="4"/>
      <c r="L129" s="11">
        <v>2</v>
      </c>
      <c r="M129" s="4"/>
      <c r="N129" s="4" t="s">
        <v>1633</v>
      </c>
      <c r="O129" s="19"/>
      <c r="P129" s="19"/>
      <c r="Q129" s="45" t="str">
        <f t="shared" si="12"/>
        <v>per piece</v>
      </c>
      <c r="R129" s="55">
        <v>1.25</v>
      </c>
      <c r="S129" s="16">
        <f t="shared" si="13"/>
        <v>2.5</v>
      </c>
      <c r="T129" s="45" t="s">
        <v>177</v>
      </c>
      <c r="U129" s="4" t="s">
        <v>1642</v>
      </c>
      <c r="V129" s="4"/>
    </row>
    <row r="130" spans="1:22" ht="30" x14ac:dyDescent="0.2">
      <c r="A130" s="4"/>
      <c r="B130" s="4" t="s">
        <v>1643</v>
      </c>
      <c r="C130" s="4"/>
      <c r="D130" s="4"/>
      <c r="E130" s="4"/>
      <c r="F130" s="4"/>
      <c r="G130" s="4"/>
      <c r="H130" s="4"/>
      <c r="I130" s="4"/>
      <c r="J130" s="4"/>
      <c r="K130" s="4"/>
      <c r="L130" s="11">
        <f>SUM(L120:L129)</f>
        <v>44</v>
      </c>
      <c r="M130" s="4"/>
      <c r="N130" s="4"/>
      <c r="O130" s="18"/>
      <c r="P130" s="18"/>
      <c r="Q130" s="56">
        <f>COUNTIF(Q120:Q129,"CHECK")</f>
        <v>0</v>
      </c>
      <c r="R130" s="4"/>
      <c r="S130" s="16">
        <f>ROUND(SUM(S120:S129),2)</f>
        <v>100.6</v>
      </c>
      <c r="T130" s="45"/>
      <c r="U130" s="4" t="s">
        <v>1644</v>
      </c>
      <c r="V130" s="4"/>
    </row>
    <row r="131" spans="1:22" ht="27.75" customHeight="1" x14ac:dyDescent="0.2">
      <c r="A131" s="4"/>
      <c r="B131" s="4" t="s">
        <v>1645</v>
      </c>
      <c r="C131" s="4"/>
      <c r="D131" s="4"/>
      <c r="E131" s="4"/>
      <c r="F131" s="4"/>
      <c r="G131" s="4"/>
      <c r="H131" s="4"/>
      <c r="I131" s="4"/>
      <c r="J131" s="4"/>
      <c r="K131" s="4"/>
      <c r="L131" s="4"/>
      <c r="M131" s="4"/>
      <c r="N131" s="4"/>
      <c r="O131" s="18"/>
      <c r="P131" s="18"/>
      <c r="Q131" s="45"/>
      <c r="R131" s="4"/>
      <c r="S131" s="16">
        <f>Cost!$B$17</f>
        <v>0</v>
      </c>
      <c r="T131" s="45"/>
      <c r="U131" s="4" t="s">
        <v>1646</v>
      </c>
      <c r="V131" s="4"/>
    </row>
    <row r="132" spans="1:22" x14ac:dyDescent="0.2">
      <c r="A132" s="4"/>
      <c r="B132" s="4" t="s">
        <v>1647</v>
      </c>
      <c r="C132" s="4"/>
      <c r="D132" s="4"/>
      <c r="E132" s="4"/>
      <c r="F132" s="4"/>
      <c r="G132" s="4"/>
      <c r="H132" s="4"/>
      <c r="I132" s="4"/>
      <c r="J132" s="4"/>
      <c r="K132" s="4"/>
      <c r="L132" s="4"/>
      <c r="M132" s="4"/>
      <c r="N132" s="4"/>
      <c r="O132" s="18"/>
      <c r="P132" s="18"/>
      <c r="Q132" s="45"/>
      <c r="R132" s="4"/>
      <c r="S132" s="16">
        <f>S130*Cost!$B$18</f>
        <v>5.03</v>
      </c>
      <c r="T132" s="45"/>
      <c r="U132" s="4"/>
      <c r="V132" s="4"/>
    </row>
    <row r="133" spans="1:22" x14ac:dyDescent="0.2">
      <c r="A133" s="46"/>
      <c r="B133" s="46" t="s">
        <v>1648</v>
      </c>
      <c r="C133" s="46"/>
      <c r="D133" s="46"/>
      <c r="E133" s="46"/>
      <c r="F133" s="46"/>
      <c r="G133" s="46"/>
      <c r="H133" s="46"/>
      <c r="I133" s="46"/>
      <c r="J133" s="46"/>
      <c r="K133" s="46"/>
      <c r="L133" s="46"/>
      <c r="M133" s="46"/>
      <c r="N133" s="46"/>
      <c r="O133" s="48"/>
      <c r="P133" s="48"/>
      <c r="Q133" s="49"/>
      <c r="R133" s="46"/>
      <c r="S133" s="50">
        <f>SUM(S130:S132)</f>
        <v>105.63</v>
      </c>
      <c r="T133" s="49"/>
      <c r="U133" s="46"/>
      <c r="V133" s="46"/>
    </row>
    <row r="134" spans="1:22" x14ac:dyDescent="0.2">
      <c r="A134" s="4"/>
      <c r="B134" s="4"/>
      <c r="C134" s="4"/>
      <c r="D134" s="4"/>
      <c r="E134" s="4"/>
      <c r="F134" s="4"/>
      <c r="G134" s="4"/>
      <c r="H134" s="4"/>
      <c r="I134" s="4"/>
      <c r="J134" s="4"/>
      <c r="K134" s="4"/>
      <c r="L134" s="4"/>
      <c r="M134" s="4"/>
      <c r="N134" s="4"/>
      <c r="O134" s="18"/>
      <c r="P134" s="18"/>
      <c r="Q134" s="45"/>
      <c r="R134" s="4"/>
      <c r="S134" s="16"/>
      <c r="T134" s="45"/>
      <c r="U134" s="4"/>
      <c r="V134" s="4"/>
    </row>
    <row r="135" spans="1:22" x14ac:dyDescent="0.2">
      <c r="A135" s="149" t="s">
        <v>1649</v>
      </c>
      <c r="B135" s="149"/>
      <c r="C135" s="149"/>
      <c r="D135" s="149"/>
      <c r="E135" s="149"/>
      <c r="F135" s="149"/>
      <c r="G135" s="149"/>
      <c r="H135" s="149"/>
      <c r="I135" s="149"/>
      <c r="J135" s="149"/>
      <c r="K135" s="149"/>
      <c r="L135" s="149"/>
      <c r="M135" s="149"/>
      <c r="N135" s="149"/>
      <c r="O135" s="149"/>
      <c r="P135" s="149"/>
      <c r="Q135" s="149"/>
      <c r="R135" s="149"/>
      <c r="S135" s="149"/>
      <c r="T135" s="149"/>
      <c r="U135" s="149"/>
      <c r="V135" s="149"/>
    </row>
    <row r="136" spans="1:22" ht="45" x14ac:dyDescent="0.2">
      <c r="A136" s="53" t="s">
        <v>20</v>
      </c>
      <c r="B136" s="53" t="s">
        <v>1628</v>
      </c>
      <c r="C136" s="53" t="s">
        <v>124</v>
      </c>
      <c r="D136" s="53"/>
      <c r="E136" s="53"/>
      <c r="F136" s="53" t="s">
        <v>125</v>
      </c>
      <c r="G136" s="53"/>
      <c r="H136" s="53"/>
      <c r="I136" s="53" t="s">
        <v>119</v>
      </c>
      <c r="J136" s="53"/>
      <c r="K136" s="53"/>
      <c r="L136" s="53" t="s">
        <v>1629</v>
      </c>
      <c r="M136" s="53"/>
      <c r="N136" s="53" t="s">
        <v>1546</v>
      </c>
      <c r="O136" s="52" t="s">
        <v>1547</v>
      </c>
      <c r="P136" s="52" t="s">
        <v>1548</v>
      </c>
      <c r="Q136" s="53" t="s">
        <v>1549</v>
      </c>
      <c r="R136" s="53" t="s">
        <v>133</v>
      </c>
      <c r="S136" s="54" t="s">
        <v>1550</v>
      </c>
      <c r="T136" s="53" t="s">
        <v>1551</v>
      </c>
      <c r="U136" s="53" t="s">
        <v>1630</v>
      </c>
      <c r="V136" s="53"/>
    </row>
    <row r="137" spans="1:22" ht="15" customHeight="1" x14ac:dyDescent="0.2">
      <c r="A137" s="8">
        <v>1</v>
      </c>
      <c r="B137" s="4" t="s">
        <v>1631</v>
      </c>
      <c r="C137" s="4" t="s">
        <v>1480</v>
      </c>
      <c r="D137" s="4"/>
      <c r="E137" s="4"/>
      <c r="F137" s="4" t="s">
        <v>1481</v>
      </c>
      <c r="G137" s="4"/>
      <c r="H137" s="4"/>
      <c r="I137" s="4" t="s">
        <v>1476</v>
      </c>
      <c r="J137" s="4"/>
      <c r="K137" s="4"/>
      <c r="L137" s="11">
        <v>5</v>
      </c>
      <c r="M137" s="4"/>
      <c r="N137" s="4" t="s">
        <v>1650</v>
      </c>
      <c r="O137" s="19">
        <v>1</v>
      </c>
      <c r="P137" s="19"/>
      <c r="Q137" s="45" t="str">
        <f t="shared" ref="Q137:Q151" si="14">IF(N($O137)=0,"per piece",IF(AND($L137&gt;=$O137,MOD($L137,MAX(1,N($P137)))=0),"OK","CHECK"))</f>
        <v>OK</v>
      </c>
      <c r="R137" s="55">
        <v>6.9059999999999997</v>
      </c>
      <c r="S137" s="16">
        <f t="shared" ref="S137:S151" si="15">L137*R137</f>
        <v>34.53</v>
      </c>
      <c r="T137" s="45" t="s">
        <v>177</v>
      </c>
      <c r="U137" s="4" t="s">
        <v>1651</v>
      </c>
      <c r="V137" s="4"/>
    </row>
    <row r="138" spans="1:22" ht="15" customHeight="1" x14ac:dyDescent="0.2">
      <c r="A138" s="8">
        <v>2</v>
      </c>
      <c r="B138" s="4" t="s">
        <v>1637</v>
      </c>
      <c r="C138" s="4" t="s">
        <v>1491</v>
      </c>
      <c r="D138" s="4"/>
      <c r="E138" s="4"/>
      <c r="F138" s="4" t="s">
        <v>1492</v>
      </c>
      <c r="G138" s="4"/>
      <c r="H138" s="4"/>
      <c r="I138" s="4" t="s">
        <v>162</v>
      </c>
      <c r="J138" s="4"/>
      <c r="K138" s="4"/>
      <c r="L138" s="11">
        <v>2</v>
      </c>
      <c r="M138" s="4"/>
      <c r="N138" s="4" t="s">
        <v>1650</v>
      </c>
      <c r="O138" s="19">
        <v>1</v>
      </c>
      <c r="P138" s="19"/>
      <c r="Q138" s="45" t="str">
        <f t="shared" si="14"/>
        <v>OK</v>
      </c>
      <c r="R138" s="55">
        <v>0.29210000000000003</v>
      </c>
      <c r="S138" s="16">
        <f t="shared" si="15"/>
        <v>0.58420000000000005</v>
      </c>
      <c r="T138" s="45" t="s">
        <v>177</v>
      </c>
      <c r="U138" s="4" t="s">
        <v>1652</v>
      </c>
      <c r="V138" s="4"/>
    </row>
    <row r="139" spans="1:22" ht="15" customHeight="1" x14ac:dyDescent="0.2">
      <c r="A139" s="8">
        <v>3</v>
      </c>
      <c r="B139" s="4" t="s">
        <v>1637</v>
      </c>
      <c r="C139" s="4" t="s">
        <v>306</v>
      </c>
      <c r="D139" s="4"/>
      <c r="E139" s="4"/>
      <c r="F139" s="4" t="s">
        <v>307</v>
      </c>
      <c r="G139" s="4"/>
      <c r="H139" s="4"/>
      <c r="I139" s="4" t="s">
        <v>162</v>
      </c>
      <c r="J139" s="4"/>
      <c r="K139" s="4"/>
      <c r="L139" s="11">
        <v>2</v>
      </c>
      <c r="M139" s="4"/>
      <c r="N139" s="4" t="s">
        <v>1650</v>
      </c>
      <c r="O139" s="19">
        <v>1</v>
      </c>
      <c r="P139" s="19"/>
      <c r="Q139" s="45" t="str">
        <f t="shared" si="14"/>
        <v>OK</v>
      </c>
      <c r="R139" s="55">
        <v>0.22</v>
      </c>
      <c r="S139" s="16">
        <f t="shared" si="15"/>
        <v>0.44</v>
      </c>
      <c r="T139" s="45" t="s">
        <v>177</v>
      </c>
      <c r="U139" s="4" t="s">
        <v>1653</v>
      </c>
      <c r="V139" s="4"/>
    </row>
    <row r="140" spans="1:22" ht="15" customHeight="1" x14ac:dyDescent="0.2">
      <c r="A140" s="8">
        <v>4</v>
      </c>
      <c r="B140" s="4" t="s">
        <v>1637</v>
      </c>
      <c r="C140" s="4" t="s">
        <v>459</v>
      </c>
      <c r="D140" s="4"/>
      <c r="E140" s="4"/>
      <c r="F140" s="4" t="s">
        <v>460</v>
      </c>
      <c r="G140" s="4"/>
      <c r="H140" s="4"/>
      <c r="I140" s="4" t="s">
        <v>162</v>
      </c>
      <c r="J140" s="4"/>
      <c r="K140" s="4"/>
      <c r="L140" s="11">
        <v>2</v>
      </c>
      <c r="M140" s="4"/>
      <c r="N140" s="4" t="s">
        <v>1650</v>
      </c>
      <c r="O140" s="19">
        <v>1</v>
      </c>
      <c r="P140" s="19"/>
      <c r="Q140" s="45" t="str">
        <f t="shared" si="14"/>
        <v>OK</v>
      </c>
      <c r="R140" s="55">
        <v>7.6799999999999993E-2</v>
      </c>
      <c r="S140" s="16">
        <f t="shared" si="15"/>
        <v>0.15359999999999999</v>
      </c>
      <c r="T140" s="45" t="s">
        <v>177</v>
      </c>
      <c r="U140" s="4" t="s">
        <v>1654</v>
      </c>
      <c r="V140" s="4"/>
    </row>
    <row r="141" spans="1:22" ht="15" customHeight="1" x14ac:dyDescent="0.2">
      <c r="A141" s="8">
        <v>5</v>
      </c>
      <c r="B141" s="4" t="s">
        <v>1637</v>
      </c>
      <c r="C141" s="4" t="s">
        <v>1655</v>
      </c>
      <c r="D141" s="4"/>
      <c r="E141" s="4"/>
      <c r="F141" s="4" t="s">
        <v>1464</v>
      </c>
      <c r="G141" s="4"/>
      <c r="H141" s="4"/>
      <c r="I141" s="4" t="s">
        <v>162</v>
      </c>
      <c r="J141" s="4"/>
      <c r="K141" s="4"/>
      <c r="L141" s="11">
        <v>2</v>
      </c>
      <c r="M141" s="4"/>
      <c r="N141" s="4" t="s">
        <v>1650</v>
      </c>
      <c r="O141" s="19">
        <v>1</v>
      </c>
      <c r="P141" s="19"/>
      <c r="Q141" s="45" t="str">
        <f t="shared" si="14"/>
        <v>OK</v>
      </c>
      <c r="R141" s="55">
        <v>1.6299999999999999E-2</v>
      </c>
      <c r="S141" s="16">
        <f t="shared" si="15"/>
        <v>3.2599999999999997E-2</v>
      </c>
      <c r="T141" s="45" t="s">
        <v>177</v>
      </c>
      <c r="U141" s="4" t="s">
        <v>1656</v>
      </c>
      <c r="V141" s="4"/>
    </row>
    <row r="142" spans="1:22" ht="15" customHeight="1" x14ac:dyDescent="0.2">
      <c r="A142" s="8">
        <v>6</v>
      </c>
      <c r="B142" s="4" t="s">
        <v>1637</v>
      </c>
      <c r="C142" s="4" t="s">
        <v>1657</v>
      </c>
      <c r="D142" s="4"/>
      <c r="E142" s="4"/>
      <c r="F142" s="4" t="s">
        <v>1473</v>
      </c>
      <c r="G142" s="4"/>
      <c r="H142" s="4"/>
      <c r="I142" s="4" t="s">
        <v>162</v>
      </c>
      <c r="J142" s="4"/>
      <c r="K142" s="4"/>
      <c r="L142" s="11">
        <v>2</v>
      </c>
      <c r="M142" s="4"/>
      <c r="N142" s="4" t="s">
        <v>1650</v>
      </c>
      <c r="O142" s="19">
        <v>1</v>
      </c>
      <c r="P142" s="19"/>
      <c r="Q142" s="45" t="str">
        <f t="shared" si="14"/>
        <v>OK</v>
      </c>
      <c r="R142" s="55">
        <v>7.4999999999999997E-3</v>
      </c>
      <c r="S142" s="16">
        <f t="shared" si="15"/>
        <v>1.4999999999999999E-2</v>
      </c>
      <c r="T142" s="45" t="s">
        <v>177</v>
      </c>
      <c r="U142" s="4" t="s">
        <v>1656</v>
      </c>
      <c r="V142" s="4"/>
    </row>
    <row r="143" spans="1:22" ht="15" customHeight="1" x14ac:dyDescent="0.2">
      <c r="A143" s="8">
        <v>7</v>
      </c>
      <c r="B143" s="4" t="s">
        <v>1637</v>
      </c>
      <c r="C143" s="4" t="s">
        <v>699</v>
      </c>
      <c r="D143" s="4"/>
      <c r="E143" s="4"/>
      <c r="F143" s="4" t="s">
        <v>700</v>
      </c>
      <c r="G143" s="4"/>
      <c r="H143" s="4"/>
      <c r="I143" s="4" t="s">
        <v>162</v>
      </c>
      <c r="J143" s="4"/>
      <c r="K143" s="4"/>
      <c r="L143" s="11">
        <v>20</v>
      </c>
      <c r="M143" s="4"/>
      <c r="N143" s="4" t="s">
        <v>1658</v>
      </c>
      <c r="O143" s="19">
        <v>20</v>
      </c>
      <c r="P143" s="19">
        <v>20</v>
      </c>
      <c r="Q143" s="45" t="str">
        <f t="shared" si="14"/>
        <v>OK</v>
      </c>
      <c r="R143" s="55">
        <v>2.1999999999999999E-2</v>
      </c>
      <c r="S143" s="16">
        <f t="shared" si="15"/>
        <v>0.43999999999999995</v>
      </c>
      <c r="T143" s="45" t="s">
        <v>177</v>
      </c>
      <c r="U143" s="4" t="s">
        <v>1659</v>
      </c>
      <c r="V143" s="4"/>
    </row>
    <row r="144" spans="1:22" ht="15" customHeight="1" x14ac:dyDescent="0.2">
      <c r="A144" s="8">
        <v>8</v>
      </c>
      <c r="B144" s="4" t="s">
        <v>1637</v>
      </c>
      <c r="C144" s="4" t="s">
        <v>689</v>
      </c>
      <c r="D144" s="4"/>
      <c r="E144" s="4"/>
      <c r="F144" s="4" t="s">
        <v>690</v>
      </c>
      <c r="G144" s="4"/>
      <c r="H144" s="4"/>
      <c r="I144" s="4" t="s">
        <v>162</v>
      </c>
      <c r="J144" s="4"/>
      <c r="K144" s="4"/>
      <c r="L144" s="11">
        <v>5</v>
      </c>
      <c r="M144" s="4"/>
      <c r="N144" s="4" t="s">
        <v>1660</v>
      </c>
      <c r="O144" s="19">
        <v>5</v>
      </c>
      <c r="P144" s="19">
        <v>5</v>
      </c>
      <c r="Q144" s="45" t="str">
        <f t="shared" si="14"/>
        <v>OK</v>
      </c>
      <c r="R144" s="55">
        <v>0.32090000000000002</v>
      </c>
      <c r="S144" s="16">
        <f t="shared" si="15"/>
        <v>1.6045</v>
      </c>
      <c r="T144" s="45" t="s">
        <v>177</v>
      </c>
      <c r="U144" s="4" t="s">
        <v>1661</v>
      </c>
      <c r="V144" s="4"/>
    </row>
    <row r="145" spans="1:22" ht="15" customHeight="1" x14ac:dyDescent="0.2">
      <c r="A145" s="8">
        <v>9</v>
      </c>
      <c r="B145" s="4" t="s">
        <v>1637</v>
      </c>
      <c r="C145" s="4" t="s">
        <v>668</v>
      </c>
      <c r="D145" s="4"/>
      <c r="E145" s="4"/>
      <c r="F145" s="4" t="s">
        <v>669</v>
      </c>
      <c r="G145" s="4"/>
      <c r="H145" s="4"/>
      <c r="I145" s="4" t="s">
        <v>162</v>
      </c>
      <c r="J145" s="4"/>
      <c r="K145" s="4"/>
      <c r="L145" s="11">
        <v>2</v>
      </c>
      <c r="M145" s="4"/>
      <c r="N145" s="4" t="s">
        <v>1650</v>
      </c>
      <c r="O145" s="19">
        <v>1</v>
      </c>
      <c r="P145" s="19"/>
      <c r="Q145" s="45" t="str">
        <f t="shared" si="14"/>
        <v>OK</v>
      </c>
      <c r="R145" s="55">
        <v>0.52569999999999995</v>
      </c>
      <c r="S145" s="16">
        <f t="shared" si="15"/>
        <v>1.0513999999999999</v>
      </c>
      <c r="T145" s="45" t="s">
        <v>177</v>
      </c>
      <c r="U145" s="4" t="s">
        <v>1654</v>
      </c>
      <c r="V145" s="4"/>
    </row>
    <row r="146" spans="1:22" ht="15" customHeight="1" x14ac:dyDescent="0.2">
      <c r="A146" s="8">
        <v>10</v>
      </c>
      <c r="B146" s="4" t="s">
        <v>1637</v>
      </c>
      <c r="C146" s="4" t="s">
        <v>470</v>
      </c>
      <c r="D146" s="4"/>
      <c r="E146" s="4"/>
      <c r="F146" s="4" t="s">
        <v>471</v>
      </c>
      <c r="G146" s="4"/>
      <c r="H146" s="4"/>
      <c r="I146" s="4" t="s">
        <v>162</v>
      </c>
      <c r="J146" s="4"/>
      <c r="K146" s="4"/>
      <c r="L146" s="11">
        <v>5</v>
      </c>
      <c r="M146" s="4"/>
      <c r="N146" s="4" t="s">
        <v>1660</v>
      </c>
      <c r="O146" s="19">
        <v>5</v>
      </c>
      <c r="P146" s="19">
        <v>5</v>
      </c>
      <c r="Q146" s="45" t="str">
        <f t="shared" si="14"/>
        <v>OK</v>
      </c>
      <c r="R146" s="55">
        <v>0.20119999999999999</v>
      </c>
      <c r="S146" s="16">
        <f t="shared" si="15"/>
        <v>1.006</v>
      </c>
      <c r="T146" s="45" t="s">
        <v>177</v>
      </c>
      <c r="U146" s="4" t="s">
        <v>1662</v>
      </c>
      <c r="V146" s="4"/>
    </row>
    <row r="147" spans="1:22" ht="15" customHeight="1" x14ac:dyDescent="0.2">
      <c r="A147" s="8">
        <v>11</v>
      </c>
      <c r="B147" s="4" t="s">
        <v>1637</v>
      </c>
      <c r="C147" s="4" t="s">
        <v>1411</v>
      </c>
      <c r="D147" s="4"/>
      <c r="E147" s="4"/>
      <c r="F147" s="4" t="s">
        <v>1412</v>
      </c>
      <c r="G147" s="4"/>
      <c r="H147" s="4"/>
      <c r="I147" s="4" t="s">
        <v>162</v>
      </c>
      <c r="J147" s="4"/>
      <c r="K147" s="4"/>
      <c r="L147" s="11">
        <v>2</v>
      </c>
      <c r="M147" s="4"/>
      <c r="N147" s="4" t="s">
        <v>1650</v>
      </c>
      <c r="O147" s="19">
        <v>1</v>
      </c>
      <c r="P147" s="19"/>
      <c r="Q147" s="45" t="str">
        <f t="shared" si="14"/>
        <v>OK</v>
      </c>
      <c r="R147" s="55">
        <v>0.84760000000000002</v>
      </c>
      <c r="S147" s="16">
        <f t="shared" si="15"/>
        <v>1.6952</v>
      </c>
      <c r="T147" s="45" t="s">
        <v>177</v>
      </c>
      <c r="U147" s="4" t="s">
        <v>1663</v>
      </c>
      <c r="V147" s="4"/>
    </row>
    <row r="148" spans="1:22" ht="15" customHeight="1" x14ac:dyDescent="0.2">
      <c r="A148" s="8">
        <v>12</v>
      </c>
      <c r="B148" s="4" t="s">
        <v>1637</v>
      </c>
      <c r="C148" s="4" t="s">
        <v>1116</v>
      </c>
      <c r="D148" s="4"/>
      <c r="E148" s="4"/>
      <c r="F148" s="4" t="s">
        <v>1117</v>
      </c>
      <c r="G148" s="4"/>
      <c r="H148" s="4"/>
      <c r="I148" s="4" t="s">
        <v>162</v>
      </c>
      <c r="J148" s="4"/>
      <c r="K148" s="4"/>
      <c r="L148" s="11">
        <v>10</v>
      </c>
      <c r="M148" s="4"/>
      <c r="N148" s="4" t="s">
        <v>1664</v>
      </c>
      <c r="O148" s="19">
        <v>10</v>
      </c>
      <c r="P148" s="19"/>
      <c r="Q148" s="45" t="str">
        <f t="shared" si="14"/>
        <v>OK</v>
      </c>
      <c r="R148" s="55">
        <v>9.6199999999999994E-2</v>
      </c>
      <c r="S148" s="16">
        <f t="shared" si="15"/>
        <v>0.96199999999999997</v>
      </c>
      <c r="T148" s="45" t="s">
        <v>177</v>
      </c>
      <c r="U148" s="4" t="s">
        <v>1665</v>
      </c>
      <c r="V148" s="4"/>
    </row>
    <row r="149" spans="1:22" ht="15" customHeight="1" x14ac:dyDescent="0.2">
      <c r="A149" s="8">
        <v>13</v>
      </c>
      <c r="B149" s="4" t="s">
        <v>1637</v>
      </c>
      <c r="C149" s="4" t="s">
        <v>380</v>
      </c>
      <c r="D149" s="4"/>
      <c r="E149" s="4"/>
      <c r="F149" s="4" t="s">
        <v>381</v>
      </c>
      <c r="G149" s="4"/>
      <c r="H149" s="4"/>
      <c r="I149" s="4" t="s">
        <v>162</v>
      </c>
      <c r="J149" s="4"/>
      <c r="K149" s="4"/>
      <c r="L149" s="11">
        <v>2</v>
      </c>
      <c r="M149" s="4"/>
      <c r="N149" s="4" t="s">
        <v>1650</v>
      </c>
      <c r="O149" s="19">
        <v>1</v>
      </c>
      <c r="P149" s="19"/>
      <c r="Q149" s="45" t="str">
        <f t="shared" si="14"/>
        <v>OK</v>
      </c>
      <c r="R149" s="55">
        <v>5.2400000000000002E-2</v>
      </c>
      <c r="S149" s="16">
        <f t="shared" si="15"/>
        <v>0.1048</v>
      </c>
      <c r="T149" s="45" t="s">
        <v>177</v>
      </c>
      <c r="U149" s="4" t="s">
        <v>1653</v>
      </c>
      <c r="V149" s="4"/>
    </row>
    <row r="150" spans="1:22" ht="15" customHeight="1" x14ac:dyDescent="0.2">
      <c r="A150" s="8">
        <v>14</v>
      </c>
      <c r="B150" s="4" t="s">
        <v>1637</v>
      </c>
      <c r="C150" s="4" t="s">
        <v>438</v>
      </c>
      <c r="D150" s="4"/>
      <c r="E150" s="4"/>
      <c r="F150" s="4" t="s">
        <v>439</v>
      </c>
      <c r="G150" s="4"/>
      <c r="H150" s="4"/>
      <c r="I150" s="4" t="s">
        <v>162</v>
      </c>
      <c r="J150" s="4"/>
      <c r="K150" s="4"/>
      <c r="L150" s="11">
        <v>2</v>
      </c>
      <c r="M150" s="4"/>
      <c r="N150" s="4" t="s">
        <v>1650</v>
      </c>
      <c r="O150" s="19">
        <v>1</v>
      </c>
      <c r="P150" s="19"/>
      <c r="Q150" s="45" t="str">
        <f t="shared" si="14"/>
        <v>OK</v>
      </c>
      <c r="R150" s="55">
        <v>1.65</v>
      </c>
      <c r="S150" s="16">
        <f t="shared" si="15"/>
        <v>3.3</v>
      </c>
      <c r="T150" s="45" t="s">
        <v>177</v>
      </c>
      <c r="U150" s="4" t="s">
        <v>1653</v>
      </c>
      <c r="V150" s="4"/>
    </row>
    <row r="151" spans="1:22" ht="15" customHeight="1" x14ac:dyDescent="0.2">
      <c r="A151" s="8">
        <v>15</v>
      </c>
      <c r="B151" s="4" t="s">
        <v>1637</v>
      </c>
      <c r="C151" s="4" t="s">
        <v>678</v>
      </c>
      <c r="D151" s="4"/>
      <c r="E151" s="4"/>
      <c r="F151" s="4" t="s">
        <v>679</v>
      </c>
      <c r="G151" s="4"/>
      <c r="H151" s="4"/>
      <c r="I151" s="4" t="s">
        <v>162</v>
      </c>
      <c r="J151" s="4"/>
      <c r="K151" s="4"/>
      <c r="L151" s="11">
        <v>2</v>
      </c>
      <c r="M151" s="4"/>
      <c r="N151" s="4" t="s">
        <v>1650</v>
      </c>
      <c r="O151" s="19">
        <v>1</v>
      </c>
      <c r="P151" s="19"/>
      <c r="Q151" s="45" t="str">
        <f t="shared" si="14"/>
        <v>OK</v>
      </c>
      <c r="R151" s="55">
        <v>2.4500000000000001E-2</v>
      </c>
      <c r="S151" s="16">
        <f t="shared" si="15"/>
        <v>4.9000000000000002E-2</v>
      </c>
      <c r="T151" s="45" t="s">
        <v>177</v>
      </c>
      <c r="U151" s="4" t="s">
        <v>1656</v>
      </c>
      <c r="V151" s="4"/>
    </row>
    <row r="152" spans="1:22" ht="30" x14ac:dyDescent="0.2">
      <c r="A152" s="4"/>
      <c r="B152" s="4" t="s">
        <v>1666</v>
      </c>
      <c r="C152" s="4"/>
      <c r="D152" s="4"/>
      <c r="E152" s="4"/>
      <c r="F152" s="4"/>
      <c r="G152" s="4"/>
      <c r="H152" s="4"/>
      <c r="I152" s="4"/>
      <c r="J152" s="4"/>
      <c r="K152" s="4"/>
      <c r="L152" s="11">
        <f>SUM(L137:L151)</f>
        <v>65</v>
      </c>
      <c r="M152" s="4"/>
      <c r="N152" s="4"/>
      <c r="O152" s="18"/>
      <c r="P152" s="18"/>
      <c r="Q152" s="56">
        <f>COUNTIF(Q137:Q151,"CHECK")</f>
        <v>0</v>
      </c>
      <c r="R152" s="4"/>
      <c r="S152" s="16">
        <f>ROUND(SUM(S137:S151),2)</f>
        <v>45.97</v>
      </c>
      <c r="T152" s="45"/>
      <c r="U152" s="4" t="s">
        <v>1644</v>
      </c>
      <c r="V152" s="4"/>
    </row>
    <row r="153" spans="1:22" ht="27.75" customHeight="1" x14ac:dyDescent="0.2">
      <c r="A153" s="4"/>
      <c r="B153" s="4" t="s">
        <v>1667</v>
      </c>
      <c r="C153" s="4"/>
      <c r="D153" s="4"/>
      <c r="E153" s="4"/>
      <c r="F153" s="4"/>
      <c r="G153" s="4"/>
      <c r="H153" s="4"/>
      <c r="I153" s="4"/>
      <c r="J153" s="4"/>
      <c r="K153" s="4"/>
      <c r="L153" s="4"/>
      <c r="M153" s="4"/>
      <c r="N153" s="4"/>
      <c r="O153" s="18"/>
      <c r="P153" s="18"/>
      <c r="Q153" s="45"/>
      <c r="R153" s="4"/>
      <c r="S153" s="16">
        <f>Cost!$B$19</f>
        <v>10</v>
      </c>
      <c r="T153" s="45"/>
      <c r="U153" s="4" t="s">
        <v>1668</v>
      </c>
      <c r="V153" s="4"/>
    </row>
    <row r="154" spans="1:22" x14ac:dyDescent="0.2">
      <c r="A154" s="4"/>
      <c r="B154" s="4" t="s">
        <v>1669</v>
      </c>
      <c r="C154" s="4"/>
      <c r="D154" s="4"/>
      <c r="E154" s="4"/>
      <c r="F154" s="4"/>
      <c r="G154" s="4"/>
      <c r="H154" s="4"/>
      <c r="I154" s="4"/>
      <c r="J154" s="4"/>
      <c r="K154" s="4"/>
      <c r="L154" s="4"/>
      <c r="M154" s="4"/>
      <c r="N154" s="4"/>
      <c r="O154" s="18"/>
      <c r="P154" s="18"/>
      <c r="Q154" s="45"/>
      <c r="R154" s="4"/>
      <c r="S154" s="16">
        <f>S152*Cost!$B$20</f>
        <v>0</v>
      </c>
      <c r="T154" s="45"/>
      <c r="U154" s="4"/>
      <c r="V154" s="4"/>
    </row>
    <row r="155" spans="1:22" x14ac:dyDescent="0.2">
      <c r="A155" s="46"/>
      <c r="B155" s="46" t="s">
        <v>1670</v>
      </c>
      <c r="C155" s="46"/>
      <c r="D155" s="46"/>
      <c r="E155" s="46"/>
      <c r="F155" s="46"/>
      <c r="G155" s="46"/>
      <c r="H155" s="46"/>
      <c r="I155" s="46"/>
      <c r="J155" s="46"/>
      <c r="K155" s="46"/>
      <c r="L155" s="46"/>
      <c r="M155" s="46"/>
      <c r="N155" s="46"/>
      <c r="O155" s="48"/>
      <c r="P155" s="48"/>
      <c r="Q155" s="49"/>
      <c r="R155" s="46"/>
      <c r="S155" s="50">
        <f>SUM(S152:S154)</f>
        <v>55.97</v>
      </c>
      <c r="T155" s="49"/>
      <c r="U155" s="46"/>
      <c r="V155" s="46"/>
    </row>
    <row r="156" spans="1:22" x14ac:dyDescent="0.2">
      <c r="A156" s="4"/>
      <c r="B156" s="4"/>
      <c r="C156" s="4"/>
      <c r="D156" s="4"/>
      <c r="E156" s="4"/>
      <c r="F156" s="4"/>
      <c r="G156" s="4"/>
      <c r="H156" s="4"/>
      <c r="I156" s="4"/>
      <c r="J156" s="4"/>
      <c r="K156" s="4"/>
      <c r="L156" s="4"/>
      <c r="M156" s="4"/>
      <c r="N156" s="4"/>
      <c r="O156" s="18"/>
      <c r="P156" s="18"/>
      <c r="Q156" s="45"/>
      <c r="R156" s="4"/>
      <c r="S156" s="16"/>
      <c r="T156" s="45"/>
      <c r="U156" s="4"/>
      <c r="V156" s="4"/>
    </row>
    <row r="157" spans="1:22" ht="30" x14ac:dyDescent="0.2">
      <c r="A157" s="46"/>
      <c r="B157" s="46" t="s">
        <v>1671</v>
      </c>
      <c r="C157" s="46"/>
      <c r="D157" s="46"/>
      <c r="E157" s="46"/>
      <c r="F157" s="46"/>
      <c r="G157" s="46"/>
      <c r="H157" s="46"/>
      <c r="I157" s="46"/>
      <c r="J157" s="46"/>
      <c r="K157" s="46"/>
      <c r="L157" s="46"/>
      <c r="M157" s="46"/>
      <c r="N157" s="46"/>
      <c r="O157" s="48"/>
      <c r="P157" s="48"/>
      <c r="Q157" s="49"/>
      <c r="R157" s="46"/>
      <c r="S157" s="50">
        <f>S133+S155</f>
        <v>161.6</v>
      </c>
      <c r="T157" s="49"/>
      <c r="U157" s="46" t="str">
        <f>"incl. shipping US$ "&amp;TEXT(S131+S153,"0.00")&amp;" and tax US$ "&amp;TEXT(S132+S154,"0.00")</f>
        <v>incl. shipping US$ 10.00 and tax US$ 5.03</v>
      </c>
      <c r="V157" s="46"/>
    </row>
    <row r="158" spans="1:22" ht="27.75" customHeight="1" x14ac:dyDescent="0.2">
      <c r="A158" s="1"/>
      <c r="B158" s="158" t="s">
        <v>1672</v>
      </c>
      <c r="C158" s="157"/>
      <c r="D158" s="157"/>
      <c r="E158" s="157"/>
      <c r="F158" s="157"/>
      <c r="G158" s="157"/>
      <c r="H158" s="157"/>
      <c r="I158" s="157"/>
      <c r="J158" s="157"/>
      <c r="K158" s="157"/>
      <c r="L158" s="157"/>
      <c r="M158" s="157"/>
      <c r="N158" s="157"/>
      <c r="O158" s="157"/>
      <c r="P158" s="157"/>
      <c r="Q158" s="157"/>
      <c r="R158" s="157"/>
      <c r="S158" s="157"/>
      <c r="T158" s="157"/>
      <c r="U158" s="157"/>
      <c r="V158" s="157"/>
    </row>
  </sheetData>
  <mergeCells count="5">
    <mergeCell ref="A1:V1"/>
    <mergeCell ref="A2:V2"/>
    <mergeCell ref="A118:V118"/>
    <mergeCell ref="A135:V135"/>
    <mergeCell ref="B158:V158"/>
  </mergeCells>
  <conditionalFormatting sqref="Q4:Q157">
    <cfRule type="containsText" dxfId="15" priority="1" operator="containsText" text="CHECK">
      <formula>NOT(ISERROR(SEARCH("CHECK",Q4)))</formula>
    </cfRule>
    <cfRule type="containsText" dxfId="14" priority="2" operator="containsText" text="OK">
      <formula>NOT(ISERROR(SEARCH("OK",Q4)))</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97F9-914F-4B16-ADA5-88C050893AE3}">
  <dimension ref="A1:G190"/>
  <sheetViews>
    <sheetView workbookViewId="0">
      <pane ySplit="2" topLeftCell="A156" activePane="bottomLeft" state="frozen"/>
      <selection pane="bottomLeft" sqref="A1:G1"/>
    </sheetView>
  </sheetViews>
  <sheetFormatPr baseColWidth="10" defaultColWidth="8.83203125" defaultRowHeight="15" x14ac:dyDescent="0.2"/>
  <cols>
    <col min="1" max="1" width="52.6640625" customWidth="1"/>
    <col min="2" max="6" width="13.6640625" customWidth="1"/>
    <col min="7" max="7" width="70.6640625" customWidth="1"/>
  </cols>
  <sheetData>
    <row r="1" spans="1:7" ht="21.75" customHeight="1" x14ac:dyDescent="0.2">
      <c r="A1" s="156" t="s">
        <v>1673</v>
      </c>
      <c r="B1" s="157"/>
      <c r="C1" s="157"/>
      <c r="D1" s="157"/>
      <c r="E1" s="157"/>
      <c r="F1" s="157"/>
      <c r="G1" s="157"/>
    </row>
    <row r="2" spans="1:7" ht="30" customHeight="1" x14ac:dyDescent="0.2">
      <c r="A2" s="155" t="s">
        <v>1674</v>
      </c>
      <c r="B2" s="157"/>
      <c r="C2" s="157"/>
      <c r="D2" s="157"/>
      <c r="E2" s="157"/>
      <c r="F2" s="157"/>
      <c r="G2" s="157"/>
    </row>
    <row r="3" spans="1:7" x14ac:dyDescent="0.2">
      <c r="A3" s="58"/>
      <c r="B3" s="58"/>
      <c r="C3" s="58"/>
      <c r="D3" s="58"/>
      <c r="E3" s="58"/>
      <c r="F3" s="58"/>
      <c r="G3" s="58"/>
    </row>
    <row r="4" spans="1:7" x14ac:dyDescent="0.2">
      <c r="A4" s="59" t="s">
        <v>1675</v>
      </c>
      <c r="B4" s="3" t="s">
        <v>21</v>
      </c>
      <c r="C4" s="3" t="s">
        <v>1676</v>
      </c>
      <c r="D4" s="3"/>
      <c r="E4" s="3"/>
      <c r="F4" s="3"/>
      <c r="G4" s="87" t="s">
        <v>1677</v>
      </c>
    </row>
    <row r="5" spans="1:7" x14ac:dyDescent="0.2">
      <c r="A5" s="90" t="s">
        <v>1678</v>
      </c>
      <c r="B5" s="61">
        <v>31.73</v>
      </c>
      <c r="C5" s="58" t="s">
        <v>1679</v>
      </c>
      <c r="D5" s="58"/>
      <c r="E5" s="58"/>
      <c r="F5" s="58"/>
      <c r="G5" s="88" t="s">
        <v>1680</v>
      </c>
    </row>
    <row r="6" spans="1:7" x14ac:dyDescent="0.2">
      <c r="A6" s="90" t="s">
        <v>1681</v>
      </c>
      <c r="B6" s="62">
        <v>5</v>
      </c>
      <c r="C6" s="58" t="s">
        <v>1682</v>
      </c>
      <c r="D6" s="58"/>
      <c r="E6" s="58"/>
      <c r="F6" s="58"/>
      <c r="G6" s="88" t="s">
        <v>1683</v>
      </c>
    </row>
    <row r="7" spans="1:7" ht="27" customHeight="1" x14ac:dyDescent="0.2">
      <c r="A7" s="90" t="s">
        <v>1684</v>
      </c>
      <c r="B7" s="63">
        <v>0.05</v>
      </c>
      <c r="C7" s="58" t="s">
        <v>1685</v>
      </c>
      <c r="D7" s="58"/>
      <c r="E7" s="58"/>
      <c r="F7" s="58"/>
      <c r="G7" s="88" t="s">
        <v>1686</v>
      </c>
    </row>
    <row r="8" spans="1:7" x14ac:dyDescent="0.2">
      <c r="A8" s="90" t="s">
        <v>1687</v>
      </c>
      <c r="B8" s="62">
        <v>2</v>
      </c>
      <c r="C8" s="58" t="s">
        <v>1688</v>
      </c>
      <c r="D8" s="58"/>
      <c r="E8" s="58"/>
      <c r="F8" s="58"/>
      <c r="G8" s="88" t="s">
        <v>1689</v>
      </c>
    </row>
    <row r="9" spans="1:7" x14ac:dyDescent="0.2">
      <c r="A9" s="90" t="s">
        <v>1690</v>
      </c>
      <c r="B9" s="62">
        <v>1</v>
      </c>
      <c r="C9" s="58" t="s">
        <v>1691</v>
      </c>
      <c r="D9" s="58"/>
      <c r="E9" s="58"/>
      <c r="F9" s="58"/>
      <c r="G9" s="88" t="s">
        <v>1689</v>
      </c>
    </row>
    <row r="10" spans="1:7" x14ac:dyDescent="0.2">
      <c r="A10" s="90" t="s">
        <v>1692</v>
      </c>
      <c r="B10" s="63">
        <v>0.1</v>
      </c>
      <c r="C10" s="58" t="s">
        <v>1693</v>
      </c>
      <c r="D10" s="58"/>
      <c r="E10" s="58"/>
      <c r="F10" s="58"/>
      <c r="G10" s="88" t="s">
        <v>1694</v>
      </c>
    </row>
    <row r="11" spans="1:7" ht="27" customHeight="1" x14ac:dyDescent="0.2">
      <c r="A11" s="90" t="s">
        <v>1695</v>
      </c>
      <c r="B11" s="63">
        <v>0.3</v>
      </c>
      <c r="C11" s="58" t="s">
        <v>1696</v>
      </c>
      <c r="D11" s="58"/>
      <c r="E11" s="58"/>
      <c r="F11" s="58"/>
      <c r="G11" s="88" t="s">
        <v>1697</v>
      </c>
    </row>
    <row r="12" spans="1:7" x14ac:dyDescent="0.2">
      <c r="A12" s="90" t="s">
        <v>1698</v>
      </c>
      <c r="B12" s="64">
        <v>20</v>
      </c>
      <c r="C12" s="58" t="s">
        <v>1699</v>
      </c>
      <c r="D12" s="58"/>
      <c r="E12" s="58"/>
      <c r="F12" s="58"/>
      <c r="G12" s="88" t="s">
        <v>1700</v>
      </c>
    </row>
    <row r="13" spans="1:7" x14ac:dyDescent="0.2">
      <c r="A13" s="90" t="s">
        <v>1701</v>
      </c>
      <c r="B13" s="62">
        <v>1</v>
      </c>
      <c r="C13" s="58" t="s">
        <v>1702</v>
      </c>
      <c r="D13" s="58"/>
      <c r="E13" s="58"/>
      <c r="F13" s="58"/>
      <c r="G13" s="88" t="s">
        <v>1703</v>
      </c>
    </row>
    <row r="14" spans="1:7" x14ac:dyDescent="0.2">
      <c r="A14" s="90" t="s">
        <v>1704</v>
      </c>
      <c r="B14" s="64">
        <v>25</v>
      </c>
      <c r="C14" s="58" t="s">
        <v>36</v>
      </c>
      <c r="D14" s="58"/>
      <c r="E14" s="58"/>
      <c r="F14" s="58"/>
      <c r="G14" s="88" t="s">
        <v>1689</v>
      </c>
    </row>
    <row r="15" spans="1:7" ht="27" customHeight="1" x14ac:dyDescent="0.2">
      <c r="A15" s="90" t="s">
        <v>1705</v>
      </c>
      <c r="B15" s="62">
        <v>90</v>
      </c>
      <c r="C15" s="58" t="s">
        <v>1706</v>
      </c>
      <c r="D15" s="58"/>
      <c r="E15" s="58"/>
      <c r="F15" s="58"/>
      <c r="G15" s="88" t="s">
        <v>1707</v>
      </c>
    </row>
    <row r="16" spans="1:7" ht="27" customHeight="1" x14ac:dyDescent="0.2">
      <c r="A16" s="90" t="s">
        <v>1708</v>
      </c>
      <c r="B16" s="64">
        <v>14.93</v>
      </c>
      <c r="C16" s="58" t="s">
        <v>36</v>
      </c>
      <c r="D16" s="58"/>
      <c r="E16" s="58"/>
      <c r="F16" s="58"/>
      <c r="G16" s="88" t="s">
        <v>1709</v>
      </c>
    </row>
    <row r="17" spans="1:7" x14ac:dyDescent="0.2">
      <c r="A17" s="90" t="s">
        <v>1645</v>
      </c>
      <c r="B17" s="64">
        <v>0</v>
      </c>
      <c r="C17" s="58" t="s">
        <v>36</v>
      </c>
      <c r="D17" s="58"/>
      <c r="E17" s="58"/>
      <c r="F17" s="58"/>
      <c r="G17" s="88" t="s">
        <v>1710</v>
      </c>
    </row>
    <row r="18" spans="1:7" ht="27" customHeight="1" x14ac:dyDescent="0.2">
      <c r="A18" s="90" t="s">
        <v>1647</v>
      </c>
      <c r="B18" s="63">
        <v>0.05</v>
      </c>
      <c r="C18" s="58" t="s">
        <v>1711</v>
      </c>
      <c r="D18" s="58"/>
      <c r="E18" s="58"/>
      <c r="F18" s="58"/>
      <c r="G18" s="88" t="s">
        <v>1712</v>
      </c>
    </row>
    <row r="19" spans="1:7" x14ac:dyDescent="0.2">
      <c r="A19" s="90" t="s">
        <v>1667</v>
      </c>
      <c r="B19" s="64">
        <v>10</v>
      </c>
      <c r="C19" s="58" t="s">
        <v>36</v>
      </c>
      <c r="D19" s="58"/>
      <c r="E19" s="58"/>
      <c r="F19" s="58"/>
      <c r="G19" s="88" t="s">
        <v>1713</v>
      </c>
    </row>
    <row r="20" spans="1:7" ht="27" customHeight="1" x14ac:dyDescent="0.2">
      <c r="A20" s="90" t="s">
        <v>1669</v>
      </c>
      <c r="B20" s="63">
        <v>0</v>
      </c>
      <c r="C20" s="58" t="s">
        <v>1711</v>
      </c>
      <c r="D20" s="58"/>
      <c r="E20" s="58"/>
      <c r="F20" s="58"/>
      <c r="G20" s="88" t="s">
        <v>1714</v>
      </c>
    </row>
    <row r="21" spans="1:7" ht="27" customHeight="1" x14ac:dyDescent="0.2">
      <c r="A21" s="90" t="s">
        <v>1715</v>
      </c>
      <c r="B21" s="64">
        <v>1072.8699999999999</v>
      </c>
      <c r="C21" s="58" t="s">
        <v>36</v>
      </c>
      <c r="D21" s="58"/>
      <c r="E21" s="58"/>
      <c r="F21" s="58"/>
      <c r="G21" s="88" t="s">
        <v>1716</v>
      </c>
    </row>
    <row r="22" spans="1:7" x14ac:dyDescent="0.2">
      <c r="A22" s="90" t="s">
        <v>1715</v>
      </c>
      <c r="B22" s="65">
        <v>34042</v>
      </c>
      <c r="C22" s="58" t="s">
        <v>37</v>
      </c>
      <c r="D22" s="58"/>
      <c r="E22" s="58"/>
      <c r="F22" s="58"/>
      <c r="G22" s="88" t="s">
        <v>1717</v>
      </c>
    </row>
    <row r="23" spans="1:7" x14ac:dyDescent="0.2">
      <c r="A23" s="90" t="s">
        <v>1718</v>
      </c>
      <c r="B23" s="64">
        <v>82.02</v>
      </c>
      <c r="C23" s="58" t="s">
        <v>36</v>
      </c>
      <c r="D23" s="58"/>
      <c r="E23" s="58"/>
      <c r="F23" s="58"/>
      <c r="G23" s="88" t="s">
        <v>1717</v>
      </c>
    </row>
    <row r="24" spans="1:7" ht="27" customHeight="1" x14ac:dyDescent="0.2">
      <c r="A24" s="90" t="s">
        <v>1719</v>
      </c>
      <c r="B24" s="64">
        <v>856.14</v>
      </c>
      <c r="C24" s="58" t="s">
        <v>36</v>
      </c>
      <c r="D24" s="58"/>
      <c r="E24" s="58"/>
      <c r="F24" s="58"/>
      <c r="G24" s="88" t="s">
        <v>1720</v>
      </c>
    </row>
    <row r="25" spans="1:7" x14ac:dyDescent="0.2">
      <c r="A25" s="59" t="s">
        <v>1721</v>
      </c>
      <c r="B25" s="3" t="s">
        <v>21</v>
      </c>
      <c r="C25" s="3" t="s">
        <v>1676</v>
      </c>
      <c r="D25" s="3"/>
      <c r="E25" s="3"/>
      <c r="F25" s="3"/>
      <c r="G25" s="87" t="s">
        <v>127</v>
      </c>
    </row>
    <row r="26" spans="1:7" ht="27" customHeight="1" x14ac:dyDescent="0.2">
      <c r="A26" s="90" t="s">
        <v>1722</v>
      </c>
      <c r="B26" s="66">
        <f>COUNTIF('Parts list'!$M$4:$M$185,"Yes")+COUNTIF('Parts list'!$M$4:$M$185,"Owner")</f>
        <v>168</v>
      </c>
      <c r="C26" s="58" t="s">
        <v>1723</v>
      </c>
      <c r="D26" s="58"/>
      <c r="E26" s="58"/>
      <c r="F26" s="58"/>
      <c r="G26" s="88" t="s">
        <v>1724</v>
      </c>
    </row>
    <row r="27" spans="1:7" x14ac:dyDescent="0.2">
      <c r="A27" s="90" t="s">
        <v>1725</v>
      </c>
      <c r="B27" s="66">
        <f>COUNTIF('Parts list'!$M$4:$M$185,"Owner")</f>
        <v>4</v>
      </c>
      <c r="C27" s="58" t="s">
        <v>1723</v>
      </c>
      <c r="D27" s="58"/>
      <c r="E27" s="58"/>
      <c r="F27" s="58"/>
      <c r="G27" s="88" t="s">
        <v>1726</v>
      </c>
    </row>
    <row r="28" spans="1:7" x14ac:dyDescent="0.2">
      <c r="A28" s="90" t="s">
        <v>25</v>
      </c>
      <c r="B28" s="66">
        <f>SUMIFS('Parts list'!$C$4:$C$185,'Parts list'!$M$4:$M$185,"Yes")+SUMIFS('Parts list'!$C$4:$C$185,'Parts list'!$M$4:$M$185,"Owner")</f>
        <v>462</v>
      </c>
      <c r="C28" s="58" t="s">
        <v>1727</v>
      </c>
      <c r="D28" s="58"/>
      <c r="E28" s="58"/>
      <c r="F28" s="58"/>
      <c r="G28" s="88" t="s">
        <v>95</v>
      </c>
    </row>
    <row r="29" spans="1:7" x14ac:dyDescent="0.2">
      <c r="A29" s="90" t="s">
        <v>1728</v>
      </c>
      <c r="B29" s="66">
        <f>SUMIFS('Parts list'!$C$4:$C$185,'Parts list'!$M$4:$M$185,"Yes")</f>
        <v>455</v>
      </c>
      <c r="C29" s="58" t="s">
        <v>1727</v>
      </c>
      <c r="D29" s="58"/>
      <c r="E29" s="58"/>
      <c r="F29" s="58"/>
      <c r="G29" s="88" t="s">
        <v>1729</v>
      </c>
    </row>
    <row r="30" spans="1:7" x14ac:dyDescent="0.2">
      <c r="A30" s="90" t="s">
        <v>1730</v>
      </c>
      <c r="B30" s="66" cm="1">
        <f t="array" ref="B30">SUMPRODUCT(('Parts list'!$M$4:$M$185="Yes")*'Parts list'!$C$4:$C$185*'Parts list'!$O$4:$O$185)</f>
        <v>1311</v>
      </c>
      <c r="C30" s="58" t="s">
        <v>1731</v>
      </c>
      <c r="D30" s="58"/>
      <c r="E30" s="58"/>
      <c r="F30" s="58"/>
      <c r="G30" s="88" t="s">
        <v>1732</v>
      </c>
    </row>
    <row r="31" spans="1:7" ht="27" customHeight="1" x14ac:dyDescent="0.2">
      <c r="A31" s="90" t="s">
        <v>1733</v>
      </c>
      <c r="B31" s="66" cm="1">
        <f t="array" ref="B31">SUMPRODUCT(('Parts list'!$M$4:$M$185="Yes")*'Parts list'!$C$4:$C$185*'Parts list'!$P$4:$P$185)</f>
        <v>6</v>
      </c>
      <c r="C31" s="58" t="s">
        <v>1731</v>
      </c>
      <c r="D31" s="58"/>
      <c r="E31" s="58"/>
      <c r="F31" s="58"/>
      <c r="G31" s="88" t="s">
        <v>1734</v>
      </c>
    </row>
    <row r="32" spans="1:7" x14ac:dyDescent="0.2">
      <c r="A32" s="90" t="s">
        <v>1735</v>
      </c>
      <c r="B32" s="66">
        <f>COUNTA('Purchasing list'!$C$4:$C$114)</f>
        <v>111</v>
      </c>
      <c r="C32" s="58" t="s">
        <v>1736</v>
      </c>
      <c r="D32" s="58"/>
      <c r="E32" s="58"/>
      <c r="F32" s="58"/>
      <c r="G32" s="88" t="s">
        <v>1737</v>
      </c>
    </row>
    <row r="33" spans="1:7" ht="27" customHeight="1" x14ac:dyDescent="0.2">
      <c r="A33" s="90" t="s">
        <v>1738</v>
      </c>
      <c r="B33" s="66">
        <f>COUNTIF('Purchasing list'!$G$4:$G$114,"Basic*")</f>
        <v>34</v>
      </c>
      <c r="C33" s="58" t="s">
        <v>1736</v>
      </c>
      <c r="D33" s="58"/>
      <c r="E33" s="58"/>
      <c r="F33" s="58"/>
      <c r="G33" s="88" t="s">
        <v>1739</v>
      </c>
    </row>
    <row r="34" spans="1:7" x14ac:dyDescent="0.2">
      <c r="A34" s="90" t="s">
        <v>1740</v>
      </c>
      <c r="B34" s="66">
        <f>B32-B33</f>
        <v>77</v>
      </c>
      <c r="C34" s="58" t="s">
        <v>1736</v>
      </c>
      <c r="D34" s="58"/>
      <c r="E34" s="58"/>
      <c r="F34" s="58"/>
      <c r="G34" s="88" t="s">
        <v>1741</v>
      </c>
    </row>
    <row r="35" spans="1:7" ht="27" customHeight="1" x14ac:dyDescent="0.2">
      <c r="A35" s="90" t="s">
        <v>1742</v>
      </c>
      <c r="B35" s="66">
        <f>SUMIFS('Parts list'!$C$4:$C$185,'Parts list'!$M$4:$M$185,"Yes",'Parts list'!$N$4:$N$185,"Yes")</f>
        <v>10</v>
      </c>
      <c r="C35" s="58" t="s">
        <v>1727</v>
      </c>
      <c r="D35" s="58"/>
      <c r="E35" s="58"/>
      <c r="F35" s="58"/>
      <c r="G35" s="88" t="s">
        <v>1743</v>
      </c>
    </row>
    <row r="36" spans="1:7" x14ac:dyDescent="0.2">
      <c r="A36" s="90" t="s">
        <v>1744</v>
      </c>
      <c r="B36" s="66">
        <f>B35*$B$6</f>
        <v>50</v>
      </c>
      <c r="C36" s="58" t="s">
        <v>1745</v>
      </c>
      <c r="D36" s="58"/>
      <c r="E36" s="58"/>
      <c r="F36" s="58"/>
      <c r="G36" s="88" t="s">
        <v>1746</v>
      </c>
    </row>
    <row r="37" spans="1:7" ht="27" customHeight="1" x14ac:dyDescent="0.2">
      <c r="A37" s="90" t="s">
        <v>1747</v>
      </c>
      <c r="B37" s="67">
        <f>SUMIFS('Parts list'!$W$4:$W$185,'Parts list'!$K$4:$K$185,"Global sourcing",'Parts list'!$M$4:$M$185,"Yes")</f>
        <v>95.239199999999997</v>
      </c>
      <c r="C37" s="58" t="s">
        <v>36</v>
      </c>
      <c r="D37" s="58"/>
      <c r="E37" s="58"/>
      <c r="F37" s="58"/>
      <c r="G37" s="88" t="s">
        <v>1748</v>
      </c>
    </row>
    <row r="38" spans="1:7" x14ac:dyDescent="0.2">
      <c r="A38" s="90" t="s">
        <v>1749</v>
      </c>
      <c r="B38" s="67">
        <f>SUMIFS('Parts list'!$W$4:$W$185,'Parts list'!$H$4:$H$185,"Toshiba TLP3545A(TP1,F)",'Parts list'!$M$4:$M$185,"Yes")</f>
        <v>0</v>
      </c>
      <c r="C38" s="58" t="s">
        <v>36</v>
      </c>
      <c r="D38" s="58"/>
      <c r="E38" s="58"/>
      <c r="F38" s="58"/>
      <c r="G38" s="88" t="s">
        <v>1750</v>
      </c>
    </row>
    <row r="39" spans="1:7" x14ac:dyDescent="0.2">
      <c r="A39" s="90"/>
      <c r="B39" s="58"/>
      <c r="C39" s="58"/>
      <c r="D39" s="58"/>
      <c r="E39" s="58"/>
      <c r="F39" s="58"/>
      <c r="G39" s="88"/>
    </row>
    <row r="40" spans="1:7" x14ac:dyDescent="0.2">
      <c r="A40" s="59" t="s">
        <v>1751</v>
      </c>
      <c r="B40" s="3"/>
      <c r="C40" s="3"/>
      <c r="D40" s="3"/>
      <c r="E40" s="3" t="s">
        <v>36</v>
      </c>
      <c r="F40" s="3" t="s">
        <v>37</v>
      </c>
      <c r="G40" s="87" t="s">
        <v>1677</v>
      </c>
    </row>
    <row r="41" spans="1:7" ht="27" customHeight="1" x14ac:dyDescent="0.2">
      <c r="A41" s="90" t="s">
        <v>1752</v>
      </c>
      <c r="B41" s="58"/>
      <c r="C41" s="58"/>
      <c r="D41" s="58"/>
      <c r="E41" s="69" cm="1">
        <f t="array" ref="E41">SUMPRODUCT(('Parts list'!$M$4:$M$185="Yes")*'Parts list'!$C$4:$C$185*'Parts list'!$Q$4:$Q$185)</f>
        <v>71.285100000000028</v>
      </c>
      <c r="F41" s="76">
        <f>E41*$B$5</f>
        <v>2261.8762230000011</v>
      </c>
      <c r="G41" s="88" t="str">
        <f>TEXT(B29,"0")&amp;" parts on "&amp;TEXT(COUNTIF('Parts list'!$M$4:$M$185,"Yes"),"0")&amp;" lines (unit prices of the Parts list)"</f>
        <v>455 parts on 164 lines (unit prices of the Parts list)</v>
      </c>
    </row>
    <row r="42" spans="1:7" x14ac:dyDescent="0.2">
      <c r="A42" s="90" t="s">
        <v>1753</v>
      </c>
      <c r="B42" s="58"/>
      <c r="C42" s="58"/>
      <c r="D42" s="58"/>
      <c r="E42" s="69" cm="1">
        <f t="array" ref="E42">SUMPRODUCT(('Parts list'!$M$4:$M$185="Owner")*'Parts list'!$C$4:$C$185*'Parts list'!$Q$4:$Q$185)</f>
        <v>22.751999999999999</v>
      </c>
      <c r="F42" s="76">
        <f>E42*$B$5</f>
        <v>721.92095999999992</v>
      </c>
      <c r="G42" s="88" t="str">
        <f>TEXT(B28-B29,"0")&amp;" parts on "&amp;TEXT(B27,"0")&amp;" lines (distributor prices)"</f>
        <v>7 parts on 4 lines (distributor prices)</v>
      </c>
    </row>
    <row r="43" spans="1:7" ht="30" x14ac:dyDescent="0.2">
      <c r="A43" s="90" t="s">
        <v>1754</v>
      </c>
      <c r="B43" s="58"/>
      <c r="C43" s="58"/>
      <c r="D43" s="58"/>
      <c r="E43" s="69">
        <f>E41+E42</f>
        <v>94.037100000000024</v>
      </c>
      <c r="F43" s="76">
        <f>E43*$B$5</f>
        <v>2983.7971830000006</v>
      </c>
      <c r="G43" s="88" t="s">
        <v>1755</v>
      </c>
    </row>
    <row r="44" spans="1:7" x14ac:dyDescent="0.2">
      <c r="A44" s="90" t="s">
        <v>1756</v>
      </c>
      <c r="B44" s="58"/>
      <c r="C44" s="58"/>
      <c r="D44" s="58"/>
      <c r="E44" s="69">
        <f>SUMIFS('Parts list'!$S$4:$S$185,'Parts list'!$M$4:$M$185,"Yes")</f>
        <v>356.42550000000006</v>
      </c>
      <c r="F44" s="76">
        <f>E44*$B$5</f>
        <v>11309.381115000002</v>
      </c>
      <c r="G44" s="88" t="s">
        <v>1757</v>
      </c>
    </row>
    <row r="45" spans="1:7" ht="27" customHeight="1" x14ac:dyDescent="0.2">
      <c r="A45" s="90" t="s">
        <v>1758</v>
      </c>
      <c r="B45" s="58"/>
      <c r="C45" s="58"/>
      <c r="D45" s="58"/>
      <c r="E45" s="69">
        <f>'Purchasing list'!$S$116</f>
        <v>397.33459999999991</v>
      </c>
      <c r="F45" s="76">
        <f>E45*$B$5</f>
        <v>12607.426857999997</v>
      </c>
      <c r="G45" s="88" t="s">
        <v>1759</v>
      </c>
    </row>
    <row r="46" spans="1:7" x14ac:dyDescent="0.2">
      <c r="A46" s="90"/>
      <c r="B46" s="58"/>
      <c r="C46" s="58"/>
      <c r="D46" s="58"/>
      <c r="E46" s="69"/>
      <c r="F46" s="76"/>
      <c r="G46" s="88"/>
    </row>
    <row r="47" spans="1:7" ht="27" customHeight="1" x14ac:dyDescent="0.2">
      <c r="A47" s="59" t="s">
        <v>1760</v>
      </c>
      <c r="B47" s="3" t="s">
        <v>1761</v>
      </c>
      <c r="C47" s="3" t="s">
        <v>1762</v>
      </c>
      <c r="D47" s="3" t="s">
        <v>1763</v>
      </c>
      <c r="E47" s="74" t="s">
        <v>1764</v>
      </c>
      <c r="F47" s="77" t="s">
        <v>1765</v>
      </c>
      <c r="G47" s="87" t="s">
        <v>1677</v>
      </c>
    </row>
    <row r="48" spans="1:7" x14ac:dyDescent="0.2">
      <c r="A48" s="90" t="s">
        <v>1766</v>
      </c>
      <c r="B48" s="58"/>
      <c r="C48" s="68"/>
      <c r="D48" s="70">
        <v>8.18</v>
      </c>
      <c r="E48" s="70">
        <v>25.56</v>
      </c>
      <c r="F48" s="76">
        <f t="shared" ref="F48:F58" si="0">N(E48)*$B$5</f>
        <v>811.01879999999994</v>
      </c>
      <c r="G48" s="88" t="s">
        <v>1767</v>
      </c>
    </row>
    <row r="49" spans="1:7" x14ac:dyDescent="0.2">
      <c r="A49" s="90" t="s">
        <v>1768</v>
      </c>
      <c r="B49" s="58"/>
      <c r="C49" s="68"/>
      <c r="D49" s="70">
        <v>1.53</v>
      </c>
      <c r="E49" s="70">
        <v>8.2100000000000009</v>
      </c>
      <c r="F49" s="76">
        <f t="shared" si="0"/>
        <v>260.50330000000002</v>
      </c>
      <c r="G49" s="88" t="s">
        <v>1769</v>
      </c>
    </row>
    <row r="50" spans="1:7" ht="27" customHeight="1" x14ac:dyDescent="0.2">
      <c r="A50" s="90" t="s">
        <v>1770</v>
      </c>
      <c r="B50" s="66">
        <f>B30*$B$6</f>
        <v>6555</v>
      </c>
      <c r="C50" s="71">
        <v>1.6000000000000001E-3</v>
      </c>
      <c r="D50" s="69">
        <f>B50*C50</f>
        <v>10.488000000000001</v>
      </c>
      <c r="E50" s="69">
        <f>B50*C50</f>
        <v>10.488000000000001</v>
      </c>
      <c r="F50" s="76">
        <f t="shared" si="0"/>
        <v>332.78424000000007</v>
      </c>
      <c r="G50" s="88" t="str">
        <f>TEXT(B30,"#,##0")&amp;" joints per board × "&amp;TEXT($B$6,"0")&amp;" boards"</f>
        <v>1,311 joints per board × 5 boards</v>
      </c>
    </row>
    <row r="51" spans="1:7" ht="27" customHeight="1" x14ac:dyDescent="0.2">
      <c r="A51" s="90" t="s">
        <v>1771</v>
      </c>
      <c r="B51" s="66">
        <v>0</v>
      </c>
      <c r="C51" s="71">
        <v>1.6400000000000001E-2</v>
      </c>
      <c r="D51" s="69">
        <f>B51*C51</f>
        <v>0</v>
      </c>
      <c r="E51" s="69">
        <f>B51*C51</f>
        <v>0</v>
      </c>
      <c r="F51" s="76">
        <f t="shared" si="0"/>
        <v>0</v>
      </c>
      <c r="G51" s="88" t="s">
        <v>1772</v>
      </c>
    </row>
    <row r="52" spans="1:7" x14ac:dyDescent="0.2">
      <c r="A52" s="90" t="s">
        <v>1773</v>
      </c>
      <c r="B52" s="66"/>
      <c r="C52" s="71"/>
      <c r="D52" s="70">
        <v>0</v>
      </c>
      <c r="E52" s="70">
        <v>0</v>
      </c>
      <c r="F52" s="76">
        <f t="shared" si="0"/>
        <v>0</v>
      </c>
      <c r="G52" s="88" t="s">
        <v>1774</v>
      </c>
    </row>
    <row r="53" spans="1:7" ht="27" customHeight="1" x14ac:dyDescent="0.2">
      <c r="A53" s="90" t="s">
        <v>1775</v>
      </c>
      <c r="B53" s="66">
        <f>B34</f>
        <v>77</v>
      </c>
      <c r="C53" s="71">
        <v>3.07</v>
      </c>
      <c r="D53" s="69">
        <f>B53*C53</f>
        <v>236.39</v>
      </c>
      <c r="E53" s="69"/>
      <c r="F53" s="76">
        <f t="shared" si="0"/>
        <v>0</v>
      </c>
      <c r="G53" s="88" t="str">
        <f>"Basic types ("&amp;TEXT(B33,"0")&amp;") are free in Economic"</f>
        <v>Basic types (34) are free in Economic</v>
      </c>
    </row>
    <row r="54" spans="1:7" x14ac:dyDescent="0.2">
      <c r="A54" s="90" t="s">
        <v>1776</v>
      </c>
      <c r="B54" s="66">
        <f>B32</f>
        <v>111</v>
      </c>
      <c r="C54" s="71">
        <v>1.53</v>
      </c>
      <c r="D54" s="69"/>
      <c r="E54" s="69">
        <f>B54*C54</f>
        <v>169.83</v>
      </c>
      <c r="F54" s="76">
        <f t="shared" si="0"/>
        <v>5388.7059000000008</v>
      </c>
      <c r="G54" s="88" t="s">
        <v>1777</v>
      </c>
    </row>
    <row r="55" spans="1:7" ht="27" customHeight="1" x14ac:dyDescent="0.2">
      <c r="A55" s="90" t="s">
        <v>1778</v>
      </c>
      <c r="B55" s="66">
        <f>B36</f>
        <v>50</v>
      </c>
      <c r="C55" s="68">
        <f>INDEX($C$180:$C$186,MATCH(B55,$B$180:$B$186,1))</f>
        <v>0.82</v>
      </c>
      <c r="D55" s="69">
        <f>B55*C55</f>
        <v>41</v>
      </c>
      <c r="E55" s="69">
        <f>B55*C55</f>
        <v>41</v>
      </c>
      <c r="F55" s="76">
        <f t="shared" si="0"/>
        <v>1300.93</v>
      </c>
      <c r="G55" s="88" t="s">
        <v>1779</v>
      </c>
    </row>
    <row r="56" spans="1:7" x14ac:dyDescent="0.2">
      <c r="A56" s="90" t="s">
        <v>1780</v>
      </c>
      <c r="B56" s="66"/>
      <c r="C56" s="68"/>
      <c r="D56" s="70">
        <v>0.45</v>
      </c>
      <c r="E56" s="70">
        <v>0.45</v>
      </c>
      <c r="F56" s="76">
        <f t="shared" si="0"/>
        <v>14.278500000000001</v>
      </c>
      <c r="G56" s="88" t="s">
        <v>1769</v>
      </c>
    </row>
    <row r="57" spans="1:7" x14ac:dyDescent="0.2">
      <c r="A57" s="90" t="s">
        <v>1781</v>
      </c>
      <c r="B57" s="66"/>
      <c r="C57" s="68"/>
      <c r="D57" s="70"/>
      <c r="E57" s="70">
        <v>16.420000000000002</v>
      </c>
      <c r="F57" s="76">
        <f t="shared" si="0"/>
        <v>521.00660000000005</v>
      </c>
      <c r="G57" s="88" t="s">
        <v>1782</v>
      </c>
    </row>
    <row r="58" spans="1:7" x14ac:dyDescent="0.2">
      <c r="A58" s="90" t="s">
        <v>1783</v>
      </c>
      <c r="B58" s="66">
        <f>B15*$B$6</f>
        <v>450</v>
      </c>
      <c r="C58" s="71">
        <v>3.0000000000000001E-5</v>
      </c>
      <c r="D58" s="69"/>
      <c r="E58" s="69">
        <f>0.5+B58*C58</f>
        <v>0.51349999999999996</v>
      </c>
      <c r="F58" s="76">
        <f t="shared" si="0"/>
        <v>16.293354999999998</v>
      </c>
      <c r="G58" s="88" t="s">
        <v>1782</v>
      </c>
    </row>
    <row r="59" spans="1:7" x14ac:dyDescent="0.2">
      <c r="A59" s="91" t="s">
        <v>1784</v>
      </c>
      <c r="B59" s="25"/>
      <c r="C59" s="25"/>
      <c r="D59" s="29">
        <f>SUM(D48:D58)</f>
        <v>298.03799999999995</v>
      </c>
      <c r="E59" s="29">
        <f>SUM(E48:E58)</f>
        <v>272.47150000000005</v>
      </c>
      <c r="F59" s="92">
        <f>E59*$B$5</f>
        <v>8645.5206950000011</v>
      </c>
      <c r="G59" s="93"/>
    </row>
    <row r="60" spans="1:7" ht="27" customHeight="1" x14ac:dyDescent="0.2">
      <c r="A60" s="90" t="s">
        <v>1785</v>
      </c>
      <c r="B60" s="58"/>
      <c r="C60" s="58"/>
      <c r="D60" s="69"/>
      <c r="E60" s="69">
        <f>MAX(0,D59+$B$16-E59)</f>
        <v>40.496499999999912</v>
      </c>
      <c r="F60" s="76">
        <f>E60*$B$5</f>
        <v>1284.9539449999972</v>
      </c>
      <c r="G60" s="88" t="s">
        <v>1786</v>
      </c>
    </row>
    <row r="61" spans="1:7" ht="54" customHeight="1" x14ac:dyDescent="0.2">
      <c r="A61" s="91" t="s">
        <v>1787</v>
      </c>
      <c r="B61" s="25"/>
      <c r="C61" s="25"/>
      <c r="D61" s="29">
        <f>D59</f>
        <v>298.03799999999995</v>
      </c>
      <c r="E61" s="29">
        <f>E59+E60</f>
        <v>312.96799999999996</v>
      </c>
      <c r="F61" s="92">
        <f>E61*$B$5</f>
        <v>9930.4746399999985</v>
      </c>
      <c r="G61" s="93" t="s">
        <v>1788</v>
      </c>
    </row>
    <row r="62" spans="1:7" x14ac:dyDescent="0.2">
      <c r="A62" s="90"/>
      <c r="B62" s="58"/>
      <c r="C62" s="58"/>
      <c r="D62" s="58"/>
      <c r="E62" s="69"/>
      <c r="F62" s="76"/>
      <c r="G62" s="88"/>
    </row>
    <row r="63" spans="1:7" ht="27" customHeight="1" x14ac:dyDescent="0.2">
      <c r="A63" s="59" t="s">
        <v>1789</v>
      </c>
      <c r="B63" s="3" t="s">
        <v>1677</v>
      </c>
      <c r="C63" s="3" t="s">
        <v>1790</v>
      </c>
      <c r="D63" s="3"/>
      <c r="E63" s="74" t="s">
        <v>36</v>
      </c>
      <c r="F63" s="77" t="s">
        <v>37</v>
      </c>
      <c r="G63" s="87" t="s">
        <v>1677</v>
      </c>
    </row>
    <row r="64" spans="1:7" ht="27" customHeight="1" x14ac:dyDescent="0.2">
      <c r="A64" s="90" t="s">
        <v>1791</v>
      </c>
      <c r="B64" s="67">
        <f>B37</f>
        <v>95.239199999999997</v>
      </c>
      <c r="C64" s="73">
        <f>B10</f>
        <v>0.1</v>
      </c>
      <c r="D64" s="58"/>
      <c r="E64" s="69">
        <f>B64*C64</f>
        <v>9.5239200000000004</v>
      </c>
      <c r="F64" s="76">
        <f>E64*$B$5</f>
        <v>302.19398160000003</v>
      </c>
      <c r="G64" s="88" t="str">
        <f>"rate B10 × global-sourced value US$ "&amp;TEXT(B37,"#,##0.00")</f>
        <v>rate B10 × global-sourced value US$ 95.24</v>
      </c>
    </row>
    <row r="65" spans="1:7" x14ac:dyDescent="0.2">
      <c r="A65" s="90" t="s">
        <v>1792</v>
      </c>
      <c r="B65" s="72">
        <f>B13</f>
        <v>1</v>
      </c>
      <c r="C65" s="67">
        <f>B12</f>
        <v>20</v>
      </c>
      <c r="D65" s="58"/>
      <c r="E65" s="69">
        <f>B65*C65</f>
        <v>20</v>
      </c>
      <c r="F65" s="76">
        <f>E65*$B$5</f>
        <v>634.6</v>
      </c>
      <c r="G65" s="88" t="s">
        <v>1700</v>
      </c>
    </row>
    <row r="66" spans="1:7" x14ac:dyDescent="0.2">
      <c r="A66" s="90" t="s">
        <v>1793</v>
      </c>
      <c r="B66" s="67">
        <f>B38</f>
        <v>0</v>
      </c>
      <c r="C66" s="73">
        <f>B11</f>
        <v>0.3</v>
      </c>
      <c r="D66" s="58"/>
      <c r="E66" s="69">
        <f>B66*C66</f>
        <v>0</v>
      </c>
      <c r="F66" s="76">
        <f>E66*$B$5</f>
        <v>0</v>
      </c>
      <c r="G66" s="88" t="s">
        <v>1794</v>
      </c>
    </row>
    <row r="67" spans="1:7" x14ac:dyDescent="0.2">
      <c r="A67" s="90" t="s">
        <v>1795</v>
      </c>
      <c r="B67" s="67">
        <v>0</v>
      </c>
      <c r="C67" s="73">
        <v>0</v>
      </c>
      <c r="D67" s="58"/>
      <c r="E67" s="69">
        <f>B67*C67</f>
        <v>0</v>
      </c>
      <c r="F67" s="76">
        <f>E67*$B$5</f>
        <v>0</v>
      </c>
      <c r="G67" s="88" t="s">
        <v>1796</v>
      </c>
    </row>
    <row r="68" spans="1:7" x14ac:dyDescent="0.2">
      <c r="A68" s="91" t="s">
        <v>1797</v>
      </c>
      <c r="B68" s="25"/>
      <c r="C68" s="25"/>
      <c r="D68" s="25"/>
      <c r="E68" s="29">
        <f>SUM(E64:E67)</f>
        <v>29.52392</v>
      </c>
      <c r="F68" s="92">
        <f>E68*$B$5</f>
        <v>936.79398160000005</v>
      </c>
      <c r="G68" s="93"/>
    </row>
    <row r="69" spans="1:7" x14ac:dyDescent="0.2">
      <c r="A69" s="90"/>
      <c r="B69" s="58"/>
      <c r="C69" s="58"/>
      <c r="D69" s="58"/>
      <c r="E69" s="69"/>
      <c r="F69" s="76"/>
      <c r="G69" s="88"/>
    </row>
    <row r="70" spans="1:7" ht="27" customHeight="1" x14ac:dyDescent="0.2">
      <c r="A70" s="59" t="s">
        <v>1798</v>
      </c>
      <c r="B70" s="3"/>
      <c r="C70" s="3"/>
      <c r="D70" s="3" t="s">
        <v>1799</v>
      </c>
      <c r="E70" s="74" t="s">
        <v>36</v>
      </c>
      <c r="F70" s="77" t="s">
        <v>37</v>
      </c>
      <c r="G70" s="87" t="s">
        <v>1677</v>
      </c>
    </row>
    <row r="71" spans="1:7" ht="27" customHeight="1" x14ac:dyDescent="0.2">
      <c r="A71" s="90" t="s">
        <v>1800</v>
      </c>
      <c r="B71" s="58"/>
      <c r="C71" s="58"/>
      <c r="D71" s="64">
        <v>8</v>
      </c>
      <c r="E71" s="69">
        <f>D71</f>
        <v>8</v>
      </c>
      <c r="F71" s="76">
        <f t="shared" ref="F71:F76" si="1">E71*$B$5</f>
        <v>253.84</v>
      </c>
      <c r="G71" s="88" t="s">
        <v>1801</v>
      </c>
    </row>
    <row r="72" spans="1:7" x14ac:dyDescent="0.2">
      <c r="A72" s="90" t="s">
        <v>1802</v>
      </c>
      <c r="B72" s="58"/>
      <c r="C72" s="58"/>
      <c r="D72" s="64">
        <v>15</v>
      </c>
      <c r="E72" s="69">
        <f>D72</f>
        <v>15</v>
      </c>
      <c r="F72" s="76">
        <f t="shared" si="1"/>
        <v>475.95</v>
      </c>
      <c r="G72" s="88" t="s">
        <v>1689</v>
      </c>
    </row>
    <row r="73" spans="1:7" x14ac:dyDescent="0.2">
      <c r="A73" s="90" t="s">
        <v>1803</v>
      </c>
      <c r="B73" s="58"/>
      <c r="C73" s="58"/>
      <c r="D73" s="64">
        <v>0</v>
      </c>
      <c r="E73" s="69">
        <f>D73</f>
        <v>0</v>
      </c>
      <c r="F73" s="76">
        <f t="shared" si="1"/>
        <v>0</v>
      </c>
      <c r="G73" s="88" t="s">
        <v>1804</v>
      </c>
    </row>
    <row r="74" spans="1:7" ht="27" customHeight="1" x14ac:dyDescent="0.2">
      <c r="A74" s="90" t="s">
        <v>1805</v>
      </c>
      <c r="B74" s="58"/>
      <c r="C74" s="58"/>
      <c r="D74" s="64">
        <v>0</v>
      </c>
      <c r="E74" s="69">
        <f>D74</f>
        <v>0</v>
      </c>
      <c r="F74" s="76">
        <f t="shared" si="1"/>
        <v>0</v>
      </c>
      <c r="G74" s="88" t="s">
        <v>1806</v>
      </c>
    </row>
    <row r="75" spans="1:7" x14ac:dyDescent="0.2">
      <c r="A75" s="90" t="s">
        <v>1807</v>
      </c>
      <c r="B75" s="58"/>
      <c r="C75" s="58"/>
      <c r="D75" s="64">
        <v>0</v>
      </c>
      <c r="E75" s="69">
        <f>D75</f>
        <v>0</v>
      </c>
      <c r="F75" s="76">
        <f t="shared" si="1"/>
        <v>0</v>
      </c>
      <c r="G75" s="88" t="s">
        <v>1808</v>
      </c>
    </row>
    <row r="76" spans="1:7" x14ac:dyDescent="0.2">
      <c r="A76" s="91" t="s">
        <v>1809</v>
      </c>
      <c r="B76" s="25"/>
      <c r="C76" s="25"/>
      <c r="D76" s="25"/>
      <c r="E76" s="29">
        <f>SUM(E71:E75)</f>
        <v>23</v>
      </c>
      <c r="F76" s="92">
        <f t="shared" si="1"/>
        <v>729.79</v>
      </c>
      <c r="G76" s="93" t="s">
        <v>1810</v>
      </c>
    </row>
    <row r="77" spans="1:7" x14ac:dyDescent="0.2">
      <c r="A77" s="90"/>
      <c r="B77" s="58"/>
      <c r="C77" s="58"/>
      <c r="D77" s="58"/>
      <c r="E77" s="69"/>
      <c r="F77" s="76"/>
      <c r="G77" s="88"/>
    </row>
    <row r="78" spans="1:7" ht="27" customHeight="1" x14ac:dyDescent="0.2">
      <c r="A78" s="59" t="s">
        <v>1811</v>
      </c>
      <c r="B78" s="3"/>
      <c r="C78" s="3"/>
      <c r="D78" s="3"/>
      <c r="E78" s="74" t="s">
        <v>36</v>
      </c>
      <c r="F78" s="77" t="s">
        <v>37</v>
      </c>
      <c r="G78" s="87" t="s">
        <v>1677</v>
      </c>
    </row>
    <row r="79" spans="1:7" x14ac:dyDescent="0.2">
      <c r="A79" s="90" t="s">
        <v>1812</v>
      </c>
      <c r="B79" s="58"/>
      <c r="C79" s="58"/>
      <c r="D79" s="58"/>
      <c r="E79" s="69">
        <f>'Purchasing list'!$S$130</f>
        <v>100.6</v>
      </c>
      <c r="F79" s="76">
        <f t="shared" ref="F79:F87" si="2">E79*$B$5</f>
        <v>3192.038</v>
      </c>
      <c r="G79" s="88" t="s">
        <v>1813</v>
      </c>
    </row>
    <row r="80" spans="1:7" x14ac:dyDescent="0.2">
      <c r="A80" s="90" t="s">
        <v>1645</v>
      </c>
      <c r="B80" s="58"/>
      <c r="C80" s="58"/>
      <c r="D80" s="58"/>
      <c r="E80" s="69">
        <f>'Purchasing list'!$S$131</f>
        <v>0</v>
      </c>
      <c r="F80" s="76">
        <f t="shared" si="2"/>
        <v>0</v>
      </c>
      <c r="G80" s="88" t="s">
        <v>1814</v>
      </c>
    </row>
    <row r="81" spans="1:7" x14ac:dyDescent="0.2">
      <c r="A81" s="90" t="s">
        <v>1647</v>
      </c>
      <c r="B81" s="58"/>
      <c r="C81" s="58"/>
      <c r="D81" s="58"/>
      <c r="E81" s="69">
        <f>'Purchasing list'!$S$132</f>
        <v>5.03</v>
      </c>
      <c r="F81" s="76">
        <f t="shared" si="2"/>
        <v>159.6019</v>
      </c>
      <c r="G81" s="88" t="s">
        <v>1815</v>
      </c>
    </row>
    <row r="82" spans="1:7" x14ac:dyDescent="0.2">
      <c r="A82" s="90" t="s">
        <v>1648</v>
      </c>
      <c r="B82" s="58"/>
      <c r="C82" s="58"/>
      <c r="D82" s="58"/>
      <c r="E82" s="69">
        <f>'Purchasing list'!$S$133</f>
        <v>105.63</v>
      </c>
      <c r="F82" s="76">
        <f t="shared" si="2"/>
        <v>3351.6399000000001</v>
      </c>
      <c r="G82" s="88"/>
    </row>
    <row r="83" spans="1:7" x14ac:dyDescent="0.2">
      <c r="A83" s="90" t="s">
        <v>1816</v>
      </c>
      <c r="B83" s="58"/>
      <c r="C83" s="58"/>
      <c r="D83" s="58"/>
      <c r="E83" s="69">
        <f>'Purchasing list'!$S$152</f>
        <v>45.97</v>
      </c>
      <c r="F83" s="76">
        <f t="shared" si="2"/>
        <v>1458.6280999999999</v>
      </c>
      <c r="G83" s="88" t="s">
        <v>1817</v>
      </c>
    </row>
    <row r="84" spans="1:7" x14ac:dyDescent="0.2">
      <c r="A84" s="90" t="s">
        <v>1667</v>
      </c>
      <c r="B84" s="58"/>
      <c r="C84" s="58"/>
      <c r="D84" s="58"/>
      <c r="E84" s="69">
        <f>'Purchasing list'!$S$153</f>
        <v>10</v>
      </c>
      <c r="F84" s="76">
        <f t="shared" si="2"/>
        <v>317.3</v>
      </c>
      <c r="G84" s="88" t="s">
        <v>1818</v>
      </c>
    </row>
    <row r="85" spans="1:7" x14ac:dyDescent="0.2">
      <c r="A85" s="90" t="s">
        <v>1669</v>
      </c>
      <c r="B85" s="58"/>
      <c r="C85" s="58"/>
      <c r="D85" s="58"/>
      <c r="E85" s="69">
        <f>'Purchasing list'!$S$154</f>
        <v>0</v>
      </c>
      <c r="F85" s="76">
        <f t="shared" si="2"/>
        <v>0</v>
      </c>
      <c r="G85" s="88" t="s">
        <v>1819</v>
      </c>
    </row>
    <row r="86" spans="1:7" x14ac:dyDescent="0.2">
      <c r="A86" s="90" t="s">
        <v>1670</v>
      </c>
      <c r="B86" s="58"/>
      <c r="C86" s="58"/>
      <c r="D86" s="58"/>
      <c r="E86" s="69">
        <f>'Purchasing list'!$S$155</f>
        <v>55.97</v>
      </c>
      <c r="F86" s="76">
        <f t="shared" si="2"/>
        <v>1775.9281000000001</v>
      </c>
      <c r="G86" s="88"/>
    </row>
    <row r="87" spans="1:7" x14ac:dyDescent="0.2">
      <c r="A87" s="91" t="s">
        <v>1820</v>
      </c>
      <c r="B87" s="25"/>
      <c r="C87" s="25"/>
      <c r="D87" s="25"/>
      <c r="E87" s="29">
        <f>E82+E86</f>
        <v>161.6</v>
      </c>
      <c r="F87" s="92">
        <f t="shared" si="2"/>
        <v>5127.5680000000002</v>
      </c>
      <c r="G87" s="93" t="s">
        <v>1821</v>
      </c>
    </row>
    <row r="88" spans="1:7" x14ac:dyDescent="0.2">
      <c r="A88" s="90"/>
      <c r="B88" s="58"/>
      <c r="C88" s="58"/>
      <c r="D88" s="58"/>
      <c r="E88" s="69"/>
      <c r="F88" s="76"/>
      <c r="G88" s="88"/>
    </row>
    <row r="89" spans="1:7" ht="27" customHeight="1" x14ac:dyDescent="0.2">
      <c r="A89" s="59" t="s">
        <v>1822</v>
      </c>
      <c r="B89" s="3"/>
      <c r="C89" s="3"/>
      <c r="D89" s="3"/>
      <c r="E89" s="74" t="s">
        <v>36</v>
      </c>
      <c r="F89" s="77" t="s">
        <v>37</v>
      </c>
      <c r="G89" s="87" t="s">
        <v>1677</v>
      </c>
    </row>
    <row r="90" spans="1:7" x14ac:dyDescent="0.2">
      <c r="A90" s="90" t="s">
        <v>1823</v>
      </c>
      <c r="B90" s="58"/>
      <c r="C90" s="58"/>
      <c r="D90" s="58"/>
      <c r="E90" s="69">
        <f>E45</f>
        <v>397.33459999999991</v>
      </c>
      <c r="F90" s="76">
        <f t="shared" ref="F90:F105" si="3">E90*$B$5</f>
        <v>12607.426857999997</v>
      </c>
      <c r="G90" s="88" t="s">
        <v>1824</v>
      </c>
    </row>
    <row r="91" spans="1:7" x14ac:dyDescent="0.2">
      <c r="A91" s="90" t="s">
        <v>1825</v>
      </c>
      <c r="B91" s="58"/>
      <c r="C91" s="58"/>
      <c r="D91" s="58"/>
      <c r="E91" s="69">
        <f>E61</f>
        <v>312.96799999999996</v>
      </c>
      <c r="F91" s="76">
        <f t="shared" si="3"/>
        <v>9930.4746399999985</v>
      </c>
      <c r="G91" s="88" t="s">
        <v>1826</v>
      </c>
    </row>
    <row r="92" spans="1:7" x14ac:dyDescent="0.2">
      <c r="A92" s="90" t="s">
        <v>1827</v>
      </c>
      <c r="B92" s="58"/>
      <c r="C92" s="58"/>
      <c r="D92" s="58"/>
      <c r="E92" s="69">
        <f>E68</f>
        <v>29.52392</v>
      </c>
      <c r="F92" s="76">
        <f t="shared" si="3"/>
        <v>936.79398160000005</v>
      </c>
      <c r="G92" s="88" t="s">
        <v>1828</v>
      </c>
    </row>
    <row r="93" spans="1:7" x14ac:dyDescent="0.2">
      <c r="A93" s="90" t="s">
        <v>1829</v>
      </c>
      <c r="B93" s="58"/>
      <c r="C93" s="58"/>
      <c r="D93" s="58"/>
      <c r="E93" s="69">
        <f>E76</f>
        <v>23</v>
      </c>
      <c r="F93" s="76">
        <f t="shared" si="3"/>
        <v>729.79</v>
      </c>
      <c r="G93" s="88" t="s">
        <v>1830</v>
      </c>
    </row>
    <row r="94" spans="1:7" x14ac:dyDescent="0.2">
      <c r="A94" s="90" t="s">
        <v>1831</v>
      </c>
      <c r="B94" s="58"/>
      <c r="C94" s="58"/>
      <c r="D94" s="58"/>
      <c r="E94" s="69">
        <f>B14</f>
        <v>25</v>
      </c>
      <c r="F94" s="76">
        <f t="shared" si="3"/>
        <v>793.25</v>
      </c>
      <c r="G94" s="88" t="s">
        <v>1832</v>
      </c>
    </row>
    <row r="95" spans="1:7" x14ac:dyDescent="0.2">
      <c r="A95" s="91" t="s">
        <v>38</v>
      </c>
      <c r="B95" s="25"/>
      <c r="C95" s="25"/>
      <c r="D95" s="25"/>
      <c r="E95" s="29">
        <f>SUM(E90:E94)</f>
        <v>787.82651999999985</v>
      </c>
      <c r="F95" s="92">
        <f t="shared" si="3"/>
        <v>24997.735479599996</v>
      </c>
      <c r="G95" s="93"/>
    </row>
    <row r="96" spans="1:7" x14ac:dyDescent="0.2">
      <c r="A96" s="90" t="s">
        <v>39</v>
      </c>
      <c r="B96" s="58"/>
      <c r="C96" s="58"/>
      <c r="D96" s="58"/>
      <c r="E96" s="69">
        <f>E87</f>
        <v>161.6</v>
      </c>
      <c r="F96" s="76">
        <f t="shared" si="3"/>
        <v>5127.5680000000002</v>
      </c>
      <c r="G96" s="88" t="s">
        <v>1833</v>
      </c>
    </row>
    <row r="97" spans="1:7" x14ac:dyDescent="0.2">
      <c r="A97" s="91" t="s">
        <v>40</v>
      </c>
      <c r="B97" s="25"/>
      <c r="C97" s="25"/>
      <c r="D97" s="25"/>
      <c r="E97" s="29">
        <f>E95+E96</f>
        <v>949.42651999999987</v>
      </c>
      <c r="F97" s="92">
        <f t="shared" si="3"/>
        <v>30125.303479599996</v>
      </c>
      <c r="G97" s="93" t="s">
        <v>1834</v>
      </c>
    </row>
    <row r="98" spans="1:7" x14ac:dyDescent="0.2">
      <c r="A98" s="96" t="s">
        <v>1835</v>
      </c>
      <c r="B98" s="97"/>
      <c r="C98" s="97"/>
      <c r="D98" s="97"/>
      <c r="E98" s="98">
        <f>E97/$B$6</f>
        <v>189.88530399999996</v>
      </c>
      <c r="F98" s="99">
        <f t="shared" si="3"/>
        <v>6025.0606959199986</v>
      </c>
      <c r="G98" s="88"/>
    </row>
    <row r="99" spans="1:7" x14ac:dyDescent="0.2">
      <c r="A99" s="90" t="s">
        <v>1836</v>
      </c>
      <c r="B99" s="58"/>
      <c r="C99" s="58"/>
      <c r="D99" s="58"/>
      <c r="E99" s="69">
        <f>E95/$B$6</f>
        <v>157.56530399999997</v>
      </c>
      <c r="F99" s="76">
        <f t="shared" si="3"/>
        <v>4999.5470959199993</v>
      </c>
      <c r="G99" s="88"/>
    </row>
    <row r="100" spans="1:7" x14ac:dyDescent="0.2">
      <c r="A100" s="90" t="s">
        <v>1837</v>
      </c>
      <c r="B100" s="58"/>
      <c r="C100" s="58"/>
      <c r="D100" s="58"/>
      <c r="E100" s="69">
        <f>E96/$B$6</f>
        <v>32.32</v>
      </c>
      <c r="F100" s="76">
        <f t="shared" si="3"/>
        <v>1025.5136</v>
      </c>
      <c r="G100" s="88"/>
    </row>
    <row r="101" spans="1:7" ht="27" customHeight="1" x14ac:dyDescent="0.2">
      <c r="A101" s="89" t="s">
        <v>42</v>
      </c>
      <c r="B101" s="60"/>
      <c r="C101" s="60"/>
      <c r="D101" s="60"/>
      <c r="E101" s="100">
        <f>E97-E61+D61</f>
        <v>934.49651999999992</v>
      </c>
      <c r="F101" s="101">
        <f t="shared" si="3"/>
        <v>29651.574579599997</v>
      </c>
      <c r="G101" s="88" t="str">
        <f>"Economic is US$ "&amp;TEXT(E61-D61,"0.00")&amp;" cheaper but not chosen (row 61)"</f>
        <v>Economic is US$ 14.93 cheaper but not chosen (row 61)</v>
      </c>
    </row>
    <row r="102" spans="1:7" x14ac:dyDescent="0.2">
      <c r="A102" s="96" t="s">
        <v>1838</v>
      </c>
      <c r="B102" s="97"/>
      <c r="C102" s="97"/>
      <c r="D102" s="97"/>
      <c r="E102" s="98">
        <f>B21-E97</f>
        <v>123.44348000000002</v>
      </c>
      <c r="F102" s="99">
        <f t="shared" si="3"/>
        <v>3916.8616204000009</v>
      </c>
      <c r="G102" s="88" t="str">
        <f>TEXT((B21-E97)/B21,"0.0%")&amp;" of US$ "&amp;TEXT(B21,"#,##0.00")</f>
        <v>11.5% of US$ 1,072.87</v>
      </c>
    </row>
    <row r="103" spans="1:7" x14ac:dyDescent="0.2">
      <c r="A103" s="90" t="s">
        <v>1839</v>
      </c>
      <c r="B103" s="58"/>
      <c r="C103" s="58"/>
      <c r="D103" s="58"/>
      <c r="E103" s="69">
        <f>E102/$B$6</f>
        <v>24.688696000000004</v>
      </c>
      <c r="F103" s="76">
        <f t="shared" si="3"/>
        <v>783.37232408000011</v>
      </c>
      <c r="G103" s="88"/>
    </row>
    <row r="104" spans="1:7" x14ac:dyDescent="0.2">
      <c r="A104" s="96" t="s">
        <v>44</v>
      </c>
      <c r="B104" s="97"/>
      <c r="C104" s="97"/>
      <c r="D104" s="97"/>
      <c r="E104" s="102">
        <f>E97-B24</f>
        <v>93.286519999999882</v>
      </c>
      <c r="F104" s="99">
        <f t="shared" si="3"/>
        <v>2959.9812795999965</v>
      </c>
      <c r="G104" s="88" t="str">
        <f>"v1.0 set: US$ "&amp;TEXT(B24,"#,##0.00")&amp;" → now US$ "&amp;TEXT(E97,"#,##0.00")</f>
        <v>v1.0 set: US$ 856.14 → now US$ 949.43</v>
      </c>
    </row>
    <row r="105" spans="1:7" x14ac:dyDescent="0.2">
      <c r="A105" s="96" t="s">
        <v>1840</v>
      </c>
      <c r="B105" s="97"/>
      <c r="C105" s="97"/>
      <c r="D105" s="103">
        <v>758.82</v>
      </c>
      <c r="E105" s="102">
        <f>B24-D105</f>
        <v>97.319999999999936</v>
      </c>
      <c r="F105" s="99">
        <f t="shared" si="3"/>
        <v>3087.9635999999982</v>
      </c>
      <c r="G105" s="88" t="str">
        <f>"input D105: the v0.9 set, US$ "&amp;TEXT(D105,"#,##0.00")</f>
        <v>input D105: the v0.9 set, US$ 758.82</v>
      </c>
    </row>
    <row r="106" spans="1:7" ht="27" customHeight="1" x14ac:dyDescent="0.2">
      <c r="A106" s="59" t="s">
        <v>1841</v>
      </c>
      <c r="B106" s="3" t="s">
        <v>1842</v>
      </c>
      <c r="C106" s="3" t="s">
        <v>1843</v>
      </c>
      <c r="D106" s="3" t="s">
        <v>1844</v>
      </c>
      <c r="E106" s="3"/>
      <c r="F106" s="3"/>
      <c r="G106" s="87" t="s">
        <v>1845</v>
      </c>
    </row>
    <row r="107" spans="1:7" ht="27" customHeight="1" x14ac:dyDescent="0.2">
      <c r="A107" s="90" t="s">
        <v>1846</v>
      </c>
      <c r="B107" s="70">
        <v>640.32000000000005</v>
      </c>
      <c r="C107" s="69">
        <f>E90</f>
        <v>397.33459999999991</v>
      </c>
      <c r="D107" s="69">
        <f t="shared" ref="D107:D112" si="4">C107-B107</f>
        <v>-242.98540000000014</v>
      </c>
      <c r="E107" s="58"/>
      <c r="F107" s="58"/>
      <c r="G107" s="88" t="s">
        <v>1847</v>
      </c>
    </row>
    <row r="108" spans="1:7" ht="27" customHeight="1" x14ac:dyDescent="0.2">
      <c r="A108" s="90" t="s">
        <v>1848</v>
      </c>
      <c r="B108" s="70">
        <v>271.89999999999998</v>
      </c>
      <c r="C108" s="69">
        <f>E91</f>
        <v>312.96799999999996</v>
      </c>
      <c r="D108" s="69">
        <f t="shared" si="4"/>
        <v>41.067999999999984</v>
      </c>
      <c r="E108" s="58"/>
      <c r="F108" s="58"/>
      <c r="G108" s="88" t="s">
        <v>1849</v>
      </c>
    </row>
    <row r="109" spans="1:7" ht="27" customHeight="1" x14ac:dyDescent="0.2">
      <c r="A109" s="90" t="s">
        <v>1827</v>
      </c>
      <c r="B109" s="70">
        <v>82.65</v>
      </c>
      <c r="C109" s="69">
        <f>E92</f>
        <v>29.52392</v>
      </c>
      <c r="D109" s="69">
        <f t="shared" si="4"/>
        <v>-53.126080000000002</v>
      </c>
      <c r="E109" s="58"/>
      <c r="F109" s="58"/>
      <c r="G109" s="88" t="s">
        <v>1850</v>
      </c>
    </row>
    <row r="110" spans="1:7" x14ac:dyDescent="0.2">
      <c r="A110" s="90" t="s">
        <v>1531</v>
      </c>
      <c r="B110" s="70">
        <v>53</v>
      </c>
      <c r="C110" s="69">
        <f>E93</f>
        <v>23</v>
      </c>
      <c r="D110" s="69">
        <f t="shared" si="4"/>
        <v>-30</v>
      </c>
      <c r="E110" s="58"/>
      <c r="F110" s="58"/>
      <c r="G110" s="88" t="s">
        <v>1851</v>
      </c>
    </row>
    <row r="111" spans="1:7" x14ac:dyDescent="0.2">
      <c r="A111" s="90" t="s">
        <v>1852</v>
      </c>
      <c r="B111" s="70">
        <v>25</v>
      </c>
      <c r="C111" s="69">
        <f>E94</f>
        <v>25</v>
      </c>
      <c r="D111" s="69">
        <f t="shared" si="4"/>
        <v>0</v>
      </c>
      <c r="E111" s="58"/>
      <c r="F111" s="58"/>
      <c r="G111" s="88" t="s">
        <v>162</v>
      </c>
    </row>
    <row r="112" spans="1:7" ht="27" customHeight="1" x14ac:dyDescent="0.2">
      <c r="A112" s="90" t="s">
        <v>1853</v>
      </c>
      <c r="B112" s="70">
        <v>0</v>
      </c>
      <c r="C112" s="69">
        <f>E96</f>
        <v>161.6</v>
      </c>
      <c r="D112" s="69">
        <f t="shared" si="4"/>
        <v>161.6</v>
      </c>
      <c r="E112" s="58"/>
      <c r="F112" s="58"/>
      <c r="G112" s="88" t="s">
        <v>1854</v>
      </c>
    </row>
    <row r="113" spans="1:7" x14ac:dyDescent="0.2">
      <c r="A113" s="91" t="s">
        <v>1855</v>
      </c>
      <c r="B113" s="29">
        <f>SUM(B107:B112)</f>
        <v>1072.8699999999999</v>
      </c>
      <c r="C113" s="29">
        <f>SUM(C107:C112)</f>
        <v>949.42651999999987</v>
      </c>
      <c r="D113" s="29">
        <f>SUM(D107:D112)</f>
        <v>-123.44348000000016</v>
      </c>
      <c r="E113" s="25"/>
      <c r="F113" s="25"/>
      <c r="G113" s="93" t="str">
        <f>IF(ROUND(B113,2)=ROUND($B$21,2),"previous total = input B21","previous total differs from B21")</f>
        <v>previous total = input B21</v>
      </c>
    </row>
    <row r="114" spans="1:7" x14ac:dyDescent="0.2">
      <c r="A114" s="90"/>
      <c r="B114" s="69"/>
      <c r="C114" s="69"/>
      <c r="D114" s="69"/>
      <c r="E114" s="58"/>
      <c r="F114" s="58"/>
      <c r="G114" s="88"/>
    </row>
    <row r="115" spans="1:7" x14ac:dyDescent="0.2">
      <c r="A115" s="59" t="s">
        <v>1856</v>
      </c>
      <c r="B115" s="74" t="s">
        <v>1857</v>
      </c>
      <c r="C115" s="74" t="s">
        <v>1843</v>
      </c>
      <c r="D115" s="74" t="s">
        <v>1844</v>
      </c>
      <c r="E115" s="3"/>
      <c r="F115" s="3"/>
      <c r="G115" s="87" t="s">
        <v>1845</v>
      </c>
    </row>
    <row r="116" spans="1:7" ht="39.75" customHeight="1" x14ac:dyDescent="0.2">
      <c r="A116" s="90" t="s">
        <v>1858</v>
      </c>
      <c r="B116" s="70">
        <v>317.37</v>
      </c>
      <c r="C116" s="69">
        <f>E90</f>
        <v>397.33459999999991</v>
      </c>
      <c r="D116" s="75">
        <f t="shared" ref="D116:D122" si="5">C116-B116</f>
        <v>79.964599999999905</v>
      </c>
      <c r="E116" s="58"/>
      <c r="F116" s="58"/>
      <c r="G116" s="88" t="s">
        <v>1859</v>
      </c>
    </row>
    <row r="117" spans="1:7" ht="27" customHeight="1" x14ac:dyDescent="0.2">
      <c r="A117" s="90" t="s">
        <v>1848</v>
      </c>
      <c r="B117" s="70">
        <v>299.62</v>
      </c>
      <c r="C117" s="69">
        <f>E91</f>
        <v>312.96799999999996</v>
      </c>
      <c r="D117" s="75">
        <f t="shared" si="5"/>
        <v>13.347999999999956</v>
      </c>
      <c r="E117" s="58"/>
      <c r="F117" s="58"/>
      <c r="G117" s="88" t="s">
        <v>1860</v>
      </c>
    </row>
    <row r="118" spans="1:7" ht="27" customHeight="1" x14ac:dyDescent="0.2">
      <c r="A118" s="90" t="s">
        <v>1827</v>
      </c>
      <c r="B118" s="70">
        <v>29.54</v>
      </c>
      <c r="C118" s="69">
        <f>E92</f>
        <v>29.52392</v>
      </c>
      <c r="D118" s="75">
        <f t="shared" si="5"/>
        <v>-1.6079999999998762E-2</v>
      </c>
      <c r="E118" s="58"/>
      <c r="F118" s="58"/>
      <c r="G118" s="88" t="s">
        <v>1861</v>
      </c>
    </row>
    <row r="119" spans="1:7" ht="27" customHeight="1" x14ac:dyDescent="0.2">
      <c r="A119" s="90" t="s">
        <v>1829</v>
      </c>
      <c r="B119" s="70">
        <v>23</v>
      </c>
      <c r="C119" s="69">
        <f>E93</f>
        <v>23</v>
      </c>
      <c r="D119" s="75">
        <f t="shared" si="5"/>
        <v>0</v>
      </c>
      <c r="E119" s="58"/>
      <c r="F119" s="58"/>
      <c r="G119" s="88" t="s">
        <v>1862</v>
      </c>
    </row>
    <row r="120" spans="1:7" ht="27" customHeight="1" x14ac:dyDescent="0.2">
      <c r="A120" s="90" t="s">
        <v>1852</v>
      </c>
      <c r="B120" s="70">
        <v>25</v>
      </c>
      <c r="C120" s="69">
        <f>E94</f>
        <v>25</v>
      </c>
      <c r="D120" s="75">
        <f t="shared" si="5"/>
        <v>0</v>
      </c>
      <c r="E120" s="58"/>
      <c r="F120" s="58"/>
      <c r="G120" s="88" t="s">
        <v>162</v>
      </c>
    </row>
    <row r="121" spans="1:7" ht="27" customHeight="1" x14ac:dyDescent="0.2">
      <c r="A121" s="90" t="s">
        <v>1863</v>
      </c>
      <c r="B121" s="70">
        <v>161.6</v>
      </c>
      <c r="C121" s="69">
        <f>E96</f>
        <v>161.6</v>
      </c>
      <c r="D121" s="75">
        <f t="shared" si="5"/>
        <v>0</v>
      </c>
      <c r="E121" s="58"/>
      <c r="F121" s="58"/>
      <c r="G121" s="88" t="s">
        <v>1864</v>
      </c>
    </row>
    <row r="122" spans="1:7" ht="30" x14ac:dyDescent="0.2">
      <c r="A122" s="91" t="s">
        <v>1855</v>
      </c>
      <c r="B122" s="29">
        <f>$B$24</f>
        <v>856.14</v>
      </c>
      <c r="C122" s="29">
        <f>SUM(C116:C121)</f>
        <v>949.42651999999987</v>
      </c>
      <c r="D122" s="94">
        <f t="shared" si="5"/>
        <v>93.286519999999882</v>
      </c>
      <c r="E122" s="25"/>
      <c r="F122" s="25"/>
      <c r="G122" s="93" t="str">
        <f>IF(ABS(SUM(B116:B121)-$B$24)&lt;=0.015,"v1.0 set total = input B24; its elements are rounded to the cent (their sum "&amp;TEXT(SUM(B116:B121),"#,##0.00")&amp;"); totals from unrounded values","v1.0 set elements differ from B24")</f>
        <v>v1.0 set total = input B24; its elements are rounded to the cent (their sum 856.13); totals from unrounded values</v>
      </c>
    </row>
    <row r="123" spans="1:7" x14ac:dyDescent="0.2">
      <c r="A123" s="90"/>
      <c r="B123" s="58"/>
      <c r="C123" s="58"/>
      <c r="D123" s="58"/>
      <c r="E123" s="58"/>
      <c r="F123" s="58"/>
      <c r="G123" s="88"/>
    </row>
    <row r="124" spans="1:7" ht="27" customHeight="1" x14ac:dyDescent="0.2">
      <c r="A124" s="59" t="s">
        <v>1865</v>
      </c>
      <c r="B124" s="3" t="s">
        <v>1866</v>
      </c>
      <c r="C124" s="3" t="s">
        <v>1867</v>
      </c>
      <c r="D124" s="3" t="s">
        <v>1868</v>
      </c>
      <c r="E124" s="3" t="s">
        <v>1869</v>
      </c>
      <c r="F124" s="3" t="s">
        <v>1870</v>
      </c>
      <c r="G124" s="87" t="s">
        <v>1871</v>
      </c>
    </row>
    <row r="125" spans="1:7" x14ac:dyDescent="0.2">
      <c r="A125" s="90" t="s">
        <v>1872</v>
      </c>
      <c r="B125" s="81">
        <v>71.290000000000006</v>
      </c>
      <c r="C125" s="78">
        <f>E41</f>
        <v>71.285100000000028</v>
      </c>
      <c r="D125" s="78">
        <f>ROUND(C125,2)-B125</f>
        <v>0</v>
      </c>
      <c r="E125" s="84">
        <v>1E-4</v>
      </c>
      <c r="F125" s="85" t="str">
        <f t="shared" ref="F125:F156" si="6">IF(ABS(D125)&lt;=E125,"OK","CHECK")</f>
        <v>OK</v>
      </c>
      <c r="G125" s="88" t="s">
        <v>1873</v>
      </c>
    </row>
    <row r="126" spans="1:7" x14ac:dyDescent="0.2">
      <c r="A126" s="90" t="s">
        <v>1874</v>
      </c>
      <c r="B126" s="82">
        <v>2262</v>
      </c>
      <c r="C126" s="79">
        <f>F41</f>
        <v>2261.8762230000011</v>
      </c>
      <c r="D126" s="79">
        <f>ROUND(C126,0)-B126</f>
        <v>0</v>
      </c>
      <c r="E126" s="84">
        <v>1E-4</v>
      </c>
      <c r="F126" s="85" t="str">
        <f t="shared" si="6"/>
        <v>OK</v>
      </c>
      <c r="G126" s="88" t="s">
        <v>1875</v>
      </c>
    </row>
    <row r="127" spans="1:7" x14ac:dyDescent="0.2">
      <c r="A127" s="90" t="s">
        <v>1876</v>
      </c>
      <c r="B127" s="81">
        <v>22.75</v>
      </c>
      <c r="C127" s="78">
        <f>E42</f>
        <v>22.751999999999999</v>
      </c>
      <c r="D127" s="78">
        <f>ROUND(C127,2)-B127</f>
        <v>0</v>
      </c>
      <c r="E127" s="84">
        <v>1E-4</v>
      </c>
      <c r="F127" s="85" t="str">
        <f t="shared" si="6"/>
        <v>OK</v>
      </c>
      <c r="G127" s="88" t="s">
        <v>1873</v>
      </c>
    </row>
    <row r="128" spans="1:7" x14ac:dyDescent="0.2">
      <c r="A128" s="90" t="s">
        <v>1877</v>
      </c>
      <c r="B128" s="82">
        <v>722</v>
      </c>
      <c r="C128" s="79">
        <f>F42</f>
        <v>721.92095999999992</v>
      </c>
      <c r="D128" s="79">
        <f>ROUND(C128,0)-B128</f>
        <v>0</v>
      </c>
      <c r="E128" s="84">
        <v>1E-4</v>
      </c>
      <c r="F128" s="85" t="str">
        <f t="shared" si="6"/>
        <v>OK</v>
      </c>
      <c r="G128" s="88" t="s">
        <v>1875</v>
      </c>
    </row>
    <row r="129" spans="1:7" x14ac:dyDescent="0.2">
      <c r="A129" s="90" t="s">
        <v>1878</v>
      </c>
      <c r="B129" s="81">
        <v>94.04</v>
      </c>
      <c r="C129" s="78">
        <f>E43</f>
        <v>94.037100000000024</v>
      </c>
      <c r="D129" s="78">
        <f>ROUND(C129,2)-B129</f>
        <v>0</v>
      </c>
      <c r="E129" s="84">
        <v>1E-4</v>
      </c>
      <c r="F129" s="85" t="str">
        <f t="shared" si="6"/>
        <v>OK</v>
      </c>
      <c r="G129" s="88" t="s">
        <v>1873</v>
      </c>
    </row>
    <row r="130" spans="1:7" x14ac:dyDescent="0.2">
      <c r="A130" s="90" t="s">
        <v>1879</v>
      </c>
      <c r="B130" s="82">
        <v>2984</v>
      </c>
      <c r="C130" s="79">
        <f>F43</f>
        <v>2983.7971830000006</v>
      </c>
      <c r="D130" s="79">
        <f>ROUND(C130,0)-B130</f>
        <v>0</v>
      </c>
      <c r="E130" s="84">
        <v>1E-4</v>
      </c>
      <c r="F130" s="85" t="str">
        <f t="shared" si="6"/>
        <v>OK</v>
      </c>
      <c r="G130" s="88" t="s">
        <v>1875</v>
      </c>
    </row>
    <row r="131" spans="1:7" x14ac:dyDescent="0.2">
      <c r="A131" s="90" t="s">
        <v>1880</v>
      </c>
      <c r="B131" s="81">
        <v>356.43</v>
      </c>
      <c r="C131" s="78">
        <f>E44</f>
        <v>356.42550000000006</v>
      </c>
      <c r="D131" s="78">
        <f>ROUND(C131,2)-B131</f>
        <v>0</v>
      </c>
      <c r="E131" s="84">
        <v>1E-4</v>
      </c>
      <c r="F131" s="85" t="str">
        <f t="shared" si="6"/>
        <v>OK</v>
      </c>
      <c r="G131" s="88" t="s">
        <v>1873</v>
      </c>
    </row>
    <row r="132" spans="1:7" x14ac:dyDescent="0.2">
      <c r="A132" s="90" t="s">
        <v>1881</v>
      </c>
      <c r="B132" s="81">
        <v>397.33</v>
      </c>
      <c r="C132" s="78">
        <f>E45</f>
        <v>397.33459999999991</v>
      </c>
      <c r="D132" s="78">
        <f>ROUND(C132,2)-B132</f>
        <v>0</v>
      </c>
      <c r="E132" s="84">
        <v>1E-4</v>
      </c>
      <c r="F132" s="85" t="str">
        <f t="shared" si="6"/>
        <v>OK</v>
      </c>
      <c r="G132" s="88" t="s">
        <v>1873</v>
      </c>
    </row>
    <row r="133" spans="1:7" x14ac:dyDescent="0.2">
      <c r="A133" s="90" t="s">
        <v>1882</v>
      </c>
      <c r="B133" s="82">
        <v>12607</v>
      </c>
      <c r="C133" s="79">
        <f>F45</f>
        <v>12607.426857999997</v>
      </c>
      <c r="D133" s="79">
        <f>ROUND(C133,0)-B133</f>
        <v>0</v>
      </c>
      <c r="E133" s="84">
        <v>1E-4</v>
      </c>
      <c r="F133" s="85" t="str">
        <f t="shared" si="6"/>
        <v>OK</v>
      </c>
      <c r="G133" s="88" t="s">
        <v>1875</v>
      </c>
    </row>
    <row r="134" spans="1:7" x14ac:dyDescent="0.2">
      <c r="A134" s="90" t="s">
        <v>1883</v>
      </c>
      <c r="B134" s="81">
        <v>312.97000000000003</v>
      </c>
      <c r="C134" s="78">
        <f>E61</f>
        <v>312.96799999999996</v>
      </c>
      <c r="D134" s="78">
        <f>ROUND(C134,2)-B134</f>
        <v>0</v>
      </c>
      <c r="E134" s="84">
        <v>1E-4</v>
      </c>
      <c r="F134" s="85" t="str">
        <f t="shared" si="6"/>
        <v>OK</v>
      </c>
      <c r="G134" s="88" t="s">
        <v>1873</v>
      </c>
    </row>
    <row r="135" spans="1:7" x14ac:dyDescent="0.2">
      <c r="A135" s="90" t="s">
        <v>1884</v>
      </c>
      <c r="B135" s="82">
        <v>9930</v>
      </c>
      <c r="C135" s="79">
        <f>F61</f>
        <v>9930.4746399999985</v>
      </c>
      <c r="D135" s="79">
        <f>ROUND(C135,0)-B135</f>
        <v>0</v>
      </c>
      <c r="E135" s="84">
        <v>1E-4</v>
      </c>
      <c r="F135" s="85" t="str">
        <f t="shared" si="6"/>
        <v>OK</v>
      </c>
      <c r="G135" s="88" t="s">
        <v>1875</v>
      </c>
    </row>
    <row r="136" spans="1:7" x14ac:dyDescent="0.2">
      <c r="A136" s="90" t="s">
        <v>1885</v>
      </c>
      <c r="B136" s="81">
        <v>40.5</v>
      </c>
      <c r="C136" s="78">
        <f>E60</f>
        <v>40.496499999999912</v>
      </c>
      <c r="D136" s="78">
        <f>ROUND(C136,2)-B136</f>
        <v>0</v>
      </c>
      <c r="E136" s="84">
        <v>1E-4</v>
      </c>
      <c r="F136" s="85" t="str">
        <f t="shared" si="6"/>
        <v>OK</v>
      </c>
      <c r="G136" s="88" t="s">
        <v>1873</v>
      </c>
    </row>
    <row r="137" spans="1:7" x14ac:dyDescent="0.2">
      <c r="A137" s="90" t="s">
        <v>1886</v>
      </c>
      <c r="B137" s="81">
        <v>298.04000000000002</v>
      </c>
      <c r="C137" s="78">
        <f>D61</f>
        <v>298.03799999999995</v>
      </c>
      <c r="D137" s="78">
        <f>ROUND(C137,2)-B137</f>
        <v>0</v>
      </c>
      <c r="E137" s="84">
        <v>1E-4</v>
      </c>
      <c r="F137" s="85" t="str">
        <f t="shared" si="6"/>
        <v>OK</v>
      </c>
      <c r="G137" s="88" t="s">
        <v>1873</v>
      </c>
    </row>
    <row r="138" spans="1:7" x14ac:dyDescent="0.2">
      <c r="A138" s="90" t="s">
        <v>1887</v>
      </c>
      <c r="B138" s="82">
        <v>9457</v>
      </c>
      <c r="C138" s="79">
        <f>D61*$B$5</f>
        <v>9456.7457399999985</v>
      </c>
      <c r="D138" s="79">
        <f>ROUND(C138,0)-B138</f>
        <v>0</v>
      </c>
      <c r="E138" s="84">
        <v>1E-4</v>
      </c>
      <c r="F138" s="85" t="str">
        <f t="shared" si="6"/>
        <v>OK</v>
      </c>
      <c r="G138" s="88" t="s">
        <v>1875</v>
      </c>
    </row>
    <row r="139" spans="1:7" x14ac:dyDescent="0.2">
      <c r="A139" s="90" t="s">
        <v>1888</v>
      </c>
      <c r="B139" s="81">
        <v>29.52</v>
      </c>
      <c r="C139" s="78">
        <f>E68</f>
        <v>29.52392</v>
      </c>
      <c r="D139" s="78">
        <f>ROUND(C139,2)-B139</f>
        <v>0</v>
      </c>
      <c r="E139" s="84">
        <v>1E-4</v>
      </c>
      <c r="F139" s="85" t="str">
        <f t="shared" si="6"/>
        <v>OK</v>
      </c>
      <c r="G139" s="88" t="s">
        <v>1873</v>
      </c>
    </row>
    <row r="140" spans="1:7" x14ac:dyDescent="0.2">
      <c r="A140" s="90" t="s">
        <v>1889</v>
      </c>
      <c r="B140" s="82">
        <v>937</v>
      </c>
      <c r="C140" s="79">
        <f>F68</f>
        <v>936.79398160000005</v>
      </c>
      <c r="D140" s="79">
        <f>ROUND(C140,0)-B140</f>
        <v>0</v>
      </c>
      <c r="E140" s="84">
        <v>1E-4</v>
      </c>
      <c r="F140" s="85" t="str">
        <f t="shared" si="6"/>
        <v>OK</v>
      </c>
      <c r="G140" s="88" t="s">
        <v>1875</v>
      </c>
    </row>
    <row r="141" spans="1:7" x14ac:dyDescent="0.2">
      <c r="A141" s="90" t="s">
        <v>1890</v>
      </c>
      <c r="B141" s="81">
        <v>23</v>
      </c>
      <c r="C141" s="78">
        <f>E76</f>
        <v>23</v>
      </c>
      <c r="D141" s="78">
        <f>ROUND(C141,2)-B141</f>
        <v>0</v>
      </c>
      <c r="E141" s="84">
        <v>1E-4</v>
      </c>
      <c r="F141" s="85" t="str">
        <f t="shared" si="6"/>
        <v>OK</v>
      </c>
      <c r="G141" s="88" t="s">
        <v>1873</v>
      </c>
    </row>
    <row r="142" spans="1:7" x14ac:dyDescent="0.2">
      <c r="A142" s="90" t="s">
        <v>1891</v>
      </c>
      <c r="B142" s="82">
        <v>730</v>
      </c>
      <c r="C142" s="79">
        <f>F76</f>
        <v>729.79</v>
      </c>
      <c r="D142" s="79">
        <f>ROUND(C142,0)-B142</f>
        <v>0</v>
      </c>
      <c r="E142" s="84">
        <v>1E-4</v>
      </c>
      <c r="F142" s="85" t="str">
        <f t="shared" si="6"/>
        <v>OK</v>
      </c>
      <c r="G142" s="88" t="s">
        <v>1875</v>
      </c>
    </row>
    <row r="143" spans="1:7" x14ac:dyDescent="0.2">
      <c r="A143" s="90" t="s">
        <v>1892</v>
      </c>
      <c r="B143" s="81">
        <v>25</v>
      </c>
      <c r="C143" s="78">
        <f>E94</f>
        <v>25</v>
      </c>
      <c r="D143" s="78">
        <f>ROUND(C143,2)-B143</f>
        <v>0</v>
      </c>
      <c r="E143" s="84">
        <v>1E-4</v>
      </c>
      <c r="F143" s="85" t="str">
        <f t="shared" si="6"/>
        <v>OK</v>
      </c>
      <c r="G143" s="88" t="s">
        <v>1873</v>
      </c>
    </row>
    <row r="144" spans="1:7" x14ac:dyDescent="0.2">
      <c r="A144" s="90" t="s">
        <v>1893</v>
      </c>
      <c r="B144" s="82">
        <v>793</v>
      </c>
      <c r="C144" s="79">
        <f>F94</f>
        <v>793.25</v>
      </c>
      <c r="D144" s="79">
        <f>ROUND(C144,0)-B144</f>
        <v>0</v>
      </c>
      <c r="E144" s="84">
        <v>1E-4</v>
      </c>
      <c r="F144" s="85" t="str">
        <f t="shared" si="6"/>
        <v>OK</v>
      </c>
      <c r="G144" s="88" t="s">
        <v>1875</v>
      </c>
    </row>
    <row r="145" spans="1:7" x14ac:dyDescent="0.2">
      <c r="A145" s="90" t="s">
        <v>1894</v>
      </c>
      <c r="B145" s="81">
        <v>787.83</v>
      </c>
      <c r="C145" s="78">
        <f>E95</f>
        <v>787.82651999999985</v>
      </c>
      <c r="D145" s="78">
        <f>ROUND(C145,2)-B145</f>
        <v>0</v>
      </c>
      <c r="E145" s="84">
        <v>1E-4</v>
      </c>
      <c r="F145" s="85" t="str">
        <f t="shared" si="6"/>
        <v>OK</v>
      </c>
      <c r="G145" s="88" t="s">
        <v>1873</v>
      </c>
    </row>
    <row r="146" spans="1:7" x14ac:dyDescent="0.2">
      <c r="A146" s="90" t="s">
        <v>1895</v>
      </c>
      <c r="B146" s="82">
        <v>24998</v>
      </c>
      <c r="C146" s="79">
        <f>F95</f>
        <v>24997.735479599996</v>
      </c>
      <c r="D146" s="79">
        <f>ROUND(C146,0)-B146</f>
        <v>0</v>
      </c>
      <c r="E146" s="84">
        <v>1E-4</v>
      </c>
      <c r="F146" s="85" t="str">
        <f t="shared" si="6"/>
        <v>OK</v>
      </c>
      <c r="G146" s="88" t="s">
        <v>1875</v>
      </c>
    </row>
    <row r="147" spans="1:7" x14ac:dyDescent="0.2">
      <c r="A147" s="90" t="s">
        <v>1896</v>
      </c>
      <c r="B147" s="81">
        <v>105.63</v>
      </c>
      <c r="C147" s="78">
        <f>E82</f>
        <v>105.63</v>
      </c>
      <c r="D147" s="78">
        <f>ROUND(C147,2)-B147</f>
        <v>0</v>
      </c>
      <c r="E147" s="84">
        <v>1E-4</v>
      </c>
      <c r="F147" s="85" t="str">
        <f t="shared" si="6"/>
        <v>OK</v>
      </c>
      <c r="G147" s="88" t="s">
        <v>1873</v>
      </c>
    </row>
    <row r="148" spans="1:7" x14ac:dyDescent="0.2">
      <c r="A148" s="90" t="s">
        <v>1897</v>
      </c>
      <c r="B148" s="81">
        <v>55.97</v>
      </c>
      <c r="C148" s="78">
        <f>E86</f>
        <v>55.97</v>
      </c>
      <c r="D148" s="78">
        <f>ROUND(C148,2)-B148</f>
        <v>0</v>
      </c>
      <c r="E148" s="84">
        <v>1E-4</v>
      </c>
      <c r="F148" s="85" t="str">
        <f t="shared" si="6"/>
        <v>OK</v>
      </c>
      <c r="G148" s="88" t="s">
        <v>1873</v>
      </c>
    </row>
    <row r="149" spans="1:7" x14ac:dyDescent="0.2">
      <c r="A149" s="90" t="s">
        <v>1898</v>
      </c>
      <c r="B149" s="81">
        <v>161.6</v>
      </c>
      <c r="C149" s="78">
        <f>E96</f>
        <v>161.6</v>
      </c>
      <c r="D149" s="78">
        <f>ROUND(C149,2)-B149</f>
        <v>0</v>
      </c>
      <c r="E149" s="84">
        <v>1E-4</v>
      </c>
      <c r="F149" s="85" t="str">
        <f t="shared" si="6"/>
        <v>OK</v>
      </c>
      <c r="G149" s="88" t="s">
        <v>1873</v>
      </c>
    </row>
    <row r="150" spans="1:7" x14ac:dyDescent="0.2">
      <c r="A150" s="90" t="s">
        <v>1899</v>
      </c>
      <c r="B150" s="82">
        <v>5128</v>
      </c>
      <c r="C150" s="79">
        <f>F96</f>
        <v>5127.5680000000002</v>
      </c>
      <c r="D150" s="79">
        <f>ROUND(C150,0)-B150</f>
        <v>0</v>
      </c>
      <c r="E150" s="84">
        <v>1E-4</v>
      </c>
      <c r="F150" s="85" t="str">
        <f t="shared" si="6"/>
        <v>OK</v>
      </c>
      <c r="G150" s="88" t="s">
        <v>1875</v>
      </c>
    </row>
    <row r="151" spans="1:7" x14ac:dyDescent="0.2">
      <c r="A151" s="90" t="s">
        <v>1900</v>
      </c>
      <c r="B151" s="81">
        <v>949.43</v>
      </c>
      <c r="C151" s="78">
        <f>E97</f>
        <v>949.42651999999987</v>
      </c>
      <c r="D151" s="78">
        <f>ROUND(C151,2)-B151</f>
        <v>0</v>
      </c>
      <c r="E151" s="84">
        <v>1E-4</v>
      </c>
      <c r="F151" s="85" t="str">
        <f t="shared" si="6"/>
        <v>OK</v>
      </c>
      <c r="G151" s="88" t="s">
        <v>1873</v>
      </c>
    </row>
    <row r="152" spans="1:7" x14ac:dyDescent="0.2">
      <c r="A152" s="90" t="s">
        <v>1901</v>
      </c>
      <c r="B152" s="82">
        <v>30125</v>
      </c>
      <c r="C152" s="79">
        <f>F97</f>
        <v>30125.303479599996</v>
      </c>
      <c r="D152" s="79">
        <f>ROUND(C152,0)-B152</f>
        <v>0</v>
      </c>
      <c r="E152" s="84">
        <v>1E-4</v>
      </c>
      <c r="F152" s="85" t="str">
        <f t="shared" si="6"/>
        <v>OK</v>
      </c>
      <c r="G152" s="88" t="s">
        <v>1875</v>
      </c>
    </row>
    <row r="153" spans="1:7" x14ac:dyDescent="0.2">
      <c r="A153" s="90" t="s">
        <v>1902</v>
      </c>
      <c r="B153" s="81">
        <v>189.89</v>
      </c>
      <c r="C153" s="78">
        <f>E98</f>
        <v>189.88530399999996</v>
      </c>
      <c r="D153" s="78">
        <f>ROUND(C153,2)-B153</f>
        <v>0</v>
      </c>
      <c r="E153" s="84">
        <v>1E-4</v>
      </c>
      <c r="F153" s="85" t="str">
        <f t="shared" si="6"/>
        <v>OK</v>
      </c>
      <c r="G153" s="88" t="s">
        <v>1873</v>
      </c>
    </row>
    <row r="154" spans="1:7" x14ac:dyDescent="0.2">
      <c r="A154" s="90" t="s">
        <v>1903</v>
      </c>
      <c r="B154" s="82">
        <v>6025</v>
      </c>
      <c r="C154" s="79">
        <f>F98</f>
        <v>6025.0606959199986</v>
      </c>
      <c r="D154" s="79">
        <f>ROUND(C154,0)-B154</f>
        <v>0</v>
      </c>
      <c r="E154" s="84">
        <v>1E-4</v>
      </c>
      <c r="F154" s="85" t="str">
        <f t="shared" si="6"/>
        <v>OK</v>
      </c>
      <c r="G154" s="88" t="s">
        <v>1875</v>
      </c>
    </row>
    <row r="155" spans="1:7" x14ac:dyDescent="0.2">
      <c r="A155" s="90" t="s">
        <v>1904</v>
      </c>
      <c r="B155" s="81">
        <v>157.57</v>
      </c>
      <c r="C155" s="78">
        <f>E99</f>
        <v>157.56530399999997</v>
      </c>
      <c r="D155" s="78">
        <f>ROUND(C155,2)-B155</f>
        <v>0</v>
      </c>
      <c r="E155" s="84">
        <v>1E-4</v>
      </c>
      <c r="F155" s="85" t="str">
        <f t="shared" si="6"/>
        <v>OK</v>
      </c>
      <c r="G155" s="88" t="s">
        <v>1873</v>
      </c>
    </row>
    <row r="156" spans="1:7" x14ac:dyDescent="0.2">
      <c r="A156" s="90" t="s">
        <v>1905</v>
      </c>
      <c r="B156" s="81">
        <v>32.32</v>
      </c>
      <c r="C156" s="78">
        <f>E100</f>
        <v>32.32</v>
      </c>
      <c r="D156" s="78">
        <f>ROUND(C156,2)-B156</f>
        <v>0</v>
      </c>
      <c r="E156" s="84">
        <v>1E-4</v>
      </c>
      <c r="F156" s="85" t="str">
        <f t="shared" si="6"/>
        <v>OK</v>
      </c>
      <c r="G156" s="88" t="s">
        <v>1873</v>
      </c>
    </row>
    <row r="157" spans="1:7" x14ac:dyDescent="0.2">
      <c r="A157" s="90" t="s">
        <v>1906</v>
      </c>
      <c r="B157" s="81">
        <v>934.5</v>
      </c>
      <c r="C157" s="78">
        <f>E101</f>
        <v>934.49651999999992</v>
      </c>
      <c r="D157" s="78">
        <f>ROUND(C157,2)-B157</f>
        <v>0</v>
      </c>
      <c r="E157" s="84">
        <v>1E-4</v>
      </c>
      <c r="F157" s="85" t="str">
        <f t="shared" ref="F157:F188" si="7">IF(ABS(D157)&lt;=E157,"OK","CHECK")</f>
        <v>OK</v>
      </c>
      <c r="G157" s="88" t="s">
        <v>1873</v>
      </c>
    </row>
    <row r="158" spans="1:7" x14ac:dyDescent="0.2">
      <c r="A158" s="90" t="s">
        <v>1907</v>
      </c>
      <c r="B158" s="82">
        <v>29652</v>
      </c>
      <c r="C158" s="79">
        <f>F101</f>
        <v>29651.574579599997</v>
      </c>
      <c r="D158" s="79">
        <f>ROUND(C158,0)-B158</f>
        <v>0</v>
      </c>
      <c r="E158" s="84">
        <v>1E-4</v>
      </c>
      <c r="F158" s="85" t="str">
        <f t="shared" si="7"/>
        <v>OK</v>
      </c>
      <c r="G158" s="88" t="s">
        <v>1875</v>
      </c>
    </row>
    <row r="159" spans="1:7" x14ac:dyDescent="0.2">
      <c r="A159" s="90" t="s">
        <v>1908</v>
      </c>
      <c r="B159" s="81">
        <v>79.959999999999994</v>
      </c>
      <c r="C159" s="78">
        <f>D116</f>
        <v>79.964599999999905</v>
      </c>
      <c r="D159" s="78">
        <f>ROUND(C159,2)-B159</f>
        <v>0</v>
      </c>
      <c r="E159" s="84">
        <v>1E-4</v>
      </c>
      <c r="F159" s="85" t="str">
        <f t="shared" si="7"/>
        <v>OK</v>
      </c>
      <c r="G159" s="88" t="s">
        <v>1873</v>
      </c>
    </row>
    <row r="160" spans="1:7" x14ac:dyDescent="0.2">
      <c r="A160" s="90" t="s">
        <v>1909</v>
      </c>
      <c r="B160" s="81">
        <v>13.35</v>
      </c>
      <c r="C160" s="78">
        <f>D117</f>
        <v>13.347999999999956</v>
      </c>
      <c r="D160" s="78">
        <f>ROUND(C160,2)-B160</f>
        <v>0</v>
      </c>
      <c r="E160" s="84">
        <v>1E-4</v>
      </c>
      <c r="F160" s="85" t="str">
        <f t="shared" si="7"/>
        <v>OK</v>
      </c>
      <c r="G160" s="88" t="s">
        <v>1873</v>
      </c>
    </row>
    <row r="161" spans="1:7" x14ac:dyDescent="0.2">
      <c r="A161" s="90" t="s">
        <v>1910</v>
      </c>
      <c r="B161" s="81">
        <v>-0.02</v>
      </c>
      <c r="C161" s="78">
        <f>D118</f>
        <v>-1.6079999999998762E-2</v>
      </c>
      <c r="D161" s="78">
        <f>ROUND(C161,2)-B161</f>
        <v>0</v>
      </c>
      <c r="E161" s="84">
        <v>1E-4</v>
      </c>
      <c r="F161" s="85" t="str">
        <f t="shared" si="7"/>
        <v>OK</v>
      </c>
      <c r="G161" s="88" t="s">
        <v>1873</v>
      </c>
    </row>
    <row r="162" spans="1:7" x14ac:dyDescent="0.2">
      <c r="A162" s="90" t="s">
        <v>1911</v>
      </c>
      <c r="B162" s="81">
        <v>93.29</v>
      </c>
      <c r="C162" s="78">
        <f>E104</f>
        <v>93.286519999999882</v>
      </c>
      <c r="D162" s="78">
        <f>ROUND(C162,2)-B162</f>
        <v>0</v>
      </c>
      <c r="E162" s="84">
        <v>1E-4</v>
      </c>
      <c r="F162" s="85" t="str">
        <f t="shared" si="7"/>
        <v>OK</v>
      </c>
      <c r="G162" s="88" t="s">
        <v>1873</v>
      </c>
    </row>
    <row r="163" spans="1:7" x14ac:dyDescent="0.2">
      <c r="A163" s="90" t="s">
        <v>1912</v>
      </c>
      <c r="B163" s="81">
        <v>123.44</v>
      </c>
      <c r="C163" s="78">
        <f>E102</f>
        <v>123.44348000000002</v>
      </c>
      <c r="D163" s="78">
        <f>ROUND(C163,2)-B163</f>
        <v>0</v>
      </c>
      <c r="E163" s="84">
        <v>1E-4</v>
      </c>
      <c r="F163" s="85" t="str">
        <f t="shared" si="7"/>
        <v>OK</v>
      </c>
      <c r="G163" s="88" t="s">
        <v>1873</v>
      </c>
    </row>
    <row r="164" spans="1:7" x14ac:dyDescent="0.2">
      <c r="A164" s="90" t="s">
        <v>1913</v>
      </c>
      <c r="B164" s="82">
        <v>3917</v>
      </c>
      <c r="C164" s="79">
        <f>F102</f>
        <v>3916.8616204000009</v>
      </c>
      <c r="D164" s="79">
        <f>ROUND(C164,0)-B164</f>
        <v>0</v>
      </c>
      <c r="E164" s="84">
        <v>1E-4</v>
      </c>
      <c r="F164" s="85" t="str">
        <f t="shared" si="7"/>
        <v>OK</v>
      </c>
      <c r="G164" s="88" t="s">
        <v>1875</v>
      </c>
    </row>
    <row r="165" spans="1:7" x14ac:dyDescent="0.2">
      <c r="A165" s="90" t="s">
        <v>1914</v>
      </c>
      <c r="B165" s="83">
        <v>11.5</v>
      </c>
      <c r="C165" s="80">
        <f>100*E102/$B$21</f>
        <v>11.505912179481207</v>
      </c>
      <c r="D165" s="80">
        <f>ROUND(C165,1)-B165</f>
        <v>0</v>
      </c>
      <c r="E165" s="84">
        <v>1E-4</v>
      </c>
      <c r="F165" s="85" t="str">
        <f t="shared" si="7"/>
        <v>OK</v>
      </c>
      <c r="G165" s="88" t="s">
        <v>1915</v>
      </c>
    </row>
    <row r="166" spans="1:7" x14ac:dyDescent="0.2">
      <c r="A166" s="90" t="s">
        <v>1916</v>
      </c>
      <c r="B166" s="81">
        <v>24.69</v>
      </c>
      <c r="C166" s="78">
        <f>E103</f>
        <v>24.688696000000004</v>
      </c>
      <c r="D166" s="78">
        <f>ROUND(C166,2)-B166</f>
        <v>0</v>
      </c>
      <c r="E166" s="84">
        <v>1E-4</v>
      </c>
      <c r="F166" s="85" t="str">
        <f t="shared" si="7"/>
        <v>OK</v>
      </c>
      <c r="G166" s="88" t="s">
        <v>1873</v>
      </c>
    </row>
    <row r="167" spans="1:7" x14ac:dyDescent="0.2">
      <c r="A167" s="90" t="s">
        <v>1917</v>
      </c>
      <c r="B167" s="82">
        <v>164</v>
      </c>
      <c r="C167" s="79">
        <f>COUNTIF('Parts list'!$M$4:$M$185,"Yes")</f>
        <v>164</v>
      </c>
      <c r="D167" s="79">
        <f t="shared" ref="D167:D174" si="8">ROUND(C167,0)-B167</f>
        <v>0</v>
      </c>
      <c r="E167" s="84">
        <v>1E-4</v>
      </c>
      <c r="F167" s="85" t="str">
        <f t="shared" si="7"/>
        <v>OK</v>
      </c>
      <c r="G167" s="88" t="s">
        <v>1875</v>
      </c>
    </row>
    <row r="168" spans="1:7" x14ac:dyDescent="0.2">
      <c r="A168" s="90" t="s">
        <v>1752</v>
      </c>
      <c r="B168" s="82">
        <v>455</v>
      </c>
      <c r="C168" s="79">
        <f>B29</f>
        <v>455</v>
      </c>
      <c r="D168" s="79">
        <f t="shared" si="8"/>
        <v>0</v>
      </c>
      <c r="E168" s="84">
        <v>1E-4</v>
      </c>
      <c r="F168" s="85" t="str">
        <f t="shared" si="7"/>
        <v>OK</v>
      </c>
      <c r="G168" s="88" t="s">
        <v>1875</v>
      </c>
    </row>
    <row r="169" spans="1:7" x14ac:dyDescent="0.2">
      <c r="A169" s="90" t="s">
        <v>1918</v>
      </c>
      <c r="B169" s="82">
        <v>4</v>
      </c>
      <c r="C169" s="79">
        <f>B27</f>
        <v>4</v>
      </c>
      <c r="D169" s="79">
        <f t="shared" si="8"/>
        <v>0</v>
      </c>
      <c r="E169" s="84">
        <v>1E-4</v>
      </c>
      <c r="F169" s="85" t="str">
        <f t="shared" si="7"/>
        <v>OK</v>
      </c>
      <c r="G169" s="88" t="s">
        <v>1875</v>
      </c>
    </row>
    <row r="170" spans="1:7" x14ac:dyDescent="0.2">
      <c r="A170" s="90" t="s">
        <v>1753</v>
      </c>
      <c r="B170" s="82">
        <v>7</v>
      </c>
      <c r="C170" s="79">
        <f>B28-B29</f>
        <v>7</v>
      </c>
      <c r="D170" s="79">
        <f t="shared" si="8"/>
        <v>0</v>
      </c>
      <c r="E170" s="84">
        <v>1E-4</v>
      </c>
      <c r="F170" s="85" t="str">
        <f t="shared" si="7"/>
        <v>OK</v>
      </c>
      <c r="G170" s="88" t="s">
        <v>1875</v>
      </c>
    </row>
    <row r="171" spans="1:7" x14ac:dyDescent="0.2">
      <c r="A171" s="90" t="s">
        <v>1730</v>
      </c>
      <c r="B171" s="82">
        <v>1311</v>
      </c>
      <c r="C171" s="79">
        <f>B30</f>
        <v>1311</v>
      </c>
      <c r="D171" s="79">
        <f t="shared" si="8"/>
        <v>0</v>
      </c>
      <c r="E171" s="84">
        <v>1E-4</v>
      </c>
      <c r="F171" s="85" t="str">
        <f t="shared" si="7"/>
        <v>OK</v>
      </c>
      <c r="G171" s="88" t="s">
        <v>1875</v>
      </c>
    </row>
    <row r="172" spans="1:7" x14ac:dyDescent="0.2">
      <c r="A172" s="90" t="s">
        <v>1744</v>
      </c>
      <c r="B172" s="82">
        <v>50</v>
      </c>
      <c r="C172" s="79">
        <f>B36</f>
        <v>50</v>
      </c>
      <c r="D172" s="79">
        <f t="shared" si="8"/>
        <v>0</v>
      </c>
      <c r="E172" s="84">
        <v>1E-4</v>
      </c>
      <c r="F172" s="85" t="str">
        <f t="shared" si="7"/>
        <v>OK</v>
      </c>
      <c r="G172" s="88" t="s">
        <v>1875</v>
      </c>
    </row>
    <row r="173" spans="1:7" x14ac:dyDescent="0.2">
      <c r="A173" s="90" t="s">
        <v>1919</v>
      </c>
      <c r="B173" s="82">
        <v>77</v>
      </c>
      <c r="C173" s="79">
        <f>B34</f>
        <v>77</v>
      </c>
      <c r="D173" s="79">
        <f t="shared" si="8"/>
        <v>0</v>
      </c>
      <c r="E173" s="84">
        <v>1E-4</v>
      </c>
      <c r="F173" s="85" t="str">
        <f t="shared" si="7"/>
        <v>OK</v>
      </c>
      <c r="G173" s="88" t="s">
        <v>1875</v>
      </c>
    </row>
    <row r="174" spans="1:7" x14ac:dyDescent="0.2">
      <c r="A174" s="90" t="s">
        <v>1920</v>
      </c>
      <c r="B174" s="82">
        <v>111</v>
      </c>
      <c r="C174" s="79">
        <f>B32</f>
        <v>111</v>
      </c>
      <c r="D174" s="79">
        <f t="shared" si="8"/>
        <v>0</v>
      </c>
      <c r="E174" s="84">
        <v>1E-4</v>
      </c>
      <c r="F174" s="85" t="str">
        <f t="shared" si="7"/>
        <v>OK</v>
      </c>
      <c r="G174" s="88" t="s">
        <v>1875</v>
      </c>
    </row>
    <row r="175" spans="1:7" x14ac:dyDescent="0.2">
      <c r="A175" s="90" t="s">
        <v>1921</v>
      </c>
      <c r="B175" s="81">
        <v>95.24</v>
      </c>
      <c r="C175" s="78">
        <f>B37</f>
        <v>95.239199999999997</v>
      </c>
      <c r="D175" s="78">
        <f>ROUND(C175,2)-B175</f>
        <v>0</v>
      </c>
      <c r="E175" s="84">
        <v>1E-4</v>
      </c>
      <c r="F175" s="85" t="str">
        <f t="shared" si="7"/>
        <v>OK</v>
      </c>
      <c r="G175" s="88" t="s">
        <v>1873</v>
      </c>
    </row>
    <row r="176" spans="1:7" x14ac:dyDescent="0.2">
      <c r="A176" s="91" t="s">
        <v>1922</v>
      </c>
      <c r="B176" s="25"/>
      <c r="C176" s="25"/>
      <c r="D176" s="25"/>
      <c r="E176" s="25"/>
      <c r="F176" s="95" t="str">
        <f>IF(COUNTIF(F125:F175,"CHECK")=0,"ALL OK",TEXT(COUNTIF(F125:F175,"CHECK"),"0")&amp;" to check")</f>
        <v>ALL OK</v>
      </c>
      <c r="G176" s="93" t="str">
        <f>TEXT(COUNTIF(F125:F175,"OK"),"0")&amp;" of "&amp;TEXT(ROWS(F125:F175),"0")&amp;" figures match the cost report"</f>
        <v>51 of 51 figures match the cost report</v>
      </c>
    </row>
    <row r="177" spans="1:7" x14ac:dyDescent="0.2">
      <c r="A177" s="90"/>
      <c r="B177" s="58"/>
      <c r="C177" s="58"/>
      <c r="D177" s="58"/>
      <c r="E177" s="58"/>
      <c r="F177" s="58"/>
      <c r="G177" s="88"/>
    </row>
    <row r="178" spans="1:7" ht="30" x14ac:dyDescent="0.2">
      <c r="A178" s="59" t="s">
        <v>1923</v>
      </c>
      <c r="B178" s="3" t="s">
        <v>1924</v>
      </c>
      <c r="C178" s="3" t="s">
        <v>1925</v>
      </c>
      <c r="D178" s="3"/>
      <c r="E178" s="3"/>
      <c r="F178" s="3"/>
      <c r="G178" s="87" t="s">
        <v>1677</v>
      </c>
    </row>
    <row r="179" spans="1:7" x14ac:dyDescent="0.2">
      <c r="A179" s="89" t="s">
        <v>1926</v>
      </c>
      <c r="B179" s="60"/>
      <c r="C179" s="60"/>
      <c r="D179" s="60"/>
      <c r="E179" s="60"/>
      <c r="F179" s="60"/>
      <c r="G179" s="89"/>
    </row>
    <row r="180" spans="1:7" x14ac:dyDescent="0.2">
      <c r="A180" s="90" t="s">
        <v>1927</v>
      </c>
      <c r="B180" s="66">
        <v>1</v>
      </c>
      <c r="C180" s="86">
        <v>1.64</v>
      </c>
      <c r="D180" s="58"/>
      <c r="E180" s="58"/>
      <c r="F180" s="58"/>
      <c r="G180" s="88" t="s">
        <v>1769</v>
      </c>
    </row>
    <row r="181" spans="1:7" x14ac:dyDescent="0.2">
      <c r="A181" s="90" t="s">
        <v>1928</v>
      </c>
      <c r="B181" s="66">
        <v>11</v>
      </c>
      <c r="C181" s="86">
        <v>0.82</v>
      </c>
      <c r="D181" s="58"/>
      <c r="E181" s="58"/>
      <c r="F181" s="58"/>
      <c r="G181" s="88" t="s">
        <v>1769</v>
      </c>
    </row>
    <row r="182" spans="1:7" x14ac:dyDescent="0.2">
      <c r="A182" s="90" t="s">
        <v>1929</v>
      </c>
      <c r="B182" s="66">
        <v>51</v>
      </c>
      <c r="C182" s="86">
        <v>0.49</v>
      </c>
      <c r="D182" s="58"/>
      <c r="E182" s="58"/>
      <c r="F182" s="58"/>
      <c r="G182" s="88" t="s">
        <v>1769</v>
      </c>
    </row>
    <row r="183" spans="1:7" x14ac:dyDescent="0.2">
      <c r="A183" s="90" t="s">
        <v>1930</v>
      </c>
      <c r="B183" s="66">
        <v>201</v>
      </c>
      <c r="C183" s="86">
        <v>0.33</v>
      </c>
      <c r="D183" s="58"/>
      <c r="E183" s="58"/>
      <c r="F183" s="58"/>
      <c r="G183" s="88" t="s">
        <v>1769</v>
      </c>
    </row>
    <row r="184" spans="1:7" x14ac:dyDescent="0.2">
      <c r="A184" s="90" t="s">
        <v>1931</v>
      </c>
      <c r="B184" s="66">
        <v>501</v>
      </c>
      <c r="C184" s="86">
        <v>0.25</v>
      </c>
      <c r="D184" s="58"/>
      <c r="E184" s="58"/>
      <c r="F184" s="58"/>
      <c r="G184" s="88" t="s">
        <v>1769</v>
      </c>
    </row>
    <row r="185" spans="1:7" x14ac:dyDescent="0.2">
      <c r="A185" s="90" t="s">
        <v>1932</v>
      </c>
      <c r="B185" s="66">
        <v>1001</v>
      </c>
      <c r="C185" s="86">
        <v>0.16</v>
      </c>
      <c r="D185" s="58"/>
      <c r="E185" s="58"/>
      <c r="F185" s="58"/>
      <c r="G185" s="88" t="s">
        <v>1769</v>
      </c>
    </row>
    <row r="186" spans="1:7" x14ac:dyDescent="0.2">
      <c r="A186" s="90" t="s">
        <v>1933</v>
      </c>
      <c r="B186" s="66">
        <v>3001</v>
      </c>
      <c r="C186" s="86">
        <v>8.2000000000000003E-2</v>
      </c>
      <c r="D186" s="58"/>
      <c r="E186" s="58"/>
      <c r="F186" s="58"/>
      <c r="G186" s="88" t="s">
        <v>1769</v>
      </c>
    </row>
    <row r="187" spans="1:7" x14ac:dyDescent="0.2">
      <c r="A187" s="57"/>
      <c r="B187" s="57"/>
      <c r="C187" s="57"/>
      <c r="D187" s="57"/>
      <c r="E187" s="57"/>
      <c r="F187" s="57"/>
      <c r="G187" s="57"/>
    </row>
    <row r="188" spans="1:7" x14ac:dyDescent="0.2">
      <c r="A188" s="57"/>
      <c r="B188" s="57"/>
      <c r="C188" s="57"/>
      <c r="D188" s="57"/>
      <c r="E188" s="57"/>
      <c r="F188" s="57"/>
      <c r="G188" s="57"/>
    </row>
    <row r="189" spans="1:7" x14ac:dyDescent="0.2">
      <c r="A189" s="57"/>
      <c r="B189" s="57"/>
      <c r="C189" s="57"/>
      <c r="D189" s="57"/>
      <c r="E189" s="57"/>
      <c r="F189" s="57"/>
      <c r="G189" s="57"/>
    </row>
    <row r="190" spans="1:7" x14ac:dyDescent="0.2">
      <c r="A190" s="57"/>
      <c r="B190" s="57"/>
      <c r="C190" s="57"/>
      <c r="D190" s="57"/>
      <c r="E190" s="57"/>
      <c r="F190" s="57"/>
      <c r="G190" s="57"/>
    </row>
  </sheetData>
  <mergeCells count="2">
    <mergeCell ref="A1:G1"/>
    <mergeCell ref="A2:G2"/>
  </mergeCells>
  <conditionalFormatting sqref="F125:F176">
    <cfRule type="containsText" dxfId="13" priority="1" operator="containsText" text="OK">
      <formula>NOT(ISERROR(SEARCH("OK",F125)))</formula>
    </cfRule>
    <cfRule type="containsText" dxfId="12" priority="2" operator="containsText" text="CHECK">
      <formula>NOT(ISERROR(SEARCH("CHECK",F125)))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E370-A25E-4EFF-B78A-A0C63C1D61EB}">
  <dimension ref="A1:H92"/>
  <sheetViews>
    <sheetView workbookViewId="0">
      <pane ySplit="2" topLeftCell="A83" activePane="bottomLeft" state="frozen"/>
      <selection pane="bottomLeft" sqref="A1:H1"/>
    </sheetView>
  </sheetViews>
  <sheetFormatPr baseColWidth="10" defaultColWidth="8.83203125" defaultRowHeight="15" x14ac:dyDescent="0.2"/>
  <cols>
    <col min="1" max="1" width="24.6640625" customWidth="1"/>
    <col min="2" max="2" width="34.6640625" customWidth="1"/>
    <col min="3" max="3" width="10.6640625" customWidth="1"/>
    <col min="4" max="4" width="8.6640625" customWidth="1"/>
    <col min="5" max="5" width="9.6640625" customWidth="1"/>
    <col min="6" max="6" width="11.6640625" customWidth="1"/>
    <col min="7" max="7" width="30.6640625" customWidth="1"/>
    <col min="8" max="8" width="66.6640625" customWidth="1"/>
  </cols>
  <sheetData>
    <row r="1" spans="1:8" ht="21.75" customHeight="1" x14ac:dyDescent="0.2">
      <c r="A1" s="156" t="s">
        <v>1934</v>
      </c>
      <c r="B1" s="154"/>
      <c r="C1" s="154"/>
      <c r="D1" s="154"/>
      <c r="E1" s="154"/>
      <c r="F1" s="154"/>
      <c r="G1" s="154"/>
      <c r="H1" s="154"/>
    </row>
    <row r="2" spans="1:8" ht="44.25" customHeight="1" x14ac:dyDescent="0.2">
      <c r="A2" s="155" t="s">
        <v>1935</v>
      </c>
      <c r="B2" s="154"/>
      <c r="C2" s="154"/>
      <c r="D2" s="154"/>
      <c r="E2" s="154"/>
      <c r="F2" s="154"/>
      <c r="G2" s="154"/>
      <c r="H2" s="154"/>
    </row>
    <row r="3" spans="1:8" x14ac:dyDescent="0.2">
      <c r="A3" s="90"/>
      <c r="B3" s="90"/>
      <c r="C3" s="90"/>
      <c r="D3" s="90"/>
      <c r="E3" s="90"/>
      <c r="F3" s="90"/>
      <c r="G3" s="90"/>
      <c r="H3" s="90"/>
    </row>
    <row r="4" spans="1:8" ht="18" customHeight="1" x14ac:dyDescent="0.2">
      <c r="A4" s="149" t="s">
        <v>1936</v>
      </c>
      <c r="B4" s="149"/>
      <c r="C4" s="149"/>
      <c r="D4" s="149"/>
      <c r="E4" s="149"/>
      <c r="F4" s="149"/>
      <c r="G4" s="149"/>
      <c r="H4" s="149"/>
    </row>
    <row r="5" spans="1:8" ht="30" x14ac:dyDescent="0.2">
      <c r="A5" s="115" t="s">
        <v>119</v>
      </c>
      <c r="B5" s="115" t="s">
        <v>1937</v>
      </c>
      <c r="C5" s="115" t="s">
        <v>1938</v>
      </c>
      <c r="D5" s="115" t="s">
        <v>1939</v>
      </c>
      <c r="E5" s="115" t="s">
        <v>1545</v>
      </c>
      <c r="F5" s="115" t="s">
        <v>1940</v>
      </c>
      <c r="G5" s="115" t="s">
        <v>127</v>
      </c>
      <c r="H5" s="115" t="s">
        <v>1941</v>
      </c>
    </row>
    <row r="6" spans="1:8" ht="27.75" customHeight="1" x14ac:dyDescent="0.2">
      <c r="A6" s="90" t="s">
        <v>784</v>
      </c>
      <c r="B6" s="90" t="s">
        <v>789</v>
      </c>
      <c r="C6" s="116">
        <f>SUMIFS('Purchasing list'!$K$4:$K$114,'Purchasing list'!$C$4:$C$114,$B6)</f>
        <v>10</v>
      </c>
      <c r="D6" s="116">
        <f>SUMIFS('Purchasing list'!$L$4:$L$114,'Purchasing list'!$C$4:$C$114,$B6)</f>
        <v>11</v>
      </c>
      <c r="E6" s="116">
        <f t="shared" ref="E6:E31" si="0">D6-C6</f>
        <v>1</v>
      </c>
      <c r="F6" s="117">
        <f>SUMIFS('Purchasing list'!$S$4:$S$114,'Purchasing list'!$C$4:$C$114,$B6)</f>
        <v>29.378799999999998</v>
      </c>
      <c r="G6" s="90" t="str">
        <f>INDEX('Purchasing list'!$H$4:$H$114,MATCH($B6,'Purchasing list'!$C$4:$C$114,0))</f>
        <v>JLCPCB library</v>
      </c>
      <c r="H6" s="90" t="s">
        <v>1942</v>
      </c>
    </row>
    <row r="7" spans="1:8" ht="27.75" customHeight="1" x14ac:dyDescent="0.2">
      <c r="A7" s="90" t="s">
        <v>705</v>
      </c>
      <c r="B7" s="90" t="s">
        <v>709</v>
      </c>
      <c r="C7" s="116">
        <f>SUMIFS('Purchasing list'!$K$4:$K$114,'Purchasing list'!$C$4:$C$114,$B7)</f>
        <v>40</v>
      </c>
      <c r="D7" s="116">
        <f>SUMIFS('Purchasing list'!$L$4:$L$114,'Purchasing list'!$C$4:$C$114,$B7)</f>
        <v>60</v>
      </c>
      <c r="E7" s="116">
        <f t="shared" si="0"/>
        <v>20</v>
      </c>
      <c r="F7" s="117">
        <f>SUMIFS('Purchasing list'!$S$4:$S$114,'Purchasing list'!$C$4:$C$114,$B7)</f>
        <v>1.554</v>
      </c>
      <c r="G7" s="90" t="str">
        <f>INDEX('Purchasing list'!$H$4:$H$114,MATCH($B7,'Purchasing list'!$C$4:$C$114,0))</f>
        <v>JLCPCB library</v>
      </c>
      <c r="H7" s="90" t="s">
        <v>1943</v>
      </c>
    </row>
    <row r="8" spans="1:8" ht="53.25" customHeight="1" x14ac:dyDescent="0.2">
      <c r="A8" s="90" t="s">
        <v>1386</v>
      </c>
      <c r="B8" s="90" t="s">
        <v>1391</v>
      </c>
      <c r="C8" s="116">
        <f>SUMIFS('Purchasing list'!$K$4:$K$114,'Purchasing list'!$C$4:$C$114,$B8)</f>
        <v>30</v>
      </c>
      <c r="D8" s="116">
        <f>SUMIFS('Purchasing list'!$L$4:$L$114,'Purchasing list'!$C$4:$C$114,$B8)</f>
        <v>31</v>
      </c>
      <c r="E8" s="116">
        <f t="shared" si="0"/>
        <v>1</v>
      </c>
      <c r="F8" s="117">
        <f>SUMIFS('Purchasing list'!$S$4:$S$114,'Purchasing list'!$C$4:$C$114,$B8)</f>
        <v>48.2577</v>
      </c>
      <c r="G8" s="90" t="str">
        <f>INDEX('Purchasing list'!$H$4:$H$114,MATCH($B8,'Purchasing list'!$C$4:$C$114,0))</f>
        <v>JLCPCB library</v>
      </c>
      <c r="H8" s="90" t="s">
        <v>1944</v>
      </c>
    </row>
    <row r="9" spans="1:8" ht="40.5" customHeight="1" x14ac:dyDescent="0.2">
      <c r="A9" s="90" t="s">
        <v>1438</v>
      </c>
      <c r="B9" s="90" t="s">
        <v>1442</v>
      </c>
      <c r="C9" s="116">
        <f>SUMIFS('Purchasing list'!$K$4:$K$114,'Purchasing list'!$C$4:$C$114,$B9)</f>
        <v>40</v>
      </c>
      <c r="D9" s="116">
        <f>SUMIFS('Purchasing list'!$L$4:$L$114,'Purchasing list'!$C$4:$C$114,$B9)</f>
        <v>41</v>
      </c>
      <c r="E9" s="116">
        <f t="shared" si="0"/>
        <v>1</v>
      </c>
      <c r="F9" s="117">
        <f>SUMIFS('Purchasing list'!$S$4:$S$114,'Purchasing list'!$C$4:$C$114,$B9)</f>
        <v>55.932200000000002</v>
      </c>
      <c r="G9" s="90" t="str">
        <f>INDEX('Purchasing list'!$H$4:$H$114,MATCH($B9,'Purchasing list'!$C$4:$C$114,0))</f>
        <v>JLCPCB library</v>
      </c>
      <c r="H9" s="90" t="s">
        <v>1945</v>
      </c>
    </row>
    <row r="10" spans="1:8" ht="27.75" customHeight="1" x14ac:dyDescent="0.2">
      <c r="A10" s="90" t="s">
        <v>999</v>
      </c>
      <c r="B10" s="90" t="s">
        <v>1003</v>
      </c>
      <c r="C10" s="116">
        <f>SUMIFS('Purchasing list'!$K$4:$K$114,'Purchasing list'!$C$4:$C$114,$B10)</f>
        <v>5</v>
      </c>
      <c r="D10" s="116">
        <f>SUMIFS('Purchasing list'!$L$4:$L$114,'Purchasing list'!$C$4:$C$114,$B10)</f>
        <v>6</v>
      </c>
      <c r="E10" s="116">
        <f t="shared" si="0"/>
        <v>1</v>
      </c>
      <c r="F10" s="117">
        <f>SUMIFS('Purchasing list'!$S$4:$S$114,'Purchasing list'!$C$4:$C$114,$B10)</f>
        <v>1.56</v>
      </c>
      <c r="G10" s="90" t="str">
        <f>INDEX('Purchasing list'!$H$4:$H$114,MATCH($B10,'Purchasing list'!$C$4:$C$114,0))</f>
        <v>JLCPCB library</v>
      </c>
      <c r="H10" s="90" t="s">
        <v>1946</v>
      </c>
    </row>
    <row r="11" spans="1:8" ht="27.75" customHeight="1" x14ac:dyDescent="0.2">
      <c r="A11" s="90" t="s">
        <v>1607</v>
      </c>
      <c r="B11" s="90" t="s">
        <v>864</v>
      </c>
      <c r="C11" s="116">
        <f>SUMIFS('Purchasing list'!$K$4:$K$114,'Purchasing list'!$C$4:$C$114,$B11)</f>
        <v>15</v>
      </c>
      <c r="D11" s="116">
        <f>SUMIFS('Purchasing list'!$L$4:$L$114,'Purchasing list'!$C$4:$C$114,$B11)</f>
        <v>17</v>
      </c>
      <c r="E11" s="116">
        <f t="shared" si="0"/>
        <v>2</v>
      </c>
      <c r="F11" s="117">
        <f>SUMIFS('Purchasing list'!$S$4:$S$114,'Purchasing list'!$C$4:$C$114,$B11)</f>
        <v>0.17680000000000001</v>
      </c>
      <c r="G11" s="90" t="str">
        <f>INDEX('Purchasing list'!$H$4:$H$114,MATCH($B11,'Purchasing list'!$C$4:$C$114,0))</f>
        <v>JLCPCB library</v>
      </c>
      <c r="H11" s="90" t="s">
        <v>1947</v>
      </c>
    </row>
    <row r="12" spans="1:8" ht="27.75" customHeight="1" x14ac:dyDescent="0.2">
      <c r="A12" s="90" t="s">
        <v>1427</v>
      </c>
      <c r="B12" s="90" t="s">
        <v>1432</v>
      </c>
      <c r="C12" s="116">
        <f>SUMIFS('Purchasing list'!$K$4:$K$114,'Purchasing list'!$C$4:$C$114,$B12)</f>
        <v>5</v>
      </c>
      <c r="D12" s="116">
        <f>SUMIFS('Purchasing list'!$L$4:$L$114,'Purchasing list'!$C$4:$C$114,$B12)</f>
        <v>6</v>
      </c>
      <c r="E12" s="116">
        <f t="shared" si="0"/>
        <v>1</v>
      </c>
      <c r="F12" s="117">
        <f>SUMIFS('Purchasing list'!$S$4:$S$114,'Purchasing list'!$C$4:$C$114,$B12)</f>
        <v>0.72</v>
      </c>
      <c r="G12" s="90" t="str">
        <f>INDEX('Purchasing list'!$H$4:$H$114,MATCH($B12,'Purchasing list'!$C$4:$C$114,0))</f>
        <v>JLCPCB library</v>
      </c>
      <c r="H12" s="90" t="s">
        <v>1948</v>
      </c>
    </row>
    <row r="13" spans="1:8" ht="27.75" customHeight="1" x14ac:dyDescent="0.2">
      <c r="A13" s="90" t="s">
        <v>1085</v>
      </c>
      <c r="B13" s="90" t="s">
        <v>1090</v>
      </c>
      <c r="C13" s="116">
        <f>SUMIFS('Purchasing list'!$K$4:$K$114,'Purchasing list'!$C$4:$C$114,$B13)</f>
        <v>20</v>
      </c>
      <c r="D13" s="116">
        <f>SUMIFS('Purchasing list'!$L$4:$L$114,'Purchasing list'!$C$4:$C$114,$B13)</f>
        <v>22</v>
      </c>
      <c r="E13" s="116">
        <f t="shared" si="0"/>
        <v>2</v>
      </c>
      <c r="F13" s="117">
        <f>SUMIFS('Purchasing list'!$S$4:$S$114,'Purchasing list'!$C$4:$C$114,$B13)</f>
        <v>29.92</v>
      </c>
      <c r="G13" s="90" t="str">
        <f>INDEX('Purchasing list'!$H$4:$H$114,MATCH($B13,'Purchasing list'!$C$4:$C$114,0))</f>
        <v>Global sourcing</v>
      </c>
      <c r="H13" s="90" t="s">
        <v>1949</v>
      </c>
    </row>
    <row r="14" spans="1:8" ht="40.5" customHeight="1" x14ac:dyDescent="0.2">
      <c r="A14" s="90" t="s">
        <v>1303</v>
      </c>
      <c r="B14" s="90" t="s">
        <v>1305</v>
      </c>
      <c r="C14" s="116">
        <f>SUMIFS('Purchasing list'!$K$4:$K$114,'Purchasing list'!$C$4:$C$114,$B14)</f>
        <v>50</v>
      </c>
      <c r="D14" s="116">
        <f>SUMIFS('Purchasing list'!$L$4:$L$114,'Purchasing list'!$C$4:$C$114,$B14)</f>
        <v>53</v>
      </c>
      <c r="E14" s="116">
        <f t="shared" si="0"/>
        <v>3</v>
      </c>
      <c r="F14" s="117">
        <f>SUMIFS('Purchasing list'!$S$4:$S$114,'Purchasing list'!$C$4:$C$114,$B14)</f>
        <v>1.5899999999999999</v>
      </c>
      <c r="G14" s="90" t="str">
        <f>INDEX('Purchasing list'!$H$4:$H$114,MATCH($B14,'Purchasing list'!$C$4:$C$114,0))</f>
        <v>JLCPCB library</v>
      </c>
      <c r="H14" s="90" t="s">
        <v>1950</v>
      </c>
    </row>
    <row r="15" spans="1:8" ht="27.75" customHeight="1" x14ac:dyDescent="0.2">
      <c r="A15" s="90" t="s">
        <v>1332</v>
      </c>
      <c r="B15" s="90" t="s">
        <v>1335</v>
      </c>
      <c r="C15" s="116">
        <f>SUMIFS('Purchasing list'!$K$4:$K$114,'Purchasing list'!$C$4:$C$114,$B15)</f>
        <v>40</v>
      </c>
      <c r="D15" s="116">
        <f>SUMIFS('Purchasing list'!$L$4:$L$114,'Purchasing list'!$C$4:$C$114,$B15)</f>
        <v>42</v>
      </c>
      <c r="E15" s="116">
        <f t="shared" si="0"/>
        <v>2</v>
      </c>
      <c r="F15" s="117">
        <f>SUMIFS('Purchasing list'!$S$4:$S$114,'Purchasing list'!$C$4:$C$114,$B15)</f>
        <v>1.26</v>
      </c>
      <c r="G15" s="90" t="str">
        <f>INDEX('Purchasing list'!$H$4:$H$114,MATCH($B15,'Purchasing list'!$C$4:$C$114,0))</f>
        <v>JLCPCB library</v>
      </c>
      <c r="H15" s="90" t="s">
        <v>1951</v>
      </c>
    </row>
    <row r="16" spans="1:8" ht="15" customHeight="1" x14ac:dyDescent="0.2">
      <c r="A16" s="90" t="s">
        <v>1294</v>
      </c>
      <c r="B16" s="90" t="s">
        <v>1298</v>
      </c>
      <c r="C16" s="116">
        <f>SUMIFS('Purchasing list'!$K$4:$K$114,'Purchasing list'!$C$4:$C$114,$B16)</f>
        <v>10</v>
      </c>
      <c r="D16" s="116">
        <f>SUMIFS('Purchasing list'!$L$4:$L$114,'Purchasing list'!$C$4:$C$114,$B16)</f>
        <v>12</v>
      </c>
      <c r="E16" s="116">
        <f t="shared" si="0"/>
        <v>2</v>
      </c>
      <c r="F16" s="117">
        <f>SUMIFS('Purchasing list'!$S$4:$S$114,'Purchasing list'!$C$4:$C$114,$B16)</f>
        <v>2.4E-2</v>
      </c>
      <c r="G16" s="90" t="str">
        <f>INDEX('Purchasing list'!$H$4:$H$114,MATCH($B16,'Purchasing list'!$C$4:$C$114,0))</f>
        <v>JLCPCB library</v>
      </c>
      <c r="H16" s="90" t="s">
        <v>1952</v>
      </c>
    </row>
    <row r="17" spans="1:8" ht="15" customHeight="1" x14ac:dyDescent="0.2">
      <c r="A17" s="90" t="s">
        <v>1340</v>
      </c>
      <c r="B17" s="90" t="s">
        <v>1343</v>
      </c>
      <c r="C17" s="116">
        <f>SUMIFS('Purchasing list'!$K$4:$K$114,'Purchasing list'!$C$4:$C$114,$B17)</f>
        <v>20</v>
      </c>
      <c r="D17" s="116">
        <f>SUMIFS('Purchasing list'!$L$4:$L$114,'Purchasing list'!$C$4:$C$114,$B17)</f>
        <v>22</v>
      </c>
      <c r="E17" s="116">
        <f t="shared" si="0"/>
        <v>2</v>
      </c>
      <c r="F17" s="117">
        <f>SUMIFS('Purchasing list'!$S$4:$S$114,'Purchasing list'!$C$4:$C$114,$B17)</f>
        <v>0.44</v>
      </c>
      <c r="G17" s="90" t="str">
        <f>INDEX('Purchasing list'!$H$4:$H$114,MATCH($B17,'Purchasing list'!$C$4:$C$114,0))</f>
        <v>JLCPCB library</v>
      </c>
      <c r="H17" s="90" t="s">
        <v>1953</v>
      </c>
    </row>
    <row r="18" spans="1:8" ht="15" customHeight="1" x14ac:dyDescent="0.2">
      <c r="A18" s="90" t="s">
        <v>1286</v>
      </c>
      <c r="B18" s="90" t="s">
        <v>1289</v>
      </c>
      <c r="C18" s="116">
        <f>SUMIFS('Purchasing list'!$K$4:$K$114,'Purchasing list'!$C$4:$C$114,$B18)</f>
        <v>10</v>
      </c>
      <c r="D18" s="116">
        <f>SUMIFS('Purchasing list'!$L$4:$L$114,'Purchasing list'!$C$4:$C$114,$B18)</f>
        <v>12</v>
      </c>
      <c r="E18" s="116">
        <f t="shared" si="0"/>
        <v>2</v>
      </c>
      <c r="F18" s="117">
        <f>SUMIFS('Purchasing list'!$S$4:$S$114,'Purchasing list'!$C$4:$C$114,$B18)</f>
        <v>2.4E-2</v>
      </c>
      <c r="G18" s="90" t="str">
        <f>INDEX('Purchasing list'!$H$4:$H$114,MATCH($B18,'Purchasing list'!$C$4:$C$114,0))</f>
        <v>Global sourcing</v>
      </c>
      <c r="H18" s="90" t="s">
        <v>1954</v>
      </c>
    </row>
    <row r="19" spans="1:8" ht="27.75" customHeight="1" x14ac:dyDescent="0.2">
      <c r="A19" s="90" t="s">
        <v>1348</v>
      </c>
      <c r="B19" s="90" t="s">
        <v>1351</v>
      </c>
      <c r="C19" s="116">
        <f>SUMIFS('Purchasing list'!$K$4:$K$114,'Purchasing list'!$C$4:$C$114,$B19)</f>
        <v>5</v>
      </c>
      <c r="D19" s="116">
        <f>SUMIFS('Purchasing list'!$L$4:$L$114,'Purchasing list'!$C$4:$C$114,$B19)</f>
        <v>7</v>
      </c>
      <c r="E19" s="116">
        <f t="shared" si="0"/>
        <v>2</v>
      </c>
      <c r="F19" s="117">
        <f>SUMIFS('Purchasing list'!$S$4:$S$114,'Purchasing list'!$C$4:$C$114,$B19)</f>
        <v>0.14000000000000001</v>
      </c>
      <c r="G19" s="90" t="str">
        <f>INDEX('Purchasing list'!$H$4:$H$114,MATCH($B19,'Purchasing list'!$C$4:$C$114,0))</f>
        <v>Global sourcing</v>
      </c>
      <c r="H19" s="90" t="s">
        <v>1955</v>
      </c>
    </row>
    <row r="20" spans="1:8" ht="15" customHeight="1" x14ac:dyDescent="0.2">
      <c r="A20" s="90" t="s">
        <v>476</v>
      </c>
      <c r="B20" s="90" t="s">
        <v>481</v>
      </c>
      <c r="C20" s="116">
        <f>SUMIFS('Purchasing list'!$K$4:$K$114,'Purchasing list'!$C$4:$C$114,$B20)</f>
        <v>5</v>
      </c>
      <c r="D20" s="116">
        <f>SUMIFS('Purchasing list'!$L$4:$L$114,'Purchasing list'!$C$4:$C$114,$B20)</f>
        <v>6</v>
      </c>
      <c r="E20" s="116">
        <f t="shared" si="0"/>
        <v>1</v>
      </c>
      <c r="F20" s="117">
        <f>SUMIFS('Purchasing list'!$S$4:$S$114,'Purchasing list'!$C$4:$C$114,$B20)</f>
        <v>8.34</v>
      </c>
      <c r="G20" s="90" t="str">
        <f>INDEX('Purchasing list'!$H$4:$H$114,MATCH($B20,'Purchasing list'!$C$4:$C$114,0))</f>
        <v>Global sourcing</v>
      </c>
      <c r="H20" s="90" t="s">
        <v>1956</v>
      </c>
    </row>
    <row r="21" spans="1:8" ht="15" customHeight="1" x14ac:dyDescent="0.2">
      <c r="A21" s="90" t="s">
        <v>487</v>
      </c>
      <c r="B21" s="90" t="s">
        <v>492</v>
      </c>
      <c r="C21" s="116">
        <f>SUMIFS('Purchasing list'!$K$4:$K$114,'Purchasing list'!$C$4:$C$114,$B21)</f>
        <v>5</v>
      </c>
      <c r="D21" s="116">
        <f>SUMIFS('Purchasing list'!$L$4:$L$114,'Purchasing list'!$C$4:$C$114,$B21)</f>
        <v>6</v>
      </c>
      <c r="E21" s="116">
        <f t="shared" si="0"/>
        <v>1</v>
      </c>
      <c r="F21" s="117">
        <f>SUMIFS('Purchasing list'!$S$4:$S$114,'Purchasing list'!$C$4:$C$114,$B21)</f>
        <v>12</v>
      </c>
      <c r="G21" s="90" t="str">
        <f>INDEX('Purchasing list'!$H$4:$H$114,MATCH($B21,'Purchasing list'!$C$4:$C$114,0))</f>
        <v>Global sourcing</v>
      </c>
      <c r="H21" s="90" t="s">
        <v>1957</v>
      </c>
    </row>
    <row r="22" spans="1:8" ht="15" customHeight="1" x14ac:dyDescent="0.2">
      <c r="A22" s="90" t="s">
        <v>497</v>
      </c>
      <c r="B22" s="90" t="s">
        <v>500</v>
      </c>
      <c r="C22" s="116">
        <f>SUMIFS('Purchasing list'!$K$4:$K$114,'Purchasing list'!$C$4:$C$114,$B22)</f>
        <v>5</v>
      </c>
      <c r="D22" s="116">
        <f>SUMIFS('Purchasing list'!$L$4:$L$114,'Purchasing list'!$C$4:$C$114,$B22)</f>
        <v>6</v>
      </c>
      <c r="E22" s="116">
        <f t="shared" si="0"/>
        <v>1</v>
      </c>
      <c r="F22" s="117">
        <f>SUMIFS('Purchasing list'!$S$4:$S$114,'Purchasing list'!$C$4:$C$114,$B22)</f>
        <v>12</v>
      </c>
      <c r="G22" s="90" t="str">
        <f>INDEX('Purchasing list'!$H$4:$H$114,MATCH($B22,'Purchasing list'!$C$4:$C$114,0))</f>
        <v>Global sourcing</v>
      </c>
      <c r="H22" s="90" t="s">
        <v>1958</v>
      </c>
    </row>
    <row r="23" spans="1:8" ht="27.75" customHeight="1" x14ac:dyDescent="0.2">
      <c r="A23" s="90" t="s">
        <v>1417</v>
      </c>
      <c r="B23" s="90" t="s">
        <v>1422</v>
      </c>
      <c r="C23" s="116">
        <f>SUMIFS('Purchasing list'!$K$4:$K$114,'Purchasing list'!$C$4:$C$114,$B23)</f>
        <v>5</v>
      </c>
      <c r="D23" s="116">
        <f>SUMIFS('Purchasing list'!$L$4:$L$114,'Purchasing list'!$C$4:$C$114,$B23)</f>
        <v>6</v>
      </c>
      <c r="E23" s="116">
        <f t="shared" si="0"/>
        <v>1</v>
      </c>
      <c r="F23" s="117">
        <f>SUMIFS('Purchasing list'!$S$4:$S$114,'Purchasing list'!$C$4:$C$114,$B23)</f>
        <v>0.60000000000000009</v>
      </c>
      <c r="G23" s="90" t="str">
        <f>INDEX('Purchasing list'!$H$4:$H$114,MATCH($B23,'Purchasing list'!$C$4:$C$114,0))</f>
        <v>Global sourcing</v>
      </c>
      <c r="H23" s="90" t="s">
        <v>1959</v>
      </c>
    </row>
    <row r="24" spans="1:8" ht="15" customHeight="1" x14ac:dyDescent="0.2">
      <c r="A24" s="90" t="s">
        <v>757</v>
      </c>
      <c r="B24" s="90" t="s">
        <v>760</v>
      </c>
      <c r="C24" s="116">
        <f>SUMIFS('Purchasing list'!$K$4:$K$114,'Purchasing list'!$C$4:$C$114,$B24)</f>
        <v>40</v>
      </c>
      <c r="D24" s="116">
        <f>SUMIFS('Purchasing list'!$L$4:$L$114,'Purchasing list'!$C$4:$C$114,$B24)</f>
        <v>60</v>
      </c>
      <c r="E24" s="116">
        <f t="shared" si="0"/>
        <v>20</v>
      </c>
      <c r="F24" s="117">
        <f>SUMIFS('Purchasing list'!$S$4:$S$114,'Purchasing list'!$C$4:$C$114,$B24)</f>
        <v>1.536</v>
      </c>
      <c r="G24" s="90" t="str">
        <f>INDEX('Purchasing list'!$H$4:$H$114,MATCH($B24,'Purchasing list'!$C$4:$C$114,0))</f>
        <v>JLCPCB library</v>
      </c>
      <c r="H24" s="90" t="s">
        <v>1960</v>
      </c>
    </row>
    <row r="25" spans="1:8" ht="15" customHeight="1" x14ac:dyDescent="0.2">
      <c r="A25" s="90" t="s">
        <v>729</v>
      </c>
      <c r="B25" s="90" t="s">
        <v>733</v>
      </c>
      <c r="C25" s="116">
        <f>SUMIFS('Purchasing list'!$K$4:$K$114,'Purchasing list'!$C$4:$C$114,$B25)</f>
        <v>20</v>
      </c>
      <c r="D25" s="116">
        <f>SUMIFS('Purchasing list'!$L$4:$L$114,'Purchasing list'!$C$4:$C$114,$B25)</f>
        <v>40</v>
      </c>
      <c r="E25" s="116">
        <f t="shared" si="0"/>
        <v>20</v>
      </c>
      <c r="F25" s="117">
        <f>SUMIFS('Purchasing list'!$S$4:$S$114,'Purchasing list'!$C$4:$C$114,$B25)</f>
        <v>1.016</v>
      </c>
      <c r="G25" s="90" t="str">
        <f>INDEX('Purchasing list'!$H$4:$H$114,MATCH($B25,'Purchasing list'!$C$4:$C$114,0))</f>
        <v>JLCPCB library</v>
      </c>
      <c r="H25" s="90" t="s">
        <v>1961</v>
      </c>
    </row>
    <row r="26" spans="1:8" ht="27.75" customHeight="1" x14ac:dyDescent="0.2">
      <c r="A26" s="90" t="s">
        <v>1407</v>
      </c>
      <c r="B26" s="90" t="s">
        <v>1411</v>
      </c>
      <c r="C26" s="116">
        <f>SUMIFS('Purchasing list'!$K$4:$K$114,'Purchasing list'!$C$4:$C$114,$B26)</f>
        <v>5</v>
      </c>
      <c r="D26" s="116">
        <f>SUMIFS('Purchasing list'!$L$4:$L$114,'Purchasing list'!$C$4:$C$114,$B26)</f>
        <v>6</v>
      </c>
      <c r="E26" s="116">
        <f t="shared" si="0"/>
        <v>1</v>
      </c>
      <c r="F26" s="117">
        <f>SUMIFS('Purchasing list'!$S$4:$S$114,'Purchasing list'!$C$4:$C$114,$B26)</f>
        <v>4.0625999999999998</v>
      </c>
      <c r="G26" s="90" t="str">
        <f>INDEX('Purchasing list'!$H$4:$H$114,MATCH($B26,'Purchasing list'!$C$4:$C$114,0))</f>
        <v>JLCPCB library</v>
      </c>
      <c r="H26" s="90" t="s">
        <v>1962</v>
      </c>
    </row>
    <row r="27" spans="1:8" ht="15" customHeight="1" x14ac:dyDescent="0.2">
      <c r="A27" s="90" t="s">
        <v>465</v>
      </c>
      <c r="B27" s="90" t="s">
        <v>470</v>
      </c>
      <c r="C27" s="116">
        <f>SUMIFS('Purchasing list'!$K$4:$K$114,'Purchasing list'!$C$4:$C$114,$B27)</f>
        <v>5</v>
      </c>
      <c r="D27" s="116">
        <f>SUMIFS('Purchasing list'!$L$4:$L$114,'Purchasing list'!$C$4:$C$114,$B27)</f>
        <v>10</v>
      </c>
      <c r="E27" s="116">
        <f t="shared" si="0"/>
        <v>5</v>
      </c>
      <c r="F27" s="117">
        <f>SUMIFS('Purchasing list'!$S$4:$S$114,'Purchasing list'!$C$4:$C$114,$B27)</f>
        <v>2.012</v>
      </c>
      <c r="G27" s="90" t="str">
        <f>INDEX('Purchasing list'!$H$4:$H$114,MATCH($B27,'Purchasing list'!$C$4:$C$114,0))</f>
        <v>JLCPCB library</v>
      </c>
      <c r="H27" s="90" t="s">
        <v>1963</v>
      </c>
    </row>
    <row r="28" spans="1:8" ht="15" customHeight="1" x14ac:dyDescent="0.2">
      <c r="A28" s="90" t="s">
        <v>663</v>
      </c>
      <c r="B28" s="90" t="s">
        <v>668</v>
      </c>
      <c r="C28" s="116">
        <f>SUMIFS('Purchasing list'!$K$4:$K$114,'Purchasing list'!$C$4:$C$114,$B28)</f>
        <v>10</v>
      </c>
      <c r="D28" s="116">
        <f>SUMIFS('Purchasing list'!$L$4:$L$114,'Purchasing list'!$C$4:$C$114,$B28)</f>
        <v>12</v>
      </c>
      <c r="E28" s="116">
        <f t="shared" si="0"/>
        <v>2</v>
      </c>
      <c r="F28" s="117">
        <f>SUMIFS('Purchasing list'!$S$4:$S$114,'Purchasing list'!$C$4:$C$114,$B28)</f>
        <v>6.3083999999999989</v>
      </c>
      <c r="G28" s="90" t="str">
        <f>INDEX('Purchasing list'!$H$4:$H$114,MATCH($B28,'Purchasing list'!$C$4:$C$114,0))</f>
        <v>JLCPCB library</v>
      </c>
      <c r="H28" s="90" t="s">
        <v>1964</v>
      </c>
    </row>
    <row r="29" spans="1:8" ht="15" customHeight="1" x14ac:dyDescent="0.2">
      <c r="A29" s="90" t="s">
        <v>588</v>
      </c>
      <c r="B29" s="90" t="s">
        <v>593</v>
      </c>
      <c r="C29" s="116">
        <f>SUMIFS('Purchasing list'!$K$4:$K$114,'Purchasing list'!$C$4:$C$114,$B29)</f>
        <v>5</v>
      </c>
      <c r="D29" s="116">
        <f>SUMIFS('Purchasing list'!$L$4:$L$114,'Purchasing list'!$C$4:$C$114,$B29)</f>
        <v>6</v>
      </c>
      <c r="E29" s="116">
        <f t="shared" si="0"/>
        <v>1</v>
      </c>
      <c r="F29" s="117">
        <f>SUMIFS('Purchasing list'!$S$4:$S$114,'Purchasing list'!$C$4:$C$114,$B29)</f>
        <v>20.806799999999999</v>
      </c>
      <c r="G29" s="90" t="str">
        <f>INDEX('Purchasing list'!$H$4:$H$114,MATCH($B29,'Purchasing list'!$C$4:$C$114,0))</f>
        <v>JLCPCB library</v>
      </c>
      <c r="H29" s="90" t="s">
        <v>1965</v>
      </c>
    </row>
    <row r="30" spans="1:8" ht="15" customHeight="1" x14ac:dyDescent="0.2">
      <c r="A30" s="90" t="s">
        <v>422</v>
      </c>
      <c r="B30" s="90" t="s">
        <v>427</v>
      </c>
      <c r="C30" s="116">
        <f>SUMIFS('Purchasing list'!$K$4:$K$114,'Purchasing list'!$C$4:$C$114,$B30)</f>
        <v>5</v>
      </c>
      <c r="D30" s="116">
        <f>SUMIFS('Purchasing list'!$L$4:$L$114,'Purchasing list'!$C$4:$C$114,$B30)</f>
        <v>6</v>
      </c>
      <c r="E30" s="116">
        <f t="shared" si="0"/>
        <v>1</v>
      </c>
      <c r="F30" s="117">
        <f>SUMIFS('Purchasing list'!$S$4:$S$114,'Purchasing list'!$C$4:$C$114,$B30)</f>
        <v>20.82</v>
      </c>
      <c r="G30" s="90" t="str">
        <f>INDEX('Purchasing list'!$H$4:$H$114,MATCH($B30,'Purchasing list'!$C$4:$C$114,0))</f>
        <v>JLCPCB library</v>
      </c>
      <c r="H30" s="90" t="s">
        <v>1966</v>
      </c>
    </row>
    <row r="31" spans="1:8" ht="15" customHeight="1" x14ac:dyDescent="0.2">
      <c r="A31" s="90" t="s">
        <v>433</v>
      </c>
      <c r="B31" s="90" t="s">
        <v>438</v>
      </c>
      <c r="C31" s="116">
        <f>SUMIFS('Purchasing list'!$K$4:$K$114,'Purchasing list'!$C$4:$C$114,$B31)</f>
        <v>5</v>
      </c>
      <c r="D31" s="116">
        <f>SUMIFS('Purchasing list'!$L$4:$L$114,'Purchasing list'!$C$4:$C$114,$B31)</f>
        <v>6</v>
      </c>
      <c r="E31" s="116">
        <f t="shared" si="0"/>
        <v>1</v>
      </c>
      <c r="F31" s="117">
        <f>SUMIFS('Purchasing list'!$S$4:$S$114,'Purchasing list'!$C$4:$C$114,$B31)</f>
        <v>9.9018000000000015</v>
      </c>
      <c r="G31" s="90" t="str">
        <f>INDEX('Purchasing list'!$H$4:$H$114,MATCH($B31,'Purchasing list'!$C$4:$C$114,0))</f>
        <v>JLCPCB library</v>
      </c>
      <c r="H31" s="90" t="s">
        <v>1967</v>
      </c>
    </row>
    <row r="32" spans="1:8" x14ac:dyDescent="0.2">
      <c r="A32" s="91" t="s">
        <v>1968</v>
      </c>
      <c r="B32" s="91" t="str">
        <f>COUNTA(B6:B31)&amp;" part numbers"</f>
        <v>26 part numbers</v>
      </c>
      <c r="C32" s="119">
        <f>SUM(C6:C31)</f>
        <v>415</v>
      </c>
      <c r="D32" s="119">
        <f>SUM(D6:D31)</f>
        <v>512</v>
      </c>
      <c r="E32" s="119">
        <f>SUM(E6:E31)</f>
        <v>97</v>
      </c>
      <c r="F32" s="120">
        <f>SUM(F6:F31)</f>
        <v>270.3811</v>
      </c>
      <c r="G32" s="91"/>
      <c r="H32" s="91" t="str">
        <f>"= "&amp;TEXT(F32/Cost!E45,"0%")&amp;" of the JLCPCB parts value (Cost sheet)"</f>
        <v>= 68% of the JLCPCB parts value (Cost sheet)</v>
      </c>
    </row>
    <row r="33" spans="1:8" x14ac:dyDescent="0.2">
      <c r="A33" s="90"/>
      <c r="B33" s="90"/>
      <c r="C33" s="90"/>
      <c r="D33" s="90"/>
      <c r="E33" s="90"/>
      <c r="F33" s="90"/>
      <c r="G33" s="90"/>
      <c r="H33" s="90"/>
    </row>
    <row r="34" spans="1:8" ht="18" customHeight="1" x14ac:dyDescent="0.2">
      <c r="A34" s="149" t="s">
        <v>1969</v>
      </c>
      <c r="B34" s="149"/>
      <c r="C34" s="149"/>
      <c r="D34" s="149"/>
      <c r="E34" s="149"/>
      <c r="F34" s="149"/>
      <c r="G34" s="149"/>
      <c r="H34" s="149"/>
    </row>
    <row r="35" spans="1:8" x14ac:dyDescent="0.2">
      <c r="A35" s="115" t="s">
        <v>1970</v>
      </c>
      <c r="B35" s="115" t="s">
        <v>1971</v>
      </c>
      <c r="C35" s="115"/>
      <c r="D35" s="115" t="s">
        <v>1751</v>
      </c>
      <c r="E35" s="115"/>
      <c r="F35" s="115" t="s">
        <v>1972</v>
      </c>
      <c r="G35" s="115"/>
      <c r="H35" s="115" t="s">
        <v>1973</v>
      </c>
    </row>
    <row r="36" spans="1:8" ht="27.75" customHeight="1" x14ac:dyDescent="0.2">
      <c r="A36" s="90" t="s">
        <v>1974</v>
      </c>
      <c r="B36" s="147" t="s">
        <v>1975</v>
      </c>
      <c r="C36" s="147"/>
      <c r="D36" s="116">
        <f>'Purchasing list'!$L$130</f>
        <v>44</v>
      </c>
      <c r="E36" s="90"/>
      <c r="F36" s="117">
        <f>'Purchasing list'!$S$133</f>
        <v>105.63</v>
      </c>
      <c r="G36" s="90"/>
      <c r="H36" s="90" t="str">
        <f>"parts US$ "&amp;TEXT('Purchasing list'!$S$130,"0.00")&amp;" + shipping US$ "&amp;TEXT('Purchasing list'!$S$131,"0.00")&amp;" + 5 % tax US$ "&amp;TEXT('Purchasing list'!$S$132,"0.00")</f>
        <v>parts US$ 100.60 + shipping US$ 0.00 + 5 % tax US$ 5.03</v>
      </c>
    </row>
    <row r="37" spans="1:8" ht="27.75" customHeight="1" x14ac:dyDescent="0.2">
      <c r="A37" s="90" t="s">
        <v>1976</v>
      </c>
      <c r="B37" s="147" t="s">
        <v>1977</v>
      </c>
      <c r="C37" s="147"/>
      <c r="D37" s="116">
        <f>'Purchasing list'!$L$152</f>
        <v>65</v>
      </c>
      <c r="E37" s="90"/>
      <c r="F37" s="117">
        <f>'Purchasing list'!$S$155</f>
        <v>55.97</v>
      </c>
      <c r="G37" s="90"/>
      <c r="H37" s="90" t="str">
        <f>"parts US$ "&amp;TEXT('Purchasing list'!$S$152,"0.00")&amp;" + shipping ≈ US$ "&amp;TEXT('Purchasing list'!$S$153,"0.00")&amp;" (assumption); no tax under NT$ 2,000"</f>
        <v>parts US$ 45.97 + shipping ≈ US$ 10.00 (assumption); no tax under NT$ 2,000</v>
      </c>
    </row>
    <row r="38" spans="1:8" ht="27.75" customHeight="1" x14ac:dyDescent="0.2">
      <c r="A38" s="91" t="s">
        <v>1978</v>
      </c>
      <c r="B38" s="161"/>
      <c r="C38" s="161"/>
      <c r="D38" s="119">
        <f>D36+D37</f>
        <v>109</v>
      </c>
      <c r="E38" s="91"/>
      <c r="F38" s="120">
        <f>F36+F37</f>
        <v>161.6</v>
      </c>
      <c r="G38" s="91"/>
      <c r="H38" s="91" t="s">
        <v>1979</v>
      </c>
    </row>
    <row r="39" spans="1:8" ht="27.75" customHeight="1" x14ac:dyDescent="0.2">
      <c r="A39" s="89" t="s">
        <v>1980</v>
      </c>
      <c r="B39" s="150" t="s">
        <v>1981</v>
      </c>
      <c r="C39" s="150"/>
      <c r="D39" s="89"/>
      <c r="E39" s="89"/>
      <c r="F39" s="89"/>
      <c r="G39" s="89"/>
      <c r="H39" s="89" t="s">
        <v>1982</v>
      </c>
    </row>
    <row r="40" spans="1:8" x14ac:dyDescent="0.2">
      <c r="A40" s="90"/>
      <c r="B40" s="90"/>
      <c r="C40" s="90"/>
      <c r="D40" s="90"/>
      <c r="E40" s="90"/>
      <c r="F40" s="90"/>
      <c r="G40" s="90"/>
      <c r="H40" s="90"/>
    </row>
    <row r="41" spans="1:8" ht="18" customHeight="1" x14ac:dyDescent="0.2">
      <c r="A41" s="149" t="s">
        <v>1983</v>
      </c>
      <c r="B41" s="149"/>
      <c r="C41" s="149"/>
      <c r="D41" s="149"/>
      <c r="E41" s="149"/>
      <c r="F41" s="149"/>
      <c r="G41" s="149"/>
      <c r="H41" s="149"/>
    </row>
    <row r="42" spans="1:8" x14ac:dyDescent="0.2">
      <c r="A42" s="115" t="s">
        <v>1984</v>
      </c>
      <c r="B42" s="115" t="s">
        <v>1751</v>
      </c>
      <c r="C42" s="115"/>
      <c r="D42" s="115" t="s">
        <v>1985</v>
      </c>
      <c r="E42" s="115"/>
      <c r="F42" s="115"/>
      <c r="G42" s="115"/>
      <c r="H42" s="115"/>
    </row>
    <row r="43" spans="1:8" ht="15" customHeight="1" x14ac:dyDescent="0.2">
      <c r="A43" s="90">
        <v>1</v>
      </c>
      <c r="B43" s="147" t="s">
        <v>1986</v>
      </c>
      <c r="C43" s="147"/>
      <c r="D43" s="147" t="s">
        <v>1987</v>
      </c>
      <c r="E43" s="147"/>
      <c r="F43" s="147"/>
      <c r="G43" s="147"/>
      <c r="H43" s="147"/>
    </row>
    <row r="44" spans="1:8" ht="27.75" customHeight="1" x14ac:dyDescent="0.2">
      <c r="A44" s="121">
        <v>2</v>
      </c>
      <c r="B44" s="160" t="s">
        <v>1988</v>
      </c>
      <c r="C44" s="160"/>
      <c r="D44" s="160" t="s">
        <v>1989</v>
      </c>
      <c r="E44" s="160"/>
      <c r="F44" s="160"/>
      <c r="G44" s="160"/>
      <c r="H44" s="160"/>
    </row>
    <row r="45" spans="1:8" ht="27.75" customHeight="1" x14ac:dyDescent="0.2">
      <c r="A45" s="90">
        <v>3</v>
      </c>
      <c r="B45" s="147" t="s">
        <v>1990</v>
      </c>
      <c r="C45" s="147"/>
      <c r="D45" s="147" t="s">
        <v>1991</v>
      </c>
      <c r="E45" s="147"/>
      <c r="F45" s="147"/>
      <c r="G45" s="147"/>
      <c r="H45" s="147"/>
    </row>
    <row r="46" spans="1:8" ht="27.75" customHeight="1" x14ac:dyDescent="0.2">
      <c r="A46" s="90" t="s">
        <v>1992</v>
      </c>
      <c r="B46" s="147" t="s">
        <v>1993</v>
      </c>
      <c r="C46" s="147"/>
      <c r="D46" s="147" t="s">
        <v>1994</v>
      </c>
      <c r="E46" s="147"/>
      <c r="F46" s="147"/>
      <c r="G46" s="147"/>
      <c r="H46" s="147"/>
    </row>
    <row r="47" spans="1:8" ht="27.75" customHeight="1" x14ac:dyDescent="0.2">
      <c r="A47" s="90" t="s">
        <v>1995</v>
      </c>
      <c r="B47" s="147" t="s">
        <v>1996</v>
      </c>
      <c r="C47" s="147"/>
      <c r="D47" s="147" t="s">
        <v>1997</v>
      </c>
      <c r="E47" s="147"/>
      <c r="F47" s="147"/>
      <c r="G47" s="147"/>
      <c r="H47" s="147"/>
    </row>
    <row r="48" spans="1:8" ht="18" customHeight="1" x14ac:dyDescent="0.2">
      <c r="A48" s="90"/>
      <c r="B48" s="90"/>
      <c r="C48" s="90"/>
      <c r="D48" s="90"/>
      <c r="E48" s="90"/>
      <c r="F48" s="90"/>
      <c r="G48" s="90"/>
      <c r="H48" s="90"/>
    </row>
    <row r="49" spans="1:8" ht="18" customHeight="1" x14ac:dyDescent="0.2">
      <c r="A49" s="149" t="s">
        <v>1998</v>
      </c>
      <c r="B49" s="149"/>
      <c r="C49" s="149"/>
      <c r="D49" s="149"/>
      <c r="E49" s="149"/>
      <c r="F49" s="149"/>
      <c r="G49" s="149"/>
      <c r="H49" s="149"/>
    </row>
    <row r="50" spans="1:8" ht="27.75" customHeight="1" x14ac:dyDescent="0.2">
      <c r="A50" s="115" t="s">
        <v>119</v>
      </c>
      <c r="B50" s="115" t="s">
        <v>1937</v>
      </c>
      <c r="C50" s="159" t="s">
        <v>1999</v>
      </c>
      <c r="D50" s="159"/>
      <c r="E50" s="159"/>
      <c r="F50" s="115" t="s">
        <v>2000</v>
      </c>
      <c r="G50" s="115" t="s">
        <v>2001</v>
      </c>
      <c r="H50" s="115" t="s">
        <v>141</v>
      </c>
    </row>
    <row r="51" spans="1:8" ht="27.75" customHeight="1" x14ac:dyDescent="0.2">
      <c r="A51" s="90" t="s">
        <v>214</v>
      </c>
      <c r="B51" s="90" t="s">
        <v>218</v>
      </c>
      <c r="C51" s="147" t="s">
        <v>2002</v>
      </c>
      <c r="D51" s="147"/>
      <c r="E51" s="147"/>
      <c r="F51" s="90" t="s">
        <v>162</v>
      </c>
      <c r="G51" s="90" t="s">
        <v>162</v>
      </c>
      <c r="H51" s="90" t="s">
        <v>2003</v>
      </c>
    </row>
    <row r="52" spans="1:8" ht="53.25" customHeight="1" x14ac:dyDescent="0.2">
      <c r="A52" s="90" t="s">
        <v>476</v>
      </c>
      <c r="B52" s="90" t="s">
        <v>481</v>
      </c>
      <c r="C52" s="147" t="s">
        <v>2004</v>
      </c>
      <c r="D52" s="147"/>
      <c r="E52" s="147"/>
      <c r="F52" s="90" t="s">
        <v>2005</v>
      </c>
      <c r="G52" s="90" t="s">
        <v>2006</v>
      </c>
      <c r="H52" s="90" t="s">
        <v>2007</v>
      </c>
    </row>
    <row r="53" spans="1:8" ht="27.75" customHeight="1" x14ac:dyDescent="0.2">
      <c r="A53" s="90" t="s">
        <v>487</v>
      </c>
      <c r="B53" s="90" t="s">
        <v>492</v>
      </c>
      <c r="C53" s="147" t="s">
        <v>2008</v>
      </c>
      <c r="D53" s="147"/>
      <c r="E53" s="147"/>
      <c r="F53" s="90" t="s">
        <v>2009</v>
      </c>
      <c r="G53" s="90" t="s">
        <v>2010</v>
      </c>
      <c r="H53" s="90" t="s">
        <v>2011</v>
      </c>
    </row>
    <row r="54" spans="1:8" ht="27.75" customHeight="1" x14ac:dyDescent="0.2">
      <c r="A54" s="90" t="s">
        <v>497</v>
      </c>
      <c r="B54" s="90" t="s">
        <v>500</v>
      </c>
      <c r="C54" s="147" t="s">
        <v>2012</v>
      </c>
      <c r="D54" s="147"/>
      <c r="E54" s="147"/>
      <c r="F54" s="90" t="s">
        <v>2009</v>
      </c>
      <c r="G54" s="90" t="s">
        <v>2013</v>
      </c>
      <c r="H54" s="90" t="s">
        <v>2011</v>
      </c>
    </row>
    <row r="55" spans="1:8" ht="27.75" customHeight="1" x14ac:dyDescent="0.2">
      <c r="A55" s="90" t="s">
        <v>1417</v>
      </c>
      <c r="B55" s="90" t="s">
        <v>1422</v>
      </c>
      <c r="C55" s="147" t="s">
        <v>2014</v>
      </c>
      <c r="D55" s="147"/>
      <c r="E55" s="147"/>
      <c r="F55" s="90" t="s">
        <v>2015</v>
      </c>
      <c r="G55" s="90" t="s">
        <v>162</v>
      </c>
      <c r="H55" s="90" t="s">
        <v>2016</v>
      </c>
    </row>
    <row r="56" spans="1:8" ht="27.75" customHeight="1" x14ac:dyDescent="0.2">
      <c r="A56" s="90" t="s">
        <v>715</v>
      </c>
      <c r="B56" s="90" t="s">
        <v>2017</v>
      </c>
      <c r="C56" s="147" t="s">
        <v>2018</v>
      </c>
      <c r="D56" s="147"/>
      <c r="E56" s="147"/>
      <c r="F56" s="90" t="s">
        <v>162</v>
      </c>
      <c r="G56" s="90" t="s">
        <v>2019</v>
      </c>
      <c r="H56" s="90" t="s">
        <v>2020</v>
      </c>
    </row>
    <row r="57" spans="1:8" ht="40.5" customHeight="1" x14ac:dyDescent="0.2">
      <c r="A57" s="90" t="s">
        <v>2021</v>
      </c>
      <c r="B57" s="90" t="s">
        <v>2022</v>
      </c>
      <c r="C57" s="147" t="s">
        <v>2023</v>
      </c>
      <c r="D57" s="147"/>
      <c r="E57" s="147"/>
      <c r="F57" s="90" t="s">
        <v>162</v>
      </c>
      <c r="G57" s="90" t="s">
        <v>2024</v>
      </c>
      <c r="H57" s="90" t="s">
        <v>2025</v>
      </c>
    </row>
    <row r="58" spans="1:8" ht="27.75" customHeight="1" x14ac:dyDescent="0.2">
      <c r="A58" s="90" t="s">
        <v>1286</v>
      </c>
      <c r="B58" s="90" t="s">
        <v>2026</v>
      </c>
      <c r="C58" s="147" t="s">
        <v>2027</v>
      </c>
      <c r="D58" s="147"/>
      <c r="E58" s="147"/>
      <c r="F58" s="90" t="s">
        <v>162</v>
      </c>
      <c r="G58" s="90" t="s">
        <v>162</v>
      </c>
      <c r="H58" s="90" t="s">
        <v>2028</v>
      </c>
    </row>
    <row r="59" spans="1:8" ht="40.5" customHeight="1" x14ac:dyDescent="0.2">
      <c r="A59" s="90" t="s">
        <v>1348</v>
      </c>
      <c r="B59" s="90" t="s">
        <v>2029</v>
      </c>
      <c r="C59" s="147" t="s">
        <v>2030</v>
      </c>
      <c r="D59" s="147"/>
      <c r="E59" s="147"/>
      <c r="F59" s="90" t="s">
        <v>162</v>
      </c>
      <c r="G59" s="90" t="s">
        <v>2031</v>
      </c>
      <c r="H59" s="90" t="s">
        <v>2032</v>
      </c>
    </row>
    <row r="60" spans="1:8" ht="15" customHeight="1" x14ac:dyDescent="0.2">
      <c r="A60" s="90" t="s">
        <v>2033</v>
      </c>
      <c r="B60" s="90" t="s">
        <v>1173</v>
      </c>
      <c r="C60" s="147" t="s">
        <v>2034</v>
      </c>
      <c r="D60" s="147"/>
      <c r="E60" s="147"/>
      <c r="F60" s="90" t="s">
        <v>162</v>
      </c>
      <c r="G60" s="90" t="s">
        <v>162</v>
      </c>
      <c r="H60" s="90" t="s">
        <v>2035</v>
      </c>
    </row>
    <row r="61" spans="1:8" ht="27.75" customHeight="1" x14ac:dyDescent="0.2">
      <c r="A61" s="90" t="s">
        <v>1310</v>
      </c>
      <c r="B61" s="90" t="s">
        <v>2036</v>
      </c>
      <c r="C61" s="147" t="s">
        <v>2037</v>
      </c>
      <c r="D61" s="147"/>
      <c r="E61" s="147"/>
      <c r="F61" s="90" t="s">
        <v>162</v>
      </c>
      <c r="G61" s="90" t="s">
        <v>2038</v>
      </c>
      <c r="H61" s="90"/>
    </row>
    <row r="62" spans="1:8" ht="18" customHeight="1" x14ac:dyDescent="0.2">
      <c r="A62" s="90"/>
      <c r="B62" s="90"/>
      <c r="C62" s="90"/>
      <c r="D62" s="90"/>
      <c r="E62" s="90"/>
      <c r="F62" s="90"/>
      <c r="G62" s="90"/>
      <c r="H62" s="90"/>
    </row>
    <row r="63" spans="1:8" ht="18" customHeight="1" x14ac:dyDescent="0.2">
      <c r="A63" s="149" t="s">
        <v>2039</v>
      </c>
      <c r="B63" s="149"/>
      <c r="C63" s="149"/>
      <c r="D63" s="149"/>
      <c r="E63" s="149"/>
      <c r="F63" s="149"/>
      <c r="G63" s="149"/>
      <c r="H63" s="149"/>
    </row>
    <row r="64" spans="1:8" ht="27.75" customHeight="1" x14ac:dyDescent="0.2">
      <c r="A64" s="90">
        <v>1</v>
      </c>
      <c r="B64" s="147" t="str">
        <f>"All other JLCPCB lines: exact 5-board quantity plus attrition (+"&amp;TEXT(Cost!B7,"0%")&amp;", min +"&amp;TEXT(Cost!B8,"0")&amp;" for passives; +"&amp;TEXT(Cost!B9,"0")&amp;" for other lines; assumption — JLCPCB sets the real attrition in the quote), placed per piece from JLCPCB stock: "&amp;TEXT(COUNTIF('Purchasing list'!$T$4:$T$114,"&lt;&gt;Yes")-COUNTIF('Purchasing list'!$T$4:$T$114,"Pre-order"),"0")&amp;" part numbers."</f>
        <v>All other JLCPCB lines: exact 5-board quantity plus attrition (+5%, min +2 for passives; +1 for other lines; assumption — JLCPCB sets the real attrition in the quote), placed per piece from JLCPCB stock: 85 part numbers.</v>
      </c>
      <c r="C64" s="147"/>
      <c r="D64" s="147"/>
      <c r="E64" s="147"/>
      <c r="F64" s="147"/>
      <c r="G64" s="147"/>
      <c r="H64" s="147"/>
    </row>
    <row r="65" spans="1:8" ht="27.75" customHeight="1" x14ac:dyDescent="0.2">
      <c r="A65" s="90">
        <v>2</v>
      </c>
      <c r="B65" s="147" t="s">
        <v>2040</v>
      </c>
      <c r="C65" s="147"/>
      <c r="D65" s="147"/>
      <c r="E65" s="147"/>
      <c r="F65" s="147"/>
      <c r="G65" s="147"/>
      <c r="H65" s="147"/>
    </row>
    <row r="66" spans="1:8" ht="27.75" customHeight="1" x14ac:dyDescent="0.2">
      <c r="A66" s="90">
        <v>3</v>
      </c>
      <c r="B66" s="147" t="s">
        <v>2041</v>
      </c>
      <c r="C66" s="147"/>
      <c r="D66" s="147"/>
      <c r="E66" s="147"/>
      <c r="F66" s="147"/>
      <c r="G66" s="147"/>
      <c r="H66" s="147"/>
    </row>
    <row r="67" spans="1:8" ht="18" customHeight="1" x14ac:dyDescent="0.2">
      <c r="A67" s="90"/>
      <c r="B67" s="90"/>
      <c r="C67" s="90"/>
      <c r="D67" s="90"/>
      <c r="E67" s="90"/>
      <c r="F67" s="90"/>
      <c r="G67" s="90"/>
      <c r="H67" s="90"/>
    </row>
    <row r="68" spans="1:8" ht="18" customHeight="1" x14ac:dyDescent="0.2">
      <c r="A68" s="149" t="s">
        <v>2042</v>
      </c>
      <c r="B68" s="149"/>
      <c r="C68" s="149"/>
      <c r="D68" s="149"/>
      <c r="E68" s="149"/>
      <c r="F68" s="149"/>
      <c r="G68" s="149"/>
      <c r="H68" s="149"/>
    </row>
    <row r="69" spans="1:8" ht="27.75" customHeight="1" x14ac:dyDescent="0.2">
      <c r="A69" s="90">
        <v>1</v>
      </c>
      <c r="B69" s="147" t="s">
        <v>2043</v>
      </c>
      <c r="C69" s="147"/>
      <c r="D69" s="147"/>
      <c r="E69" s="147"/>
      <c r="F69" s="147"/>
      <c r="G69" s="147"/>
      <c r="H69" s="147"/>
    </row>
    <row r="70" spans="1:8" ht="40.5" customHeight="1" x14ac:dyDescent="0.2">
      <c r="A70" s="90">
        <v>2</v>
      </c>
      <c r="B70" s="147" t="s">
        <v>2044</v>
      </c>
      <c r="C70" s="147"/>
      <c r="D70" s="147"/>
      <c r="E70" s="147"/>
      <c r="F70" s="147"/>
      <c r="G70" s="147"/>
      <c r="H70" s="147"/>
    </row>
    <row r="71" spans="1:8" ht="40.5" customHeight="1" x14ac:dyDescent="0.2">
      <c r="A71" s="90">
        <v>3</v>
      </c>
      <c r="B71" s="147" t="s">
        <v>2045</v>
      </c>
      <c r="C71" s="147"/>
      <c r="D71" s="147"/>
      <c r="E71" s="147"/>
      <c r="F71" s="147"/>
      <c r="G71" s="147"/>
      <c r="H71" s="147"/>
    </row>
    <row r="72" spans="1:8" ht="27.75" customHeight="1" x14ac:dyDescent="0.2">
      <c r="A72" s="90">
        <v>4</v>
      </c>
      <c r="B72" s="147" t="s">
        <v>2046</v>
      </c>
      <c r="C72" s="147"/>
      <c r="D72" s="147"/>
      <c r="E72" s="147"/>
      <c r="F72" s="147"/>
      <c r="G72" s="147"/>
      <c r="H72" s="147"/>
    </row>
    <row r="73" spans="1:8" ht="40.5" customHeight="1" x14ac:dyDescent="0.2">
      <c r="A73" s="90">
        <v>5</v>
      </c>
      <c r="B73" s="147" t="s">
        <v>2047</v>
      </c>
      <c r="C73" s="147"/>
      <c r="D73" s="147"/>
      <c r="E73" s="147"/>
      <c r="F73" s="147"/>
      <c r="G73" s="147"/>
      <c r="H73" s="147"/>
    </row>
    <row r="74" spans="1:8" ht="53.25" customHeight="1" x14ac:dyDescent="0.2">
      <c r="A74" s="90">
        <v>6</v>
      </c>
      <c r="B74" s="147" t="s">
        <v>2048</v>
      </c>
      <c r="C74" s="147"/>
      <c r="D74" s="147"/>
      <c r="E74" s="147"/>
      <c r="F74" s="147"/>
      <c r="G74" s="147"/>
      <c r="H74" s="147"/>
    </row>
    <row r="75" spans="1:8" ht="40.5" customHeight="1" x14ac:dyDescent="0.2">
      <c r="A75" s="90">
        <v>7</v>
      </c>
      <c r="B75" s="147" t="s">
        <v>2049</v>
      </c>
      <c r="C75" s="147"/>
      <c r="D75" s="147"/>
      <c r="E75" s="147"/>
      <c r="F75" s="147"/>
      <c r="G75" s="147"/>
      <c r="H75" s="147"/>
    </row>
    <row r="76" spans="1:8" ht="40.5" customHeight="1" x14ac:dyDescent="0.2">
      <c r="A76" s="90">
        <v>8</v>
      </c>
      <c r="B76" s="147" t="s">
        <v>2050</v>
      </c>
      <c r="C76" s="147"/>
      <c r="D76" s="147"/>
      <c r="E76" s="147"/>
      <c r="F76" s="147"/>
      <c r="G76" s="147"/>
      <c r="H76" s="147"/>
    </row>
    <row r="77" spans="1:8" ht="15" customHeight="1" x14ac:dyDescent="0.2">
      <c r="A77" s="90">
        <v>9</v>
      </c>
      <c r="B77" s="147" t="s">
        <v>2051</v>
      </c>
      <c r="C77" s="147"/>
      <c r="D77" s="147"/>
      <c r="E77" s="147"/>
      <c r="F77" s="147"/>
      <c r="G77" s="147"/>
      <c r="H77" s="147"/>
    </row>
    <row r="78" spans="1:8" ht="15" customHeight="1" x14ac:dyDescent="0.2">
      <c r="A78" s="90">
        <v>10</v>
      </c>
      <c r="B78" s="147" t="s">
        <v>2052</v>
      </c>
      <c r="C78" s="147"/>
      <c r="D78" s="147"/>
      <c r="E78" s="147"/>
      <c r="F78" s="147"/>
      <c r="G78" s="147"/>
      <c r="H78" s="147"/>
    </row>
    <row r="79" spans="1:8" ht="40.5" customHeight="1" x14ac:dyDescent="0.2">
      <c r="A79" s="90">
        <v>11</v>
      </c>
      <c r="B79" s="147" t="s">
        <v>2053</v>
      </c>
      <c r="C79" s="147"/>
      <c r="D79" s="147"/>
      <c r="E79" s="147"/>
      <c r="F79" s="147"/>
      <c r="G79" s="147"/>
      <c r="H79" s="147"/>
    </row>
    <row r="80" spans="1:8" ht="15" customHeight="1" x14ac:dyDescent="0.2">
      <c r="A80" s="90">
        <v>12</v>
      </c>
      <c r="B80" s="147" t="s">
        <v>2054</v>
      </c>
      <c r="C80" s="147"/>
      <c r="D80" s="147"/>
      <c r="E80" s="147"/>
      <c r="F80" s="147"/>
      <c r="G80" s="147"/>
      <c r="H80" s="147"/>
    </row>
    <row r="81" spans="1:8" ht="27.75" customHeight="1" x14ac:dyDescent="0.2">
      <c r="A81" s="90">
        <v>13</v>
      </c>
      <c r="B81" s="147" t="s">
        <v>2055</v>
      </c>
      <c r="C81" s="147"/>
      <c r="D81" s="147"/>
      <c r="E81" s="147"/>
      <c r="F81" s="147"/>
      <c r="G81" s="147"/>
      <c r="H81" s="147"/>
    </row>
    <row r="82" spans="1:8" ht="27.75" customHeight="1" x14ac:dyDescent="0.2">
      <c r="A82" s="90">
        <v>14</v>
      </c>
      <c r="B82" s="147" t="s">
        <v>2056</v>
      </c>
      <c r="C82" s="147"/>
      <c r="D82" s="147"/>
      <c r="E82" s="147"/>
      <c r="F82" s="147"/>
      <c r="G82" s="147"/>
      <c r="H82" s="147"/>
    </row>
    <row r="83" spans="1:8" ht="27.75" customHeight="1" x14ac:dyDescent="0.2">
      <c r="A83" s="90">
        <v>15</v>
      </c>
      <c r="B83" s="147" t="s">
        <v>2057</v>
      </c>
      <c r="C83" s="147"/>
      <c r="D83" s="147"/>
      <c r="E83" s="147"/>
      <c r="F83" s="147"/>
      <c r="G83" s="147"/>
      <c r="H83" s="147"/>
    </row>
    <row r="84" spans="1:8" ht="27.75" customHeight="1" x14ac:dyDescent="0.2">
      <c r="A84" s="90"/>
      <c r="B84" s="90"/>
      <c r="C84" s="90"/>
      <c r="D84" s="90"/>
      <c r="E84" s="90"/>
      <c r="F84" s="90"/>
      <c r="G84" s="90"/>
      <c r="H84" s="90"/>
    </row>
    <row r="85" spans="1:8" ht="18" customHeight="1" x14ac:dyDescent="0.2">
      <c r="A85" s="149" t="s">
        <v>2058</v>
      </c>
      <c r="B85" s="149"/>
      <c r="C85" s="149"/>
      <c r="D85" s="149"/>
      <c r="E85" s="149"/>
      <c r="F85" s="149"/>
      <c r="G85" s="149"/>
      <c r="H85" s="149"/>
    </row>
    <row r="86" spans="1:8" ht="60" customHeight="1" x14ac:dyDescent="0.2">
      <c r="A86" s="115" t="s">
        <v>2059</v>
      </c>
      <c r="B86" s="115" t="s">
        <v>2060</v>
      </c>
      <c r="C86" s="159" t="s">
        <v>2061</v>
      </c>
      <c r="D86" s="159"/>
      <c r="E86" s="159"/>
      <c r="F86" s="159"/>
      <c r="G86" s="115" t="s">
        <v>2062</v>
      </c>
      <c r="H86" s="115" t="s">
        <v>2063</v>
      </c>
    </row>
    <row r="87" spans="1:8" ht="60" customHeight="1" x14ac:dyDescent="0.2">
      <c r="A87" s="114" t="s">
        <v>2064</v>
      </c>
      <c r="B87" s="90" t="s">
        <v>2065</v>
      </c>
      <c r="C87" s="147" t="s">
        <v>2066</v>
      </c>
      <c r="D87" s="147"/>
      <c r="E87" s="147"/>
      <c r="F87" s="147"/>
      <c r="G87" s="90" t="s">
        <v>2067</v>
      </c>
      <c r="H87" s="122" t="s">
        <v>2068</v>
      </c>
    </row>
    <row r="88" spans="1:8" ht="60" customHeight="1" x14ac:dyDescent="0.2">
      <c r="A88" s="114" t="s">
        <v>2069</v>
      </c>
      <c r="B88" s="90" t="s">
        <v>2070</v>
      </c>
      <c r="C88" s="147" t="s">
        <v>2071</v>
      </c>
      <c r="D88" s="147"/>
      <c r="E88" s="147"/>
      <c r="F88" s="147"/>
      <c r="G88" s="90" t="s">
        <v>2067</v>
      </c>
      <c r="H88" s="122" t="s">
        <v>2068</v>
      </c>
    </row>
    <row r="89" spans="1:8" ht="60" customHeight="1" x14ac:dyDescent="0.2">
      <c r="A89" s="114" t="s">
        <v>1653</v>
      </c>
      <c r="B89" s="90" t="s">
        <v>2072</v>
      </c>
      <c r="C89" s="147" t="s">
        <v>2073</v>
      </c>
      <c r="D89" s="147"/>
      <c r="E89" s="147"/>
      <c r="F89" s="147"/>
      <c r="G89" s="90" t="s">
        <v>2067</v>
      </c>
      <c r="H89" s="138" t="s">
        <v>2074</v>
      </c>
    </row>
    <row r="90" spans="1:8" ht="60" customHeight="1" x14ac:dyDescent="0.2">
      <c r="A90" s="114" t="s">
        <v>1656</v>
      </c>
      <c r="B90" s="90" t="s">
        <v>2075</v>
      </c>
      <c r="C90" s="147" t="s">
        <v>2076</v>
      </c>
      <c r="D90" s="147"/>
      <c r="E90" s="147"/>
      <c r="F90" s="147"/>
      <c r="G90" s="90" t="s">
        <v>2067</v>
      </c>
      <c r="H90" s="122" t="s">
        <v>2068</v>
      </c>
    </row>
    <row r="91" spans="1:8" ht="40.5" customHeight="1" x14ac:dyDescent="0.2">
      <c r="A91" s="114" t="s">
        <v>2077</v>
      </c>
      <c r="B91" s="90" t="s">
        <v>2078</v>
      </c>
      <c r="C91" s="147" t="s">
        <v>2079</v>
      </c>
      <c r="D91" s="147"/>
      <c r="E91" s="147"/>
      <c r="F91" s="147"/>
      <c r="G91" s="90" t="s">
        <v>2080</v>
      </c>
      <c r="H91" s="122" t="s">
        <v>2068</v>
      </c>
    </row>
    <row r="92" spans="1:8" ht="60" customHeight="1" x14ac:dyDescent="0.2">
      <c r="A92" s="114" t="s">
        <v>2081</v>
      </c>
      <c r="B92" s="90" t="s">
        <v>2082</v>
      </c>
      <c r="C92" s="147" t="s">
        <v>2083</v>
      </c>
      <c r="D92" s="147"/>
      <c r="E92" s="147"/>
      <c r="F92" s="147"/>
      <c r="G92" s="90" t="s">
        <v>2080</v>
      </c>
      <c r="H92" s="122" t="s">
        <v>2068</v>
      </c>
    </row>
  </sheetData>
  <mergeCells count="60">
    <mergeCell ref="B44:C44"/>
    <mergeCell ref="D44:H44"/>
    <mergeCell ref="A1:H1"/>
    <mergeCell ref="A2:H2"/>
    <mergeCell ref="A4:H4"/>
    <mergeCell ref="A34:H34"/>
    <mergeCell ref="B36:C36"/>
    <mergeCell ref="B37:C37"/>
    <mergeCell ref="B38:C38"/>
    <mergeCell ref="B39:C39"/>
    <mergeCell ref="A41:H41"/>
    <mergeCell ref="B43:C43"/>
    <mergeCell ref="D43:H43"/>
    <mergeCell ref="C55:E55"/>
    <mergeCell ref="B45:C45"/>
    <mergeCell ref="D45:H45"/>
    <mergeCell ref="B46:C46"/>
    <mergeCell ref="D46:H46"/>
    <mergeCell ref="C50:E50"/>
    <mergeCell ref="C51:E51"/>
    <mergeCell ref="C52:E52"/>
    <mergeCell ref="C53:E53"/>
    <mergeCell ref="C54:E54"/>
    <mergeCell ref="B47:C47"/>
    <mergeCell ref="D47:H47"/>
    <mergeCell ref="A49:H49"/>
    <mergeCell ref="B69:H69"/>
    <mergeCell ref="C56:E56"/>
    <mergeCell ref="C57:E57"/>
    <mergeCell ref="C58:E58"/>
    <mergeCell ref="C59:E59"/>
    <mergeCell ref="C60:E60"/>
    <mergeCell ref="B64:H64"/>
    <mergeCell ref="B65:H65"/>
    <mergeCell ref="C61:E61"/>
    <mergeCell ref="A63:H63"/>
    <mergeCell ref="B66:H66"/>
    <mergeCell ref="A68:H68"/>
    <mergeCell ref="B83:H83"/>
    <mergeCell ref="A85:H85"/>
    <mergeCell ref="B70:H70"/>
    <mergeCell ref="B71:H71"/>
    <mergeCell ref="B72:H72"/>
    <mergeCell ref="B73:H73"/>
    <mergeCell ref="B74:H74"/>
    <mergeCell ref="B75:H75"/>
    <mergeCell ref="B76:H76"/>
    <mergeCell ref="B77:H77"/>
    <mergeCell ref="B78:H78"/>
    <mergeCell ref="B79:H79"/>
    <mergeCell ref="B80:H80"/>
    <mergeCell ref="B81:H81"/>
    <mergeCell ref="B82:H82"/>
    <mergeCell ref="C90:F90"/>
    <mergeCell ref="C91:F91"/>
    <mergeCell ref="C92:F92"/>
    <mergeCell ref="C89:F89"/>
    <mergeCell ref="C86:F86"/>
    <mergeCell ref="C87:F87"/>
    <mergeCell ref="C88:F8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4101-B9CF-4ECC-B6EC-1E3902D107A5}">
  <dimension ref="A1:G34"/>
  <sheetViews>
    <sheetView workbookViewId="0">
      <pane xSplit="2" ySplit="3" topLeftCell="C4" activePane="bottomRight" state="frozen"/>
      <selection pane="topRight"/>
      <selection pane="bottomLeft"/>
      <selection pane="bottomRight" sqref="A1:G1"/>
    </sheetView>
  </sheetViews>
  <sheetFormatPr baseColWidth="10" defaultColWidth="8.83203125" defaultRowHeight="15" x14ac:dyDescent="0.2"/>
  <cols>
    <col min="1" max="1" width="10.6640625" customWidth="1"/>
    <col min="2" max="2" width="30.6640625" customWidth="1"/>
    <col min="3" max="3" width="8.6640625" customWidth="1"/>
    <col min="4" max="4" width="40.6640625" customWidth="1"/>
    <col min="5" max="5" width="46.6640625" customWidth="1"/>
    <col min="6" max="6" width="84.6640625" customWidth="1"/>
    <col min="7" max="7" width="11.6640625" customWidth="1"/>
  </cols>
  <sheetData>
    <row r="1" spans="1:7" ht="21.75" customHeight="1" x14ac:dyDescent="0.2">
      <c r="A1" s="156" t="s">
        <v>2084</v>
      </c>
      <c r="B1" s="157"/>
      <c r="C1" s="157"/>
      <c r="D1" s="157"/>
      <c r="E1" s="157"/>
      <c r="F1" s="157"/>
      <c r="G1" s="157"/>
    </row>
    <row r="2" spans="1:7" ht="44.25" customHeight="1" x14ac:dyDescent="0.2">
      <c r="A2" s="155" t="s">
        <v>2085</v>
      </c>
      <c r="B2" s="157"/>
      <c r="C2" s="157"/>
      <c r="D2" s="157"/>
      <c r="E2" s="157"/>
      <c r="F2" s="157"/>
      <c r="G2" s="157"/>
    </row>
    <row r="3" spans="1:7" ht="30" customHeight="1" x14ac:dyDescent="0.2">
      <c r="A3" s="3" t="s">
        <v>2086</v>
      </c>
      <c r="B3" s="3" t="s">
        <v>119</v>
      </c>
      <c r="C3" s="3" t="s">
        <v>120</v>
      </c>
      <c r="D3" s="3" t="s">
        <v>2087</v>
      </c>
      <c r="E3" s="3" t="s">
        <v>2088</v>
      </c>
      <c r="F3" s="3" t="s">
        <v>2089</v>
      </c>
      <c r="G3" s="3" t="s">
        <v>2090</v>
      </c>
    </row>
    <row r="4" spans="1:7" ht="15" customHeight="1" x14ac:dyDescent="0.2">
      <c r="A4" s="4" t="s">
        <v>2091</v>
      </c>
      <c r="B4" s="4" t="s">
        <v>2092</v>
      </c>
      <c r="C4" s="8">
        <v>4</v>
      </c>
      <c r="D4" s="4" t="s">
        <v>162</v>
      </c>
      <c r="E4" s="4" t="s">
        <v>2093</v>
      </c>
      <c r="F4" s="4" t="s">
        <v>2094</v>
      </c>
      <c r="G4" s="10" t="s">
        <v>177</v>
      </c>
    </row>
    <row r="5" spans="1:7" ht="15" customHeight="1" x14ac:dyDescent="0.2">
      <c r="A5" s="4" t="s">
        <v>2091</v>
      </c>
      <c r="B5" s="4" t="s">
        <v>2095</v>
      </c>
      <c r="C5" s="8">
        <v>4</v>
      </c>
      <c r="D5" s="4" t="s">
        <v>162</v>
      </c>
      <c r="E5" s="4" t="s">
        <v>2096</v>
      </c>
      <c r="F5" s="4" t="s">
        <v>2097</v>
      </c>
      <c r="G5" s="10" t="s">
        <v>177</v>
      </c>
    </row>
    <row r="6" spans="1:7" ht="15" customHeight="1" x14ac:dyDescent="0.2">
      <c r="A6" s="4" t="s">
        <v>2091</v>
      </c>
      <c r="B6" s="4" t="s">
        <v>2098</v>
      </c>
      <c r="C6" s="8">
        <v>8</v>
      </c>
      <c r="D6" s="4" t="s">
        <v>162</v>
      </c>
      <c r="E6" s="4" t="s">
        <v>2099</v>
      </c>
      <c r="F6" s="4" t="s">
        <v>2100</v>
      </c>
      <c r="G6" s="10" t="s">
        <v>177</v>
      </c>
    </row>
    <row r="7" spans="1:7" ht="15" customHeight="1" x14ac:dyDescent="0.2">
      <c r="A7" s="4" t="s">
        <v>2091</v>
      </c>
      <c r="B7" s="4" t="s">
        <v>2101</v>
      </c>
      <c r="C7" s="8">
        <v>12</v>
      </c>
      <c r="D7" s="4" t="s">
        <v>162</v>
      </c>
      <c r="E7" s="4" t="s">
        <v>2102</v>
      </c>
      <c r="F7" s="4" t="s">
        <v>2103</v>
      </c>
      <c r="G7" s="10" t="s">
        <v>177</v>
      </c>
    </row>
    <row r="8" spans="1:7" ht="15" customHeight="1" x14ac:dyDescent="0.2">
      <c r="A8" s="4" t="s">
        <v>2091</v>
      </c>
      <c r="B8" s="4" t="s">
        <v>2104</v>
      </c>
      <c r="C8" s="8">
        <v>1</v>
      </c>
      <c r="D8" s="4" t="s">
        <v>162</v>
      </c>
      <c r="E8" s="4" t="s">
        <v>2105</v>
      </c>
      <c r="F8" s="4" t="s">
        <v>2106</v>
      </c>
      <c r="G8" s="10" t="s">
        <v>177</v>
      </c>
    </row>
    <row r="9" spans="1:7" ht="15" customHeight="1" x14ac:dyDescent="0.2">
      <c r="A9" s="4" t="s">
        <v>2091</v>
      </c>
      <c r="B9" s="4" t="s">
        <v>2107</v>
      </c>
      <c r="C9" s="8">
        <v>4</v>
      </c>
      <c r="D9" s="4" t="s">
        <v>162</v>
      </c>
      <c r="E9" s="4" t="s">
        <v>2108</v>
      </c>
      <c r="F9" s="4" t="s">
        <v>2094</v>
      </c>
      <c r="G9" s="10" t="s">
        <v>177</v>
      </c>
    </row>
    <row r="10" spans="1:7" ht="15" customHeight="1" x14ac:dyDescent="0.2">
      <c r="A10" s="4" t="s">
        <v>2091</v>
      </c>
      <c r="B10" s="4" t="s">
        <v>2109</v>
      </c>
      <c r="C10" s="8">
        <v>6</v>
      </c>
      <c r="D10" s="4" t="s">
        <v>162</v>
      </c>
      <c r="E10" s="4" t="s">
        <v>2110</v>
      </c>
      <c r="F10" s="4" t="s">
        <v>2111</v>
      </c>
      <c r="G10" s="10" t="s">
        <v>177</v>
      </c>
    </row>
    <row r="11" spans="1:7" ht="15" customHeight="1" x14ac:dyDescent="0.2">
      <c r="A11" s="4" t="s">
        <v>2091</v>
      </c>
      <c r="B11" s="4" t="s">
        <v>1356</v>
      </c>
      <c r="C11" s="8">
        <v>1</v>
      </c>
      <c r="D11" s="4" t="s">
        <v>162</v>
      </c>
      <c r="E11" s="4" t="s">
        <v>2112</v>
      </c>
      <c r="F11" s="4" t="s">
        <v>2113</v>
      </c>
      <c r="G11" s="10" t="s">
        <v>177</v>
      </c>
    </row>
    <row r="12" spans="1:7" ht="15" customHeight="1" x14ac:dyDescent="0.2">
      <c r="A12" s="4" t="s">
        <v>2091</v>
      </c>
      <c r="B12" s="4" t="s">
        <v>2114</v>
      </c>
      <c r="C12" s="8">
        <v>3</v>
      </c>
      <c r="D12" s="4" t="s">
        <v>162</v>
      </c>
      <c r="E12" s="4" t="s">
        <v>2115</v>
      </c>
      <c r="F12" s="4" t="s">
        <v>2113</v>
      </c>
      <c r="G12" s="10" t="s">
        <v>177</v>
      </c>
    </row>
    <row r="13" spans="1:7" ht="27.75" customHeight="1" x14ac:dyDescent="0.2">
      <c r="A13" s="4" t="s">
        <v>2091</v>
      </c>
      <c r="B13" s="4" t="s">
        <v>2116</v>
      </c>
      <c r="C13" s="8">
        <v>2</v>
      </c>
      <c r="D13" s="4" t="s">
        <v>162</v>
      </c>
      <c r="E13" s="4" t="s">
        <v>2117</v>
      </c>
      <c r="F13" s="4" t="s">
        <v>2118</v>
      </c>
      <c r="G13" s="10" t="s">
        <v>177</v>
      </c>
    </row>
    <row r="14" spans="1:7" ht="15" customHeight="1" x14ac:dyDescent="0.2">
      <c r="A14" s="4" t="s">
        <v>2091</v>
      </c>
      <c r="B14" s="4" t="s">
        <v>1365</v>
      </c>
      <c r="C14" s="8">
        <v>1</v>
      </c>
      <c r="D14" s="4" t="s">
        <v>162</v>
      </c>
      <c r="E14" s="4" t="s">
        <v>2119</v>
      </c>
      <c r="F14" s="4" t="s">
        <v>2120</v>
      </c>
      <c r="G14" s="10" t="s">
        <v>177</v>
      </c>
    </row>
    <row r="15" spans="1:7" ht="15" customHeight="1" x14ac:dyDescent="0.2">
      <c r="A15" s="4" t="s">
        <v>2091</v>
      </c>
      <c r="B15" s="4" t="s">
        <v>2121</v>
      </c>
      <c r="C15" s="8">
        <v>8</v>
      </c>
      <c r="D15" s="4" t="s">
        <v>162</v>
      </c>
      <c r="E15" s="4" t="s">
        <v>2122</v>
      </c>
      <c r="F15" s="4" t="s">
        <v>2100</v>
      </c>
      <c r="G15" s="10" t="s">
        <v>177</v>
      </c>
    </row>
    <row r="16" spans="1:7" ht="15" customHeight="1" x14ac:dyDescent="0.2">
      <c r="A16" s="4" t="s">
        <v>2091</v>
      </c>
      <c r="B16" s="4" t="s">
        <v>1381</v>
      </c>
      <c r="C16" s="8">
        <v>1</v>
      </c>
      <c r="D16" s="4" t="s">
        <v>162</v>
      </c>
      <c r="E16" s="4" t="s">
        <v>2123</v>
      </c>
      <c r="F16" s="4" t="s">
        <v>2106</v>
      </c>
      <c r="G16" s="10" t="s">
        <v>177</v>
      </c>
    </row>
    <row r="17" spans="1:7" ht="27.75" customHeight="1" x14ac:dyDescent="0.2">
      <c r="A17" s="4" t="s">
        <v>2091</v>
      </c>
      <c r="B17" s="4" t="s">
        <v>2124</v>
      </c>
      <c r="C17" s="8">
        <v>2</v>
      </c>
      <c r="D17" s="4" t="s">
        <v>162</v>
      </c>
      <c r="E17" s="4" t="s">
        <v>2125</v>
      </c>
      <c r="F17" s="4" t="s">
        <v>2126</v>
      </c>
      <c r="G17" s="10" t="s">
        <v>177</v>
      </c>
    </row>
    <row r="18" spans="1:7" ht="27.75" customHeight="1" x14ac:dyDescent="0.2">
      <c r="A18" s="4" t="s">
        <v>2091</v>
      </c>
      <c r="B18" s="4" t="s">
        <v>2127</v>
      </c>
      <c r="C18" s="8">
        <v>8</v>
      </c>
      <c r="D18" s="4" t="s">
        <v>162</v>
      </c>
      <c r="E18" s="4" t="s">
        <v>2128</v>
      </c>
      <c r="F18" s="4" t="s">
        <v>2129</v>
      </c>
      <c r="G18" s="10" t="s">
        <v>177</v>
      </c>
    </row>
    <row r="19" spans="1:7" ht="27.75" customHeight="1" x14ac:dyDescent="0.2">
      <c r="A19" s="4" t="s">
        <v>2130</v>
      </c>
      <c r="B19" s="4" t="s">
        <v>2131</v>
      </c>
      <c r="C19" s="8">
        <v>4</v>
      </c>
      <c r="D19" s="4" t="s">
        <v>2132</v>
      </c>
      <c r="E19" s="4" t="s">
        <v>2105</v>
      </c>
      <c r="F19" s="4" t="s">
        <v>2133</v>
      </c>
      <c r="G19" s="10" t="s">
        <v>177</v>
      </c>
    </row>
    <row r="20" spans="1:7" ht="15" customHeight="1" x14ac:dyDescent="0.2">
      <c r="A20" s="4" t="s">
        <v>2134</v>
      </c>
      <c r="B20" s="4" t="s">
        <v>2135</v>
      </c>
      <c r="C20" s="8">
        <v>4</v>
      </c>
      <c r="D20" s="4" t="s">
        <v>2136</v>
      </c>
      <c r="E20" s="4" t="s">
        <v>162</v>
      </c>
      <c r="F20" s="4" t="s">
        <v>2137</v>
      </c>
      <c r="G20" s="10" t="s">
        <v>177</v>
      </c>
    </row>
    <row r="21" spans="1:7" ht="15" customHeight="1" x14ac:dyDescent="0.2">
      <c r="A21" s="4" t="s">
        <v>2134</v>
      </c>
      <c r="B21" s="4" t="s">
        <v>2138</v>
      </c>
      <c r="C21" s="8">
        <v>4</v>
      </c>
      <c r="D21" s="4" t="s">
        <v>2102</v>
      </c>
      <c r="E21" s="4" t="s">
        <v>162</v>
      </c>
      <c r="F21" s="4" t="s">
        <v>2139</v>
      </c>
      <c r="G21" s="10" t="s">
        <v>177</v>
      </c>
    </row>
    <row r="22" spans="1:7" ht="15" customHeight="1" x14ac:dyDescent="0.2">
      <c r="A22" s="4" t="s">
        <v>2134</v>
      </c>
      <c r="B22" s="4" t="s">
        <v>2140</v>
      </c>
      <c r="C22" s="8">
        <v>4</v>
      </c>
      <c r="D22" s="4" t="s">
        <v>2141</v>
      </c>
      <c r="E22" s="4" t="s">
        <v>162</v>
      </c>
      <c r="F22" s="4" t="s">
        <v>2137</v>
      </c>
      <c r="G22" s="10" t="s">
        <v>177</v>
      </c>
    </row>
    <row r="23" spans="1:7" ht="15" customHeight="1" x14ac:dyDescent="0.2">
      <c r="A23" s="4" t="s">
        <v>2134</v>
      </c>
      <c r="B23" s="4" t="s">
        <v>2142</v>
      </c>
      <c r="C23" s="8">
        <v>1</v>
      </c>
      <c r="D23" s="4" t="s">
        <v>2143</v>
      </c>
      <c r="E23" s="4" t="s">
        <v>162</v>
      </c>
      <c r="F23" s="4" t="s">
        <v>2144</v>
      </c>
      <c r="G23" s="10" t="s">
        <v>177</v>
      </c>
    </row>
    <row r="24" spans="1:7" ht="15" customHeight="1" x14ac:dyDescent="0.2">
      <c r="A24" s="4" t="s">
        <v>2134</v>
      </c>
      <c r="B24" s="4" t="s">
        <v>2145</v>
      </c>
      <c r="C24" s="8">
        <v>1</v>
      </c>
      <c r="D24" s="4" t="s">
        <v>2146</v>
      </c>
      <c r="E24" s="4" t="s">
        <v>162</v>
      </c>
      <c r="F24" s="4" t="s">
        <v>2144</v>
      </c>
      <c r="G24" s="10" t="s">
        <v>177</v>
      </c>
    </row>
    <row r="25" spans="1:7" ht="15" customHeight="1" x14ac:dyDescent="0.2">
      <c r="A25" s="4" t="s">
        <v>2134</v>
      </c>
      <c r="B25" s="4" t="s">
        <v>2147</v>
      </c>
      <c r="C25" s="8">
        <v>2</v>
      </c>
      <c r="D25" s="4" t="s">
        <v>2148</v>
      </c>
      <c r="E25" s="4" t="s">
        <v>162</v>
      </c>
      <c r="F25" s="4" t="s">
        <v>2144</v>
      </c>
      <c r="G25" s="10" t="s">
        <v>177</v>
      </c>
    </row>
    <row r="26" spans="1:7" ht="15" customHeight="1" x14ac:dyDescent="0.2">
      <c r="A26" s="4" t="s">
        <v>2134</v>
      </c>
      <c r="B26" s="4" t="s">
        <v>2149</v>
      </c>
      <c r="C26" s="8">
        <v>4</v>
      </c>
      <c r="D26" s="4" t="s">
        <v>2117</v>
      </c>
      <c r="E26" s="4" t="s">
        <v>162</v>
      </c>
      <c r="F26" s="4" t="s">
        <v>2139</v>
      </c>
      <c r="G26" s="10" t="s">
        <v>177</v>
      </c>
    </row>
    <row r="27" spans="1:7" ht="27.75" customHeight="1" x14ac:dyDescent="0.2">
      <c r="A27" s="4" t="s">
        <v>2134</v>
      </c>
      <c r="B27" s="4" t="s">
        <v>2150</v>
      </c>
      <c r="C27" s="8">
        <v>2</v>
      </c>
      <c r="D27" s="4" t="s">
        <v>2125</v>
      </c>
      <c r="E27" s="4" t="s">
        <v>162</v>
      </c>
      <c r="F27" s="4" t="s">
        <v>2151</v>
      </c>
      <c r="G27" s="10" t="s">
        <v>177</v>
      </c>
    </row>
    <row r="28" spans="1:7" x14ac:dyDescent="0.2">
      <c r="A28" s="1"/>
      <c r="B28" s="1"/>
      <c r="C28" s="9"/>
      <c r="D28" s="1"/>
      <c r="E28" s="1"/>
      <c r="F28" s="1"/>
      <c r="G28" s="1"/>
    </row>
    <row r="29" spans="1:7" x14ac:dyDescent="0.2">
      <c r="A29" s="2" t="s">
        <v>2152</v>
      </c>
      <c r="B29" s="2"/>
      <c r="C29" s="37" t="s">
        <v>2153</v>
      </c>
      <c r="D29" s="2" t="s">
        <v>2154</v>
      </c>
      <c r="E29" s="2" t="s">
        <v>2155</v>
      </c>
      <c r="F29" s="2"/>
      <c r="G29" s="2"/>
    </row>
    <row r="30" spans="1:7" x14ac:dyDescent="0.2">
      <c r="A30" s="38" t="s">
        <v>2091</v>
      </c>
      <c r="B30" s="38"/>
      <c r="C30" s="39">
        <f>SUMIFS($C$4:$C$27,$A$4:$A$27,"Added",$G$4:$G$27,"Yes")</f>
        <v>65</v>
      </c>
      <c r="D30" s="40">
        <v>65</v>
      </c>
      <c r="E30" s="42" t="str">
        <f>IF(C30=D30,"OK","CHECK")</f>
        <v>OK</v>
      </c>
      <c r="F30" s="38"/>
      <c r="G30" s="38"/>
    </row>
    <row r="31" spans="1:7" x14ac:dyDescent="0.2">
      <c r="A31" s="38" t="s">
        <v>2134</v>
      </c>
      <c r="B31" s="38"/>
      <c r="C31" s="39">
        <f>SUMIFS($C$4:$C$27,$A$4:$A$27,"Removed",$G$4:$G$27,"Yes")</f>
        <v>22</v>
      </c>
      <c r="D31" s="40">
        <v>22</v>
      </c>
      <c r="E31" s="42" t="str">
        <f>IF(C31=D31,"OK","CHECK")</f>
        <v>OK</v>
      </c>
      <c r="F31" s="38"/>
      <c r="G31" s="38"/>
    </row>
    <row r="32" spans="1:7" x14ac:dyDescent="0.2">
      <c r="A32" s="38" t="s">
        <v>2130</v>
      </c>
      <c r="B32" s="38"/>
      <c r="C32" s="39">
        <f>SUMIFS($C$4:$C$27,$A$4:$A$27,"Changed",$G$4:$G$27,"Yes")</f>
        <v>4</v>
      </c>
      <c r="D32" s="40">
        <v>4</v>
      </c>
      <c r="E32" s="42" t="str">
        <f>IF(C32=D32,"OK","CHECK")</f>
        <v>OK</v>
      </c>
      <c r="F32" s="38"/>
      <c r="G32" s="38"/>
    </row>
    <row r="33" spans="1:7" x14ac:dyDescent="0.2">
      <c r="A33" s="38" t="s">
        <v>2156</v>
      </c>
      <c r="B33" s="41">
        <v>419</v>
      </c>
      <c r="C33" s="39">
        <f>B33+C30-C31</f>
        <v>462</v>
      </c>
      <c r="D33" s="39">
        <f>'Parts list'!C187</f>
        <v>462</v>
      </c>
      <c r="E33" s="42" t="str">
        <f>IF(C33=D33,"OK","CHECK")</f>
        <v>OK</v>
      </c>
      <c r="F33" s="43" t="s">
        <v>2157</v>
      </c>
      <c r="G33" s="38"/>
    </row>
    <row r="34" spans="1:7" x14ac:dyDescent="0.2">
      <c r="A34" s="1" t="s">
        <v>2158</v>
      </c>
      <c r="B34" s="9"/>
      <c r="C34" s="9">
        <f>COUNTA($A$4:$A$27)</f>
        <v>24</v>
      </c>
      <c r="D34" s="9"/>
      <c r="E34" s="1"/>
      <c r="F34" s="35" t="str">
        <f>"added "&amp;COUNTIF($A$4:$A$27,"Added")&amp;", removed "&amp;COUNTIF($A$4:$A$27,"Removed")&amp;", changed "&amp;COUNTIF($A$4:$A$27,"Changed")&amp;" groups"</f>
        <v>added 15, removed 8, changed 1 groups</v>
      </c>
      <c r="G34" s="1"/>
    </row>
  </sheetData>
  <mergeCells count="2">
    <mergeCell ref="A1:G1"/>
    <mergeCell ref="A2:G2"/>
  </mergeCells>
  <conditionalFormatting sqref="A4:A27">
    <cfRule type="containsText" dxfId="11" priority="1" operator="containsText" text="Added">
      <formula>NOT(ISERROR(SEARCH("Added",A4)))</formula>
    </cfRule>
    <cfRule type="containsText" dxfId="10" priority="2" operator="containsText" text="Removed">
      <formula>NOT(ISERROR(SEARCH("Removed",A4)))</formula>
    </cfRule>
    <cfRule type="containsText" dxfId="9" priority="3" operator="containsText" text="Changed">
      <formula>NOT(ISERROR(SEARCH("Changed",A4)))</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2A23-2D2A-46DE-AA51-D6CB176E02D7}">
  <dimension ref="A1:G1448"/>
  <sheetViews>
    <sheetView workbookViewId="0">
      <pane xSplit="1" ySplit="3" topLeftCell="B320" activePane="bottomRight" state="frozen"/>
      <selection pane="topRight"/>
      <selection pane="bottomLeft"/>
      <selection pane="bottomRight" activeCell="A340" sqref="A340"/>
    </sheetView>
  </sheetViews>
  <sheetFormatPr baseColWidth="10" defaultColWidth="8.83203125" defaultRowHeight="15" x14ac:dyDescent="0.2"/>
  <cols>
    <col min="1" max="1" width="12.6640625" customWidth="1"/>
    <col min="2" max="2" width="9.6640625" customWidth="1"/>
    <col min="3" max="3" width="18.6640625" customWidth="1"/>
    <col min="4" max="4" width="20.6640625" customWidth="1"/>
    <col min="5" max="5" width="95.6640625" customWidth="1"/>
    <col min="6" max="7" width="11.6640625" customWidth="1"/>
  </cols>
  <sheetData>
    <row r="1" spans="1:7" ht="21.75" customHeight="1" x14ac:dyDescent="0.2">
      <c r="A1" s="156" t="s">
        <v>2159</v>
      </c>
      <c r="B1" s="157"/>
      <c r="C1" s="157"/>
      <c r="D1" s="157"/>
      <c r="E1" s="157"/>
      <c r="F1" s="157"/>
      <c r="G1" s="157"/>
    </row>
    <row r="2" spans="1:7" ht="30" customHeight="1" x14ac:dyDescent="0.2">
      <c r="A2" s="155" t="s">
        <v>2160</v>
      </c>
      <c r="B2" s="157"/>
      <c r="C2" s="157"/>
      <c r="D2" s="157"/>
      <c r="E2" s="157"/>
      <c r="F2" s="157"/>
      <c r="G2" s="157"/>
    </row>
    <row r="3" spans="1:7" ht="30" customHeight="1" x14ac:dyDescent="0.2">
      <c r="A3" s="3" t="s">
        <v>2161</v>
      </c>
      <c r="B3" s="3" t="s">
        <v>2162</v>
      </c>
      <c r="C3" s="3" t="s">
        <v>2163</v>
      </c>
      <c r="D3" s="3" t="s">
        <v>2164</v>
      </c>
      <c r="E3" s="3" t="s">
        <v>1973</v>
      </c>
      <c r="F3" s="3" t="s">
        <v>2165</v>
      </c>
      <c r="G3" s="3" t="s">
        <v>2166</v>
      </c>
    </row>
    <row r="4" spans="1:7" x14ac:dyDescent="0.2">
      <c r="A4" s="1" t="s">
        <v>151</v>
      </c>
      <c r="B4" s="104">
        <v>1</v>
      </c>
      <c r="C4" s="104">
        <v>1</v>
      </c>
      <c r="D4" s="1" t="s">
        <v>2167</v>
      </c>
      <c r="E4" s="4" t="s">
        <v>771</v>
      </c>
      <c r="F4" s="106">
        <f>IF(COUNTIF($A$4:$A4,$A4)=1,1,0)</f>
        <v>1</v>
      </c>
      <c r="G4" s="106" cm="1">
        <f t="array" ref="G4">IF($F4=1,IF(SUMPRODUCT(--ISNUMBER(SEARCH(","&amp;$A4&amp;",",'Parts list'!$Z$4:$Z$185)))&gt;0,1,0),0)</f>
        <v>1</v>
      </c>
    </row>
    <row r="5" spans="1:7" x14ac:dyDescent="0.2">
      <c r="A5" s="1" t="s">
        <v>151</v>
      </c>
      <c r="B5" s="104">
        <v>2</v>
      </c>
      <c r="C5" s="104">
        <v>2</v>
      </c>
      <c r="D5" s="1" t="s">
        <v>2168</v>
      </c>
      <c r="E5" s="4" t="s">
        <v>771</v>
      </c>
      <c r="F5" s="106">
        <f>IF(COUNTIF($A$4:$A5,$A5)=1,1,0)</f>
        <v>0</v>
      </c>
      <c r="G5" s="106" cm="1">
        <f t="array" ref="G5">IF($F5=1,IF(SUMPRODUCT(--ISNUMBER(SEARCH(","&amp;$A5&amp;",",'Parts list'!$Z$4:$Z$185)))&gt;0,1,0),0)</f>
        <v>0</v>
      </c>
    </row>
    <row r="6" spans="1:7" x14ac:dyDescent="0.2">
      <c r="A6" s="1" t="s">
        <v>167</v>
      </c>
      <c r="B6" s="104">
        <v>1</v>
      </c>
      <c r="C6" s="104">
        <v>1</v>
      </c>
      <c r="D6" s="1" t="s">
        <v>2169</v>
      </c>
      <c r="E6" s="4" t="s">
        <v>2170</v>
      </c>
      <c r="F6" s="106">
        <f>IF(COUNTIF($A$4:$A6,$A6)=1,1,0)</f>
        <v>1</v>
      </c>
      <c r="G6" s="106" cm="1">
        <f t="array" ref="G6">IF($F6=1,IF(SUMPRODUCT(--ISNUMBER(SEARCH(","&amp;$A6&amp;",",'Parts list'!$Z$4:$Z$185)))&gt;0,1,0),0)</f>
        <v>1</v>
      </c>
    </row>
    <row r="7" spans="1:7" x14ac:dyDescent="0.2">
      <c r="A7" s="1" t="s">
        <v>167</v>
      </c>
      <c r="B7" s="104">
        <v>2</v>
      </c>
      <c r="C7" s="104">
        <v>2</v>
      </c>
      <c r="D7" s="1" t="s">
        <v>2168</v>
      </c>
      <c r="E7" s="4" t="s">
        <v>2170</v>
      </c>
      <c r="F7" s="106">
        <f>IF(COUNTIF($A$4:$A7,$A7)=1,1,0)</f>
        <v>0</v>
      </c>
      <c r="G7" s="106" cm="1">
        <f t="array" ref="G7">IF($F7=1,IF(SUMPRODUCT(--ISNUMBER(SEARCH(","&amp;$A7&amp;",",'Parts list'!$Z$4:$Z$185)))&gt;0,1,0),0)</f>
        <v>0</v>
      </c>
    </row>
    <row r="8" spans="1:7" x14ac:dyDescent="0.2">
      <c r="A8" s="1" t="s">
        <v>182</v>
      </c>
      <c r="B8" s="104">
        <v>1</v>
      </c>
      <c r="C8" s="104">
        <v>1</v>
      </c>
      <c r="D8" s="1" t="s">
        <v>2171</v>
      </c>
      <c r="E8" s="4" t="s">
        <v>2172</v>
      </c>
      <c r="F8" s="106">
        <f>IF(COUNTIF($A$4:$A8,$A8)=1,1,0)</f>
        <v>1</v>
      </c>
      <c r="G8" s="106" cm="1">
        <f t="array" ref="G8">IF($F8=1,IF(SUMPRODUCT(--ISNUMBER(SEARCH(","&amp;$A8&amp;",",'Parts list'!$Z$4:$Z$185)))&gt;0,1,0),0)</f>
        <v>1</v>
      </c>
    </row>
    <row r="9" spans="1:7" x14ac:dyDescent="0.2">
      <c r="A9" s="1" t="s">
        <v>182</v>
      </c>
      <c r="B9" s="104">
        <v>2</v>
      </c>
      <c r="C9" s="104">
        <v>2</v>
      </c>
      <c r="D9" s="1" t="s">
        <v>2168</v>
      </c>
      <c r="E9" s="4" t="s">
        <v>2172</v>
      </c>
      <c r="F9" s="106">
        <f>IF(COUNTIF($A$4:$A9,$A9)=1,1,0)</f>
        <v>0</v>
      </c>
      <c r="G9" s="106" cm="1">
        <f t="array" ref="G9">IF($F9=1,IF(SUMPRODUCT(--ISNUMBER(SEARCH(","&amp;$A9&amp;",",'Parts list'!$Z$4:$Z$185)))&gt;0,1,0),0)</f>
        <v>0</v>
      </c>
    </row>
    <row r="10" spans="1:7" x14ac:dyDescent="0.2">
      <c r="A10" s="1" t="s">
        <v>192</v>
      </c>
      <c r="B10" s="104">
        <v>1</v>
      </c>
      <c r="C10" s="104">
        <v>1</v>
      </c>
      <c r="D10" s="1" t="s">
        <v>2173</v>
      </c>
      <c r="E10" s="4" t="s">
        <v>2174</v>
      </c>
      <c r="F10" s="106">
        <f>IF(COUNTIF($A$4:$A10,$A10)=1,1,0)</f>
        <v>1</v>
      </c>
      <c r="G10" s="106" cm="1">
        <f t="array" ref="G10">IF($F10=1,IF(SUMPRODUCT(--ISNUMBER(SEARCH(","&amp;$A10&amp;",",'Parts list'!$Z$4:$Z$185)))&gt;0,1,0),0)</f>
        <v>1</v>
      </c>
    </row>
    <row r="11" spans="1:7" x14ac:dyDescent="0.2">
      <c r="A11" s="1" t="s">
        <v>192</v>
      </c>
      <c r="B11" s="104">
        <v>2</v>
      </c>
      <c r="C11" s="104">
        <v>2</v>
      </c>
      <c r="D11" s="1" t="s">
        <v>2168</v>
      </c>
      <c r="E11" s="4" t="s">
        <v>2174</v>
      </c>
      <c r="F11" s="106">
        <f>IF(COUNTIF($A$4:$A11,$A11)=1,1,0)</f>
        <v>0</v>
      </c>
      <c r="G11" s="106" cm="1">
        <f t="array" ref="G11">IF($F11=1,IF(SUMPRODUCT(--ISNUMBER(SEARCH(","&amp;$A11&amp;",",'Parts list'!$Z$4:$Z$185)))&gt;0,1,0),0)</f>
        <v>0</v>
      </c>
    </row>
    <row r="12" spans="1:7" x14ac:dyDescent="0.2">
      <c r="A12" s="1" t="s">
        <v>2175</v>
      </c>
      <c r="B12" s="104">
        <v>1</v>
      </c>
      <c r="C12" s="104">
        <v>1</v>
      </c>
      <c r="D12" s="1" t="s">
        <v>2176</v>
      </c>
      <c r="E12" s="4" t="s">
        <v>2177</v>
      </c>
      <c r="F12" s="106">
        <f>IF(COUNTIF($A$4:$A12,$A12)=1,1,0)</f>
        <v>1</v>
      </c>
      <c r="G12" s="106" cm="1">
        <f t="array" ref="G12">IF($F12=1,IF(SUMPRODUCT(--ISNUMBER(SEARCH(","&amp;$A12&amp;",",'Parts list'!$Z$4:$Z$185)))&gt;0,1,0),0)</f>
        <v>1</v>
      </c>
    </row>
    <row r="13" spans="1:7" x14ac:dyDescent="0.2">
      <c r="A13" s="1" t="s">
        <v>2175</v>
      </c>
      <c r="B13" s="104">
        <v>2</v>
      </c>
      <c r="C13" s="104">
        <v>2</v>
      </c>
      <c r="D13" s="1" t="s">
        <v>2168</v>
      </c>
      <c r="E13" s="4" t="s">
        <v>2177</v>
      </c>
      <c r="F13" s="106">
        <f>IF(COUNTIF($A$4:$A13,$A13)=1,1,0)</f>
        <v>0</v>
      </c>
      <c r="G13" s="106" cm="1">
        <f t="array" ref="G13">IF($F13=1,IF(SUMPRODUCT(--ISNUMBER(SEARCH(","&amp;$A13&amp;",",'Parts list'!$Z$4:$Z$185)))&gt;0,1,0),0)</f>
        <v>0</v>
      </c>
    </row>
    <row r="14" spans="1:7" x14ac:dyDescent="0.2">
      <c r="A14" s="1" t="s">
        <v>2178</v>
      </c>
      <c r="B14" s="104">
        <v>1</v>
      </c>
      <c r="C14" s="104">
        <v>1</v>
      </c>
      <c r="D14" s="1" t="s">
        <v>2179</v>
      </c>
      <c r="E14" s="4" t="s">
        <v>2177</v>
      </c>
      <c r="F14" s="106">
        <f>IF(COUNTIF($A$4:$A14,$A14)=1,1,0)</f>
        <v>1</v>
      </c>
      <c r="G14" s="106" cm="1">
        <f t="array" ref="G14">IF($F14=1,IF(SUMPRODUCT(--ISNUMBER(SEARCH(","&amp;$A14&amp;",",'Parts list'!$Z$4:$Z$185)))&gt;0,1,0),0)</f>
        <v>1</v>
      </c>
    </row>
    <row r="15" spans="1:7" x14ac:dyDescent="0.2">
      <c r="A15" s="1" t="s">
        <v>2178</v>
      </c>
      <c r="B15" s="104">
        <v>2</v>
      </c>
      <c r="C15" s="104">
        <v>2</v>
      </c>
      <c r="D15" s="1" t="s">
        <v>2168</v>
      </c>
      <c r="E15" s="4" t="s">
        <v>2177</v>
      </c>
      <c r="F15" s="106">
        <f>IF(COUNTIF($A$4:$A15,$A15)=1,1,0)</f>
        <v>0</v>
      </c>
      <c r="G15" s="106" cm="1">
        <f t="array" ref="G15">IF($F15=1,IF(SUMPRODUCT(--ISNUMBER(SEARCH(","&amp;$A15&amp;",",'Parts list'!$Z$4:$Z$185)))&gt;0,1,0),0)</f>
        <v>0</v>
      </c>
    </row>
    <row r="16" spans="1:7" x14ac:dyDescent="0.2">
      <c r="A16" s="1" t="s">
        <v>2180</v>
      </c>
      <c r="B16" s="104">
        <v>1</v>
      </c>
      <c r="C16" s="104">
        <v>1</v>
      </c>
      <c r="D16" s="1" t="s">
        <v>2181</v>
      </c>
      <c r="E16" s="4" t="s">
        <v>2182</v>
      </c>
      <c r="F16" s="106">
        <f>IF(COUNTIF($A$4:$A16,$A16)=1,1,0)</f>
        <v>1</v>
      </c>
      <c r="G16" s="106" cm="1">
        <f t="array" ref="G16">IF($F16=1,IF(SUMPRODUCT(--ISNUMBER(SEARCH(","&amp;$A16&amp;",",'Parts list'!$Z$4:$Z$185)))&gt;0,1,0),0)</f>
        <v>1</v>
      </c>
    </row>
    <row r="17" spans="1:7" x14ac:dyDescent="0.2">
      <c r="A17" s="1" t="s">
        <v>2180</v>
      </c>
      <c r="B17" s="104">
        <v>2</v>
      </c>
      <c r="C17" s="104">
        <v>2</v>
      </c>
      <c r="D17" s="1" t="s">
        <v>2168</v>
      </c>
      <c r="E17" s="4" t="s">
        <v>2182</v>
      </c>
      <c r="F17" s="106">
        <f>IF(COUNTIF($A$4:$A17,$A17)=1,1,0)</f>
        <v>0</v>
      </c>
      <c r="G17" s="106" cm="1">
        <f t="array" ref="G17">IF($F17=1,IF(SUMPRODUCT(--ISNUMBER(SEARCH(","&amp;$A17&amp;",",'Parts list'!$Z$4:$Z$185)))&gt;0,1,0),0)</f>
        <v>0</v>
      </c>
    </row>
    <row r="18" spans="1:7" x14ac:dyDescent="0.2">
      <c r="A18" s="1" t="s">
        <v>2183</v>
      </c>
      <c r="B18" s="104">
        <v>1</v>
      </c>
      <c r="C18" s="104">
        <v>1</v>
      </c>
      <c r="D18" s="1" t="s">
        <v>2181</v>
      </c>
      <c r="E18" s="4" t="s">
        <v>2184</v>
      </c>
      <c r="F18" s="106">
        <f>IF(COUNTIF($A$4:$A18,$A18)=1,1,0)</f>
        <v>1</v>
      </c>
      <c r="G18" s="106" cm="1">
        <f t="array" ref="G18">IF($F18=1,IF(SUMPRODUCT(--ISNUMBER(SEARCH(","&amp;$A18&amp;",",'Parts list'!$Z$4:$Z$185)))&gt;0,1,0),0)</f>
        <v>1</v>
      </c>
    </row>
    <row r="19" spans="1:7" x14ac:dyDescent="0.2">
      <c r="A19" s="1" t="s">
        <v>2183</v>
      </c>
      <c r="B19" s="104">
        <v>2</v>
      </c>
      <c r="C19" s="104">
        <v>2</v>
      </c>
      <c r="D19" s="1" t="s">
        <v>2168</v>
      </c>
      <c r="E19" s="4" t="s">
        <v>2184</v>
      </c>
      <c r="F19" s="106">
        <f>IF(COUNTIF($A$4:$A19,$A19)=1,1,0)</f>
        <v>0</v>
      </c>
      <c r="G19" s="106" cm="1">
        <f t="array" ref="G19">IF($F19=1,IF(SUMPRODUCT(--ISNUMBER(SEARCH(","&amp;$A19&amp;",",'Parts list'!$Z$4:$Z$185)))&gt;0,1,0),0)</f>
        <v>0</v>
      </c>
    </row>
    <row r="20" spans="1:7" x14ac:dyDescent="0.2">
      <c r="A20" s="1" t="s">
        <v>2185</v>
      </c>
      <c r="B20" s="104">
        <v>1</v>
      </c>
      <c r="C20" s="104">
        <v>1</v>
      </c>
      <c r="D20" s="1" t="s">
        <v>2181</v>
      </c>
      <c r="E20" s="4" t="s">
        <v>2186</v>
      </c>
      <c r="F20" s="106">
        <f>IF(COUNTIF($A$4:$A20,$A20)=1,1,0)</f>
        <v>1</v>
      </c>
      <c r="G20" s="106" cm="1">
        <f t="array" ref="G20">IF($F20=1,IF(SUMPRODUCT(--ISNUMBER(SEARCH(","&amp;$A20&amp;",",'Parts list'!$Z$4:$Z$185)))&gt;0,1,0),0)</f>
        <v>1</v>
      </c>
    </row>
    <row r="21" spans="1:7" x14ac:dyDescent="0.2">
      <c r="A21" s="1" t="s">
        <v>2185</v>
      </c>
      <c r="B21" s="104">
        <v>2</v>
      </c>
      <c r="C21" s="104">
        <v>2</v>
      </c>
      <c r="D21" s="1" t="s">
        <v>2168</v>
      </c>
      <c r="E21" s="4" t="s">
        <v>2186</v>
      </c>
      <c r="F21" s="106">
        <f>IF(COUNTIF($A$4:$A21,$A21)=1,1,0)</f>
        <v>0</v>
      </c>
      <c r="G21" s="106" cm="1">
        <f t="array" ref="G21">IF($F21=1,IF(SUMPRODUCT(--ISNUMBER(SEARCH(","&amp;$A21&amp;",",'Parts list'!$Z$4:$Z$185)))&gt;0,1,0),0)</f>
        <v>0</v>
      </c>
    </row>
    <row r="22" spans="1:7" x14ac:dyDescent="0.2">
      <c r="A22" s="1" t="s">
        <v>2187</v>
      </c>
      <c r="B22" s="104">
        <v>1</v>
      </c>
      <c r="C22" s="104">
        <v>1</v>
      </c>
      <c r="D22" s="1" t="s">
        <v>2181</v>
      </c>
      <c r="E22" s="4" t="s">
        <v>2188</v>
      </c>
      <c r="F22" s="106">
        <f>IF(COUNTIF($A$4:$A22,$A22)=1,1,0)</f>
        <v>1</v>
      </c>
      <c r="G22" s="106" cm="1">
        <f t="array" ref="G22">IF($F22=1,IF(SUMPRODUCT(--ISNUMBER(SEARCH(","&amp;$A22&amp;",",'Parts list'!$Z$4:$Z$185)))&gt;0,1,0),0)</f>
        <v>1</v>
      </c>
    </row>
    <row r="23" spans="1:7" x14ac:dyDescent="0.2">
      <c r="A23" s="1" t="s">
        <v>2187</v>
      </c>
      <c r="B23" s="104">
        <v>2</v>
      </c>
      <c r="C23" s="104">
        <v>2</v>
      </c>
      <c r="D23" s="1" t="s">
        <v>2168</v>
      </c>
      <c r="E23" s="4" t="s">
        <v>2188</v>
      </c>
      <c r="F23" s="106">
        <f>IF(COUNTIF($A$4:$A23,$A23)=1,1,0)</f>
        <v>0</v>
      </c>
      <c r="G23" s="106" cm="1">
        <f t="array" ref="G23">IF($F23=1,IF(SUMPRODUCT(--ISNUMBER(SEARCH(","&amp;$A23&amp;",",'Parts list'!$Z$4:$Z$185)))&gt;0,1,0),0)</f>
        <v>0</v>
      </c>
    </row>
    <row r="24" spans="1:7" x14ac:dyDescent="0.2">
      <c r="A24" s="1" t="s">
        <v>2189</v>
      </c>
      <c r="B24" s="104">
        <v>1</v>
      </c>
      <c r="C24" s="104">
        <v>1</v>
      </c>
      <c r="D24" s="1" t="s">
        <v>2181</v>
      </c>
      <c r="E24" s="4" t="s">
        <v>2190</v>
      </c>
      <c r="F24" s="106">
        <f>IF(COUNTIF($A$4:$A24,$A24)=1,1,0)</f>
        <v>1</v>
      </c>
      <c r="G24" s="106" cm="1">
        <f t="array" ref="G24">IF($F24=1,IF(SUMPRODUCT(--ISNUMBER(SEARCH(","&amp;$A24&amp;",",'Parts list'!$Z$4:$Z$185)))&gt;0,1,0),0)</f>
        <v>1</v>
      </c>
    </row>
    <row r="25" spans="1:7" x14ac:dyDescent="0.2">
      <c r="A25" s="1" t="s">
        <v>2189</v>
      </c>
      <c r="B25" s="104">
        <v>2</v>
      </c>
      <c r="C25" s="104">
        <v>2</v>
      </c>
      <c r="D25" s="1" t="s">
        <v>2168</v>
      </c>
      <c r="E25" s="4" t="s">
        <v>2190</v>
      </c>
      <c r="F25" s="106">
        <f>IF(COUNTIF($A$4:$A25,$A25)=1,1,0)</f>
        <v>0</v>
      </c>
      <c r="G25" s="106" cm="1">
        <f t="array" ref="G25">IF($F25=1,IF(SUMPRODUCT(--ISNUMBER(SEARCH(","&amp;$A25&amp;",",'Parts list'!$Z$4:$Z$185)))&gt;0,1,0),0)</f>
        <v>0</v>
      </c>
    </row>
    <row r="26" spans="1:7" x14ac:dyDescent="0.2">
      <c r="A26" s="1" t="s">
        <v>2191</v>
      </c>
      <c r="B26" s="104">
        <v>1</v>
      </c>
      <c r="C26" s="104">
        <v>1</v>
      </c>
      <c r="D26" s="1" t="s">
        <v>2181</v>
      </c>
      <c r="E26" s="4" t="s">
        <v>2192</v>
      </c>
      <c r="F26" s="106">
        <f>IF(COUNTIF($A$4:$A26,$A26)=1,1,0)</f>
        <v>1</v>
      </c>
      <c r="G26" s="106" cm="1">
        <f t="array" ref="G26">IF($F26=1,IF(SUMPRODUCT(--ISNUMBER(SEARCH(","&amp;$A26&amp;",",'Parts list'!$Z$4:$Z$185)))&gt;0,1,0),0)</f>
        <v>1</v>
      </c>
    </row>
    <row r="27" spans="1:7" x14ac:dyDescent="0.2">
      <c r="A27" s="1" t="s">
        <v>2191</v>
      </c>
      <c r="B27" s="104">
        <v>2</v>
      </c>
      <c r="C27" s="104">
        <v>2</v>
      </c>
      <c r="D27" s="1" t="s">
        <v>2168</v>
      </c>
      <c r="E27" s="4" t="s">
        <v>2192</v>
      </c>
      <c r="F27" s="106">
        <f>IF(COUNTIF($A$4:$A27,$A27)=1,1,0)</f>
        <v>0</v>
      </c>
      <c r="G27" s="106" cm="1">
        <f t="array" ref="G27">IF($F27=1,IF(SUMPRODUCT(--ISNUMBER(SEARCH(","&amp;$A27&amp;",",'Parts list'!$Z$4:$Z$185)))&gt;0,1,0),0)</f>
        <v>0</v>
      </c>
    </row>
    <row r="28" spans="1:7" x14ac:dyDescent="0.2">
      <c r="A28" s="1" t="s">
        <v>2193</v>
      </c>
      <c r="B28" s="104">
        <v>1</v>
      </c>
      <c r="C28" s="104">
        <v>1</v>
      </c>
      <c r="D28" s="1" t="s">
        <v>2181</v>
      </c>
      <c r="E28" s="4" t="s">
        <v>2194</v>
      </c>
      <c r="F28" s="106">
        <f>IF(COUNTIF($A$4:$A28,$A28)=1,1,0)</f>
        <v>1</v>
      </c>
      <c r="G28" s="106" cm="1">
        <f t="array" ref="G28">IF($F28=1,IF(SUMPRODUCT(--ISNUMBER(SEARCH(","&amp;$A28&amp;",",'Parts list'!$Z$4:$Z$185)))&gt;0,1,0),0)</f>
        <v>1</v>
      </c>
    </row>
    <row r="29" spans="1:7" x14ac:dyDescent="0.2">
      <c r="A29" s="1" t="s">
        <v>2193</v>
      </c>
      <c r="B29" s="104">
        <v>2</v>
      </c>
      <c r="C29" s="104">
        <v>2</v>
      </c>
      <c r="D29" s="1" t="s">
        <v>2168</v>
      </c>
      <c r="E29" s="4" t="s">
        <v>2194</v>
      </c>
      <c r="F29" s="106">
        <f>IF(COUNTIF($A$4:$A29,$A29)=1,1,0)</f>
        <v>0</v>
      </c>
      <c r="G29" s="106" cm="1">
        <f t="array" ref="G29">IF($F29=1,IF(SUMPRODUCT(--ISNUMBER(SEARCH(","&amp;$A29&amp;",",'Parts list'!$Z$4:$Z$185)))&gt;0,1,0),0)</f>
        <v>0</v>
      </c>
    </row>
    <row r="30" spans="1:7" x14ac:dyDescent="0.2">
      <c r="A30" s="1" t="s">
        <v>2195</v>
      </c>
      <c r="B30" s="104">
        <v>1</v>
      </c>
      <c r="C30" s="104">
        <v>1</v>
      </c>
      <c r="D30" s="1" t="s">
        <v>2181</v>
      </c>
      <c r="E30" s="4" t="s">
        <v>2196</v>
      </c>
      <c r="F30" s="106">
        <f>IF(COUNTIF($A$4:$A30,$A30)=1,1,0)</f>
        <v>1</v>
      </c>
      <c r="G30" s="106" cm="1">
        <f t="array" ref="G30">IF($F30=1,IF(SUMPRODUCT(--ISNUMBER(SEARCH(","&amp;$A30&amp;",",'Parts list'!$Z$4:$Z$185)))&gt;0,1,0),0)</f>
        <v>1</v>
      </c>
    </row>
    <row r="31" spans="1:7" x14ac:dyDescent="0.2">
      <c r="A31" s="1" t="s">
        <v>2195</v>
      </c>
      <c r="B31" s="104">
        <v>2</v>
      </c>
      <c r="C31" s="104">
        <v>2</v>
      </c>
      <c r="D31" s="1" t="s">
        <v>2168</v>
      </c>
      <c r="E31" s="4" t="s">
        <v>2196</v>
      </c>
      <c r="F31" s="106">
        <f>IF(COUNTIF($A$4:$A31,$A31)=1,1,0)</f>
        <v>0</v>
      </c>
      <c r="G31" s="106" cm="1">
        <f t="array" ref="G31">IF($F31=1,IF(SUMPRODUCT(--ISNUMBER(SEARCH(","&amp;$A31&amp;",",'Parts list'!$Z$4:$Z$185)))&gt;0,1,0),0)</f>
        <v>0</v>
      </c>
    </row>
    <row r="32" spans="1:7" x14ac:dyDescent="0.2">
      <c r="A32" s="1" t="s">
        <v>328</v>
      </c>
      <c r="B32" s="104">
        <v>1</v>
      </c>
      <c r="C32" s="104">
        <v>1</v>
      </c>
      <c r="D32" s="1" t="s">
        <v>2181</v>
      </c>
      <c r="E32" s="4" t="s">
        <v>2197</v>
      </c>
      <c r="F32" s="106">
        <f>IF(COUNTIF($A$4:$A32,$A32)=1,1,0)</f>
        <v>1</v>
      </c>
      <c r="G32" s="106" cm="1">
        <f t="array" ref="G32">IF($F32=1,IF(SUMPRODUCT(--ISNUMBER(SEARCH(","&amp;$A32&amp;",",'Parts list'!$Z$4:$Z$185)))&gt;0,1,0),0)</f>
        <v>1</v>
      </c>
    </row>
    <row r="33" spans="1:7" x14ac:dyDescent="0.2">
      <c r="A33" s="1" t="s">
        <v>328</v>
      </c>
      <c r="B33" s="104">
        <v>2</v>
      </c>
      <c r="C33" s="104">
        <v>2</v>
      </c>
      <c r="D33" s="1" t="s">
        <v>2168</v>
      </c>
      <c r="E33" s="4" t="s">
        <v>2197</v>
      </c>
      <c r="F33" s="106">
        <f>IF(COUNTIF($A$4:$A33,$A33)=1,1,0)</f>
        <v>0</v>
      </c>
      <c r="G33" s="106" cm="1">
        <f t="array" ref="G33">IF($F33=1,IF(SUMPRODUCT(--ISNUMBER(SEARCH(","&amp;$A33&amp;",",'Parts list'!$Z$4:$Z$185)))&gt;0,1,0),0)</f>
        <v>0</v>
      </c>
    </row>
    <row r="34" spans="1:7" x14ac:dyDescent="0.2">
      <c r="A34" s="1" t="s">
        <v>2198</v>
      </c>
      <c r="B34" s="104">
        <v>1</v>
      </c>
      <c r="C34" s="104">
        <v>1</v>
      </c>
      <c r="D34" s="1" t="s">
        <v>2199</v>
      </c>
      <c r="E34" s="4" t="s">
        <v>2200</v>
      </c>
      <c r="F34" s="106">
        <f>IF(COUNTIF($A$4:$A34,$A34)=1,1,0)</f>
        <v>1</v>
      </c>
      <c r="G34" s="106" cm="1">
        <f t="array" ref="G34">IF($F34=1,IF(SUMPRODUCT(--ISNUMBER(SEARCH(","&amp;$A34&amp;",",'Parts list'!$Z$4:$Z$185)))&gt;0,1,0),0)</f>
        <v>1</v>
      </c>
    </row>
    <row r="35" spans="1:7" x14ac:dyDescent="0.2">
      <c r="A35" s="1" t="s">
        <v>2198</v>
      </c>
      <c r="B35" s="104">
        <v>2</v>
      </c>
      <c r="C35" s="104">
        <v>2</v>
      </c>
      <c r="D35" s="1" t="s">
        <v>2168</v>
      </c>
      <c r="E35" s="4" t="s">
        <v>2200</v>
      </c>
      <c r="F35" s="106">
        <f>IF(COUNTIF($A$4:$A35,$A35)=1,1,0)</f>
        <v>0</v>
      </c>
      <c r="G35" s="106" cm="1">
        <f t="array" ref="G35">IF($F35=1,IF(SUMPRODUCT(--ISNUMBER(SEARCH(","&amp;$A35&amp;",",'Parts list'!$Z$4:$Z$185)))&gt;0,1,0),0)</f>
        <v>0</v>
      </c>
    </row>
    <row r="36" spans="1:7" x14ac:dyDescent="0.2">
      <c r="A36" s="1" t="s">
        <v>2201</v>
      </c>
      <c r="B36" s="104">
        <v>1</v>
      </c>
      <c r="C36" s="104">
        <v>1</v>
      </c>
      <c r="D36" s="1" t="s">
        <v>2202</v>
      </c>
      <c r="E36" s="4" t="s">
        <v>2203</v>
      </c>
      <c r="F36" s="106">
        <f>IF(COUNTIF($A$4:$A36,$A36)=1,1,0)</f>
        <v>1</v>
      </c>
      <c r="G36" s="106" cm="1">
        <f t="array" ref="G36">IF($F36=1,IF(SUMPRODUCT(--ISNUMBER(SEARCH(","&amp;$A36&amp;",",'Parts list'!$Z$4:$Z$185)))&gt;0,1,0),0)</f>
        <v>1</v>
      </c>
    </row>
    <row r="37" spans="1:7" x14ac:dyDescent="0.2">
      <c r="A37" s="1" t="s">
        <v>2201</v>
      </c>
      <c r="B37" s="104">
        <v>2</v>
      </c>
      <c r="C37" s="104">
        <v>2</v>
      </c>
      <c r="D37" s="1" t="s">
        <v>2168</v>
      </c>
      <c r="E37" s="4" t="s">
        <v>2203</v>
      </c>
      <c r="F37" s="106">
        <f>IF(COUNTIF($A$4:$A37,$A37)=1,1,0)</f>
        <v>0</v>
      </c>
      <c r="G37" s="106" cm="1">
        <f t="array" ref="G37">IF($F37=1,IF(SUMPRODUCT(--ISNUMBER(SEARCH(","&amp;$A37&amp;",",'Parts list'!$Z$4:$Z$185)))&gt;0,1,0),0)</f>
        <v>0</v>
      </c>
    </row>
    <row r="38" spans="1:7" x14ac:dyDescent="0.2">
      <c r="A38" s="1" t="s">
        <v>2204</v>
      </c>
      <c r="B38" s="104">
        <v>1</v>
      </c>
      <c r="C38" s="104">
        <v>1</v>
      </c>
      <c r="D38" s="1" t="s">
        <v>2202</v>
      </c>
      <c r="E38" s="4" t="s">
        <v>2205</v>
      </c>
      <c r="F38" s="106">
        <f>IF(COUNTIF($A$4:$A38,$A38)=1,1,0)</f>
        <v>1</v>
      </c>
      <c r="G38" s="106" cm="1">
        <f t="array" ref="G38">IF($F38=1,IF(SUMPRODUCT(--ISNUMBER(SEARCH(","&amp;$A38&amp;",",'Parts list'!$Z$4:$Z$185)))&gt;0,1,0),0)</f>
        <v>1</v>
      </c>
    </row>
    <row r="39" spans="1:7" x14ac:dyDescent="0.2">
      <c r="A39" s="1" t="s">
        <v>2204</v>
      </c>
      <c r="B39" s="104">
        <v>2</v>
      </c>
      <c r="C39" s="104">
        <v>2</v>
      </c>
      <c r="D39" s="1" t="s">
        <v>2168</v>
      </c>
      <c r="E39" s="4" t="s">
        <v>2205</v>
      </c>
      <c r="F39" s="106">
        <f>IF(COUNTIF($A$4:$A39,$A39)=1,1,0)</f>
        <v>0</v>
      </c>
      <c r="G39" s="106" cm="1">
        <f t="array" ref="G39">IF($F39=1,IF(SUMPRODUCT(--ISNUMBER(SEARCH(","&amp;$A39&amp;",",'Parts list'!$Z$4:$Z$185)))&gt;0,1,0),0)</f>
        <v>0</v>
      </c>
    </row>
    <row r="40" spans="1:7" x14ac:dyDescent="0.2">
      <c r="A40" s="1" t="s">
        <v>2206</v>
      </c>
      <c r="B40" s="104">
        <v>1</v>
      </c>
      <c r="C40" s="104">
        <v>1</v>
      </c>
      <c r="D40" s="1" t="s">
        <v>2202</v>
      </c>
      <c r="E40" s="4" t="s">
        <v>2207</v>
      </c>
      <c r="F40" s="106">
        <f>IF(COUNTIF($A$4:$A40,$A40)=1,1,0)</f>
        <v>1</v>
      </c>
      <c r="G40" s="106" cm="1">
        <f t="array" ref="G40">IF($F40=1,IF(SUMPRODUCT(--ISNUMBER(SEARCH(","&amp;$A40&amp;",",'Parts list'!$Z$4:$Z$185)))&gt;0,1,0),0)</f>
        <v>1</v>
      </c>
    </row>
    <row r="41" spans="1:7" x14ac:dyDescent="0.2">
      <c r="A41" s="1" t="s">
        <v>2206</v>
      </c>
      <c r="B41" s="104">
        <v>2</v>
      </c>
      <c r="C41" s="104">
        <v>2</v>
      </c>
      <c r="D41" s="1" t="s">
        <v>2168</v>
      </c>
      <c r="E41" s="4" t="s">
        <v>2207</v>
      </c>
      <c r="F41" s="106">
        <f>IF(COUNTIF($A$4:$A41,$A41)=1,1,0)</f>
        <v>0</v>
      </c>
      <c r="G41" s="106" cm="1">
        <f t="array" ref="G41">IF($F41=1,IF(SUMPRODUCT(--ISNUMBER(SEARCH(","&amp;$A41&amp;",",'Parts list'!$Z$4:$Z$185)))&gt;0,1,0),0)</f>
        <v>0</v>
      </c>
    </row>
    <row r="42" spans="1:7" x14ac:dyDescent="0.2">
      <c r="A42" s="1" t="s">
        <v>336</v>
      </c>
      <c r="B42" s="104">
        <v>1</v>
      </c>
      <c r="C42" s="104">
        <v>1</v>
      </c>
      <c r="D42" s="1" t="s">
        <v>2208</v>
      </c>
      <c r="E42" s="4" t="s">
        <v>2209</v>
      </c>
      <c r="F42" s="106">
        <f>IF(COUNTIF($A$4:$A42,$A42)=1,1,0)</f>
        <v>1</v>
      </c>
      <c r="G42" s="106" cm="1">
        <f t="array" ref="G42">IF($F42=1,IF(SUMPRODUCT(--ISNUMBER(SEARCH(","&amp;$A42&amp;",",'Parts list'!$Z$4:$Z$185)))&gt;0,1,0),0)</f>
        <v>1</v>
      </c>
    </row>
    <row r="43" spans="1:7" x14ac:dyDescent="0.2">
      <c r="A43" s="1" t="s">
        <v>336</v>
      </c>
      <c r="B43" s="104">
        <v>2</v>
      </c>
      <c r="C43" s="104">
        <v>2</v>
      </c>
      <c r="D43" s="1" t="s">
        <v>2168</v>
      </c>
      <c r="E43" s="4" t="s">
        <v>2209</v>
      </c>
      <c r="F43" s="106">
        <f>IF(COUNTIF($A$4:$A43,$A43)=1,1,0)</f>
        <v>0</v>
      </c>
      <c r="G43" s="106" cm="1">
        <f t="array" ref="G43">IF($F43=1,IF(SUMPRODUCT(--ISNUMBER(SEARCH(","&amp;$A43&amp;",",'Parts list'!$Z$4:$Z$185)))&gt;0,1,0),0)</f>
        <v>0</v>
      </c>
    </row>
    <row r="44" spans="1:7" x14ac:dyDescent="0.2">
      <c r="A44" s="1" t="s">
        <v>2210</v>
      </c>
      <c r="B44" s="104">
        <v>1</v>
      </c>
      <c r="C44" s="104">
        <v>1</v>
      </c>
      <c r="D44" s="1" t="s">
        <v>2208</v>
      </c>
      <c r="E44" s="4" t="s">
        <v>487</v>
      </c>
      <c r="F44" s="106">
        <f>IF(COUNTIF($A$4:$A44,$A44)=1,1,0)</f>
        <v>1</v>
      </c>
      <c r="G44" s="106" cm="1">
        <f t="array" ref="G44">IF($F44=1,IF(SUMPRODUCT(--ISNUMBER(SEARCH(","&amp;$A44&amp;",",'Parts list'!$Z$4:$Z$185)))&gt;0,1,0),0)</f>
        <v>1</v>
      </c>
    </row>
    <row r="45" spans="1:7" x14ac:dyDescent="0.2">
      <c r="A45" s="1" t="s">
        <v>2210</v>
      </c>
      <c r="B45" s="104">
        <v>2</v>
      </c>
      <c r="C45" s="104">
        <v>2</v>
      </c>
      <c r="D45" s="1" t="s">
        <v>2168</v>
      </c>
      <c r="E45" s="4" t="s">
        <v>487</v>
      </c>
      <c r="F45" s="106">
        <f>IF(COUNTIF($A$4:$A45,$A45)=1,1,0)</f>
        <v>0</v>
      </c>
      <c r="G45" s="106" cm="1">
        <f t="array" ref="G45">IF($F45=1,IF(SUMPRODUCT(--ISNUMBER(SEARCH(","&amp;$A45&amp;",",'Parts list'!$Z$4:$Z$185)))&gt;0,1,0),0)</f>
        <v>0</v>
      </c>
    </row>
    <row r="46" spans="1:7" x14ac:dyDescent="0.2">
      <c r="A46" s="1" t="s">
        <v>2211</v>
      </c>
      <c r="B46" s="104">
        <v>1</v>
      </c>
      <c r="C46" s="104">
        <v>1</v>
      </c>
      <c r="D46" s="1" t="s">
        <v>2208</v>
      </c>
      <c r="E46" s="4" t="s">
        <v>497</v>
      </c>
      <c r="F46" s="106">
        <f>IF(COUNTIF($A$4:$A46,$A46)=1,1,0)</f>
        <v>1</v>
      </c>
      <c r="G46" s="106" cm="1">
        <f t="array" ref="G46">IF($F46=1,IF(SUMPRODUCT(--ISNUMBER(SEARCH(","&amp;$A46&amp;",",'Parts list'!$Z$4:$Z$185)))&gt;0,1,0),0)</f>
        <v>1</v>
      </c>
    </row>
    <row r="47" spans="1:7" x14ac:dyDescent="0.2">
      <c r="A47" s="1" t="s">
        <v>2211</v>
      </c>
      <c r="B47" s="104">
        <v>2</v>
      </c>
      <c r="C47" s="104">
        <v>2</v>
      </c>
      <c r="D47" s="1" t="s">
        <v>2168</v>
      </c>
      <c r="E47" s="4" t="s">
        <v>497</v>
      </c>
      <c r="F47" s="106">
        <f>IF(COUNTIF($A$4:$A47,$A47)=1,1,0)</f>
        <v>0</v>
      </c>
      <c r="G47" s="106" cm="1">
        <f t="array" ref="G47">IF($F47=1,IF(SUMPRODUCT(--ISNUMBER(SEARCH(","&amp;$A47&amp;",",'Parts list'!$Z$4:$Z$185)))&gt;0,1,0),0)</f>
        <v>0</v>
      </c>
    </row>
    <row r="48" spans="1:7" x14ac:dyDescent="0.2">
      <c r="A48" s="1" t="s">
        <v>2212</v>
      </c>
      <c r="B48" s="104">
        <v>1</v>
      </c>
      <c r="C48" s="104">
        <v>1</v>
      </c>
      <c r="D48" s="1" t="s">
        <v>2202</v>
      </c>
      <c r="E48" s="4" t="s">
        <v>2213</v>
      </c>
      <c r="F48" s="106">
        <f>IF(COUNTIF($A$4:$A48,$A48)=1,1,0)</f>
        <v>1</v>
      </c>
      <c r="G48" s="106" cm="1">
        <f t="array" ref="G48">IF($F48=1,IF(SUMPRODUCT(--ISNUMBER(SEARCH(","&amp;$A48&amp;",",'Parts list'!$Z$4:$Z$185)))&gt;0,1,0),0)</f>
        <v>1</v>
      </c>
    </row>
    <row r="49" spans="1:7" x14ac:dyDescent="0.2">
      <c r="A49" s="1" t="s">
        <v>2212</v>
      </c>
      <c r="B49" s="104">
        <v>2</v>
      </c>
      <c r="C49" s="104">
        <v>2</v>
      </c>
      <c r="D49" s="1" t="s">
        <v>2168</v>
      </c>
      <c r="E49" s="4" t="s">
        <v>2213</v>
      </c>
      <c r="F49" s="106">
        <f>IF(COUNTIF($A$4:$A49,$A49)=1,1,0)</f>
        <v>0</v>
      </c>
      <c r="G49" s="106" cm="1">
        <f t="array" ref="G49">IF($F49=1,IF(SUMPRODUCT(--ISNUMBER(SEARCH(","&amp;$A49&amp;",",'Parts list'!$Z$4:$Z$185)))&gt;0,1,0),0)</f>
        <v>0</v>
      </c>
    </row>
    <row r="50" spans="1:7" x14ac:dyDescent="0.2">
      <c r="A50" s="1" t="s">
        <v>2214</v>
      </c>
      <c r="B50" s="104">
        <v>1</v>
      </c>
      <c r="C50" s="104">
        <v>1</v>
      </c>
      <c r="D50" s="1" t="s">
        <v>2181</v>
      </c>
      <c r="E50" s="4" t="s">
        <v>2215</v>
      </c>
      <c r="F50" s="106">
        <f>IF(COUNTIF($A$4:$A50,$A50)=1,1,0)</f>
        <v>1</v>
      </c>
      <c r="G50" s="106" cm="1">
        <f t="array" ref="G50">IF($F50=1,IF(SUMPRODUCT(--ISNUMBER(SEARCH(","&amp;$A50&amp;",",'Parts list'!$Z$4:$Z$185)))&gt;0,1,0),0)</f>
        <v>1</v>
      </c>
    </row>
    <row r="51" spans="1:7" x14ac:dyDescent="0.2">
      <c r="A51" s="1" t="s">
        <v>2214</v>
      </c>
      <c r="B51" s="104">
        <v>2</v>
      </c>
      <c r="C51" s="104">
        <v>2</v>
      </c>
      <c r="D51" s="1" t="s">
        <v>2168</v>
      </c>
      <c r="E51" s="4" t="s">
        <v>2215</v>
      </c>
      <c r="F51" s="106">
        <f>IF(COUNTIF($A$4:$A51,$A51)=1,1,0)</f>
        <v>0</v>
      </c>
      <c r="G51" s="106" cm="1">
        <f t="array" ref="G51">IF($F51=1,IF(SUMPRODUCT(--ISNUMBER(SEARCH(","&amp;$A51&amp;",",'Parts list'!$Z$4:$Z$185)))&gt;0,1,0),0)</f>
        <v>0</v>
      </c>
    </row>
    <row r="52" spans="1:7" x14ac:dyDescent="0.2">
      <c r="A52" s="1" t="s">
        <v>2216</v>
      </c>
      <c r="B52" s="104">
        <v>1</v>
      </c>
      <c r="C52" s="104">
        <v>1</v>
      </c>
      <c r="D52" s="1" t="s">
        <v>2208</v>
      </c>
      <c r="E52" s="4" t="s">
        <v>444</v>
      </c>
      <c r="F52" s="106">
        <f>IF(COUNTIF($A$4:$A52,$A52)=1,1,0)</f>
        <v>1</v>
      </c>
      <c r="G52" s="106" cm="1">
        <f t="array" ref="G52">IF($F52=1,IF(SUMPRODUCT(--ISNUMBER(SEARCH(","&amp;$A52&amp;",",'Parts list'!$Z$4:$Z$185)))&gt;0,1,0),0)</f>
        <v>1</v>
      </c>
    </row>
    <row r="53" spans="1:7" x14ac:dyDescent="0.2">
      <c r="A53" s="1" t="s">
        <v>2216</v>
      </c>
      <c r="B53" s="104">
        <v>2</v>
      </c>
      <c r="C53" s="104">
        <v>2</v>
      </c>
      <c r="D53" s="1" t="s">
        <v>2168</v>
      </c>
      <c r="E53" s="4" t="s">
        <v>444</v>
      </c>
      <c r="F53" s="106">
        <f>IF(COUNTIF($A$4:$A53,$A53)=1,1,0)</f>
        <v>0</v>
      </c>
      <c r="G53" s="106" cm="1">
        <f t="array" ref="G53">IF($F53=1,IF(SUMPRODUCT(--ISNUMBER(SEARCH(","&amp;$A53&amp;",",'Parts list'!$Z$4:$Z$185)))&gt;0,1,0),0)</f>
        <v>0</v>
      </c>
    </row>
    <row r="54" spans="1:7" x14ac:dyDescent="0.2">
      <c r="A54" s="1" t="s">
        <v>2217</v>
      </c>
      <c r="B54" s="104">
        <v>1</v>
      </c>
      <c r="C54" s="104">
        <v>1</v>
      </c>
      <c r="D54" s="1" t="s">
        <v>2208</v>
      </c>
      <c r="E54" s="4" t="s">
        <v>455</v>
      </c>
      <c r="F54" s="106">
        <f>IF(COUNTIF($A$4:$A54,$A54)=1,1,0)</f>
        <v>1</v>
      </c>
      <c r="G54" s="106" cm="1">
        <f t="array" ref="G54">IF($F54=1,IF(SUMPRODUCT(--ISNUMBER(SEARCH(","&amp;$A54&amp;",",'Parts list'!$Z$4:$Z$185)))&gt;0,1,0),0)</f>
        <v>1</v>
      </c>
    </row>
    <row r="55" spans="1:7" x14ac:dyDescent="0.2">
      <c r="A55" s="1" t="s">
        <v>2217</v>
      </c>
      <c r="B55" s="104">
        <v>2</v>
      </c>
      <c r="C55" s="104">
        <v>2</v>
      </c>
      <c r="D55" s="1" t="s">
        <v>2168</v>
      </c>
      <c r="E55" s="4" t="s">
        <v>455</v>
      </c>
      <c r="F55" s="106">
        <f>IF(COUNTIF($A$4:$A55,$A55)=1,1,0)</f>
        <v>0</v>
      </c>
      <c r="G55" s="106" cm="1">
        <f t="array" ref="G55">IF($F55=1,IF(SUMPRODUCT(--ISNUMBER(SEARCH(","&amp;$A55&amp;",",'Parts list'!$Z$4:$Z$185)))&gt;0,1,0),0)</f>
        <v>0</v>
      </c>
    </row>
    <row r="56" spans="1:7" x14ac:dyDescent="0.2">
      <c r="A56" s="1" t="s">
        <v>2218</v>
      </c>
      <c r="B56" s="104">
        <v>1</v>
      </c>
      <c r="C56" s="104">
        <v>1</v>
      </c>
      <c r="D56" s="1" t="s">
        <v>2208</v>
      </c>
      <c r="E56" s="4" t="s">
        <v>2219</v>
      </c>
      <c r="F56" s="106">
        <f>IF(COUNTIF($A$4:$A56,$A56)=1,1,0)</f>
        <v>1</v>
      </c>
      <c r="G56" s="106" cm="1">
        <f t="array" ref="G56">IF($F56=1,IF(SUMPRODUCT(--ISNUMBER(SEARCH(","&amp;$A56&amp;",",'Parts list'!$Z$4:$Z$185)))&gt;0,1,0),0)</f>
        <v>1</v>
      </c>
    </row>
    <row r="57" spans="1:7" x14ac:dyDescent="0.2">
      <c r="A57" s="1" t="s">
        <v>2218</v>
      </c>
      <c r="B57" s="104">
        <v>2</v>
      </c>
      <c r="C57" s="104">
        <v>2</v>
      </c>
      <c r="D57" s="1" t="s">
        <v>2168</v>
      </c>
      <c r="E57" s="4" t="s">
        <v>2219</v>
      </c>
      <c r="F57" s="106">
        <f>IF(COUNTIF($A$4:$A57,$A57)=1,1,0)</f>
        <v>0</v>
      </c>
      <c r="G57" s="106" cm="1">
        <f t="array" ref="G57">IF($F57=1,IF(SUMPRODUCT(--ISNUMBER(SEARCH(","&amp;$A57&amp;",",'Parts list'!$Z$4:$Z$185)))&gt;0,1,0),0)</f>
        <v>0</v>
      </c>
    </row>
    <row r="58" spans="1:7" x14ac:dyDescent="0.2">
      <c r="A58" s="1" t="s">
        <v>515</v>
      </c>
      <c r="B58" s="104">
        <v>1</v>
      </c>
      <c r="C58" s="104">
        <v>1</v>
      </c>
      <c r="D58" s="1" t="s">
        <v>2220</v>
      </c>
      <c r="E58" s="4"/>
      <c r="F58" s="106">
        <f>IF(COUNTIF($A$4:$A58,$A58)=1,1,0)</f>
        <v>1</v>
      </c>
      <c r="G58" s="106" cm="1">
        <f t="array" ref="G58">IF($F58=1,IF(SUMPRODUCT(--ISNUMBER(SEARCH(","&amp;$A58&amp;",",'Parts list'!$Z$4:$Z$185)))&gt;0,1,0),0)</f>
        <v>1</v>
      </c>
    </row>
    <row r="59" spans="1:7" x14ac:dyDescent="0.2">
      <c r="A59" s="1" t="s">
        <v>515</v>
      </c>
      <c r="B59" s="104">
        <v>2</v>
      </c>
      <c r="C59" s="104">
        <v>2</v>
      </c>
      <c r="D59" s="1" t="s">
        <v>2168</v>
      </c>
      <c r="E59" s="4"/>
      <c r="F59" s="106">
        <f>IF(COUNTIF($A$4:$A59,$A59)=1,1,0)</f>
        <v>0</v>
      </c>
      <c r="G59" s="106" cm="1">
        <f t="array" ref="G59">IF($F59=1,IF(SUMPRODUCT(--ISNUMBER(SEARCH(","&amp;$A59&amp;",",'Parts list'!$Z$4:$Z$185)))&gt;0,1,0),0)</f>
        <v>0</v>
      </c>
    </row>
    <row r="60" spans="1:7" x14ac:dyDescent="0.2">
      <c r="A60" s="1" t="s">
        <v>523</v>
      </c>
      <c r="B60" s="104">
        <v>1</v>
      </c>
      <c r="C60" s="104">
        <v>1</v>
      </c>
      <c r="D60" s="1" t="s">
        <v>2221</v>
      </c>
      <c r="E60" s="4"/>
      <c r="F60" s="106">
        <f>IF(COUNTIF($A$4:$A60,$A60)=1,1,0)</f>
        <v>1</v>
      </c>
      <c r="G60" s="106" cm="1">
        <f t="array" ref="G60">IF($F60=1,IF(SUMPRODUCT(--ISNUMBER(SEARCH(","&amp;$A60&amp;",",'Parts list'!$Z$4:$Z$185)))&gt;0,1,0),0)</f>
        <v>1</v>
      </c>
    </row>
    <row r="61" spans="1:7" x14ac:dyDescent="0.2">
      <c r="A61" s="1" t="s">
        <v>523</v>
      </c>
      <c r="B61" s="104">
        <v>2</v>
      </c>
      <c r="C61" s="104">
        <v>2</v>
      </c>
      <c r="D61" s="1" t="s">
        <v>2168</v>
      </c>
      <c r="E61" s="4"/>
      <c r="F61" s="106">
        <f>IF(COUNTIF($A$4:$A61,$A61)=1,1,0)</f>
        <v>0</v>
      </c>
      <c r="G61" s="106" cm="1">
        <f t="array" ref="G61">IF($F61=1,IF(SUMPRODUCT(--ISNUMBER(SEARCH(","&amp;$A61&amp;",",'Parts list'!$Z$4:$Z$185)))&gt;0,1,0),0)</f>
        <v>0</v>
      </c>
    </row>
    <row r="62" spans="1:7" x14ac:dyDescent="0.2">
      <c r="A62" s="1" t="s">
        <v>2222</v>
      </c>
      <c r="B62" s="104">
        <v>1</v>
      </c>
      <c r="C62" s="104">
        <v>1</v>
      </c>
      <c r="D62" s="1" t="s">
        <v>2223</v>
      </c>
      <c r="E62" s="4" t="s">
        <v>169</v>
      </c>
      <c r="F62" s="106">
        <f>IF(COUNTIF($A$4:$A62,$A62)=1,1,0)</f>
        <v>1</v>
      </c>
      <c r="G62" s="106" cm="1">
        <f t="array" ref="G62">IF($F62=1,IF(SUMPRODUCT(--ISNUMBER(SEARCH(","&amp;$A62&amp;",",'Parts list'!$Z$4:$Z$185)))&gt;0,1,0),0)</f>
        <v>1</v>
      </c>
    </row>
    <row r="63" spans="1:7" x14ac:dyDescent="0.2">
      <c r="A63" s="1" t="s">
        <v>2222</v>
      </c>
      <c r="B63" s="104">
        <v>2</v>
      </c>
      <c r="C63" s="104">
        <v>2</v>
      </c>
      <c r="D63" s="1" t="s">
        <v>2168</v>
      </c>
      <c r="E63" s="4"/>
      <c r="F63" s="106">
        <f>IF(COUNTIF($A$4:$A63,$A63)=1,1,0)</f>
        <v>0</v>
      </c>
      <c r="G63" s="106" cm="1">
        <f t="array" ref="G63">IF($F63=1,IF(SUMPRODUCT(--ISNUMBER(SEARCH(","&amp;$A63&amp;",",'Parts list'!$Z$4:$Z$185)))&gt;0,1,0),0)</f>
        <v>0</v>
      </c>
    </row>
    <row r="64" spans="1:7" x14ac:dyDescent="0.2">
      <c r="A64" s="1" t="s">
        <v>2224</v>
      </c>
      <c r="B64" s="104">
        <v>1</v>
      </c>
      <c r="C64" s="104">
        <v>1</v>
      </c>
      <c r="D64" s="1" t="s">
        <v>2225</v>
      </c>
      <c r="E64" s="4" t="s">
        <v>169</v>
      </c>
      <c r="F64" s="106">
        <f>IF(COUNTIF($A$4:$A64,$A64)=1,1,0)</f>
        <v>1</v>
      </c>
      <c r="G64" s="106" cm="1">
        <f t="array" ref="G64">IF($F64=1,IF(SUMPRODUCT(--ISNUMBER(SEARCH(","&amp;$A64&amp;",",'Parts list'!$Z$4:$Z$185)))&gt;0,1,0),0)</f>
        <v>1</v>
      </c>
    </row>
    <row r="65" spans="1:7" x14ac:dyDescent="0.2">
      <c r="A65" s="1" t="s">
        <v>2224</v>
      </c>
      <c r="B65" s="104">
        <v>2</v>
      </c>
      <c r="C65" s="104">
        <v>2</v>
      </c>
      <c r="D65" s="1" t="s">
        <v>2168</v>
      </c>
      <c r="E65" s="4"/>
      <c r="F65" s="106">
        <f>IF(COUNTIF($A$4:$A65,$A65)=1,1,0)</f>
        <v>0</v>
      </c>
      <c r="G65" s="106" cm="1">
        <f t="array" ref="G65">IF($F65=1,IF(SUMPRODUCT(--ISNUMBER(SEARCH(","&amp;$A65&amp;",",'Parts list'!$Z$4:$Z$185)))&gt;0,1,0),0)</f>
        <v>0</v>
      </c>
    </row>
    <row r="66" spans="1:7" x14ac:dyDescent="0.2">
      <c r="A66" s="1" t="s">
        <v>2226</v>
      </c>
      <c r="B66" s="104">
        <v>1</v>
      </c>
      <c r="C66" s="104">
        <v>1</v>
      </c>
      <c r="D66" s="1" t="s">
        <v>2223</v>
      </c>
      <c r="E66" s="4" t="s">
        <v>2227</v>
      </c>
      <c r="F66" s="106">
        <f>IF(COUNTIF($A$4:$A66,$A66)=1,1,0)</f>
        <v>1</v>
      </c>
      <c r="G66" s="106" cm="1">
        <f t="array" ref="G66">IF($F66=1,IF(SUMPRODUCT(--ISNUMBER(SEARCH(","&amp;$A66&amp;",",'Parts list'!$Z$4:$Z$185)))&gt;0,1,0),0)</f>
        <v>1</v>
      </c>
    </row>
    <row r="67" spans="1:7" x14ac:dyDescent="0.2">
      <c r="A67" s="1" t="s">
        <v>2226</v>
      </c>
      <c r="B67" s="104">
        <v>2</v>
      </c>
      <c r="C67" s="104">
        <v>2</v>
      </c>
      <c r="D67" s="1" t="s">
        <v>2168</v>
      </c>
      <c r="E67" s="4"/>
      <c r="F67" s="106">
        <f>IF(COUNTIF($A$4:$A67,$A67)=1,1,0)</f>
        <v>0</v>
      </c>
      <c r="G67" s="106" cm="1">
        <f t="array" ref="G67">IF($F67=1,IF(SUMPRODUCT(--ISNUMBER(SEARCH(","&amp;$A67&amp;",",'Parts list'!$Z$4:$Z$185)))&gt;0,1,0),0)</f>
        <v>0</v>
      </c>
    </row>
    <row r="68" spans="1:7" x14ac:dyDescent="0.2">
      <c r="A68" s="1" t="s">
        <v>2228</v>
      </c>
      <c r="B68" s="104">
        <v>1</v>
      </c>
      <c r="C68" s="104">
        <v>1</v>
      </c>
      <c r="D68" s="1" t="s">
        <v>2225</v>
      </c>
      <c r="E68" s="4" t="s">
        <v>2229</v>
      </c>
      <c r="F68" s="106">
        <f>IF(COUNTIF($A$4:$A68,$A68)=1,1,0)</f>
        <v>1</v>
      </c>
      <c r="G68" s="106" cm="1">
        <f t="array" ref="G68">IF($F68=1,IF(SUMPRODUCT(--ISNUMBER(SEARCH(","&amp;$A68&amp;",",'Parts list'!$Z$4:$Z$185)))&gt;0,1,0),0)</f>
        <v>1</v>
      </c>
    </row>
    <row r="69" spans="1:7" x14ac:dyDescent="0.2">
      <c r="A69" s="1" t="s">
        <v>2228</v>
      </c>
      <c r="B69" s="104">
        <v>2</v>
      </c>
      <c r="C69" s="104">
        <v>2</v>
      </c>
      <c r="D69" s="1" t="s">
        <v>2168</v>
      </c>
      <c r="E69" s="4"/>
      <c r="F69" s="106">
        <f>IF(COUNTIF($A$4:$A69,$A69)=1,1,0)</f>
        <v>0</v>
      </c>
      <c r="G69" s="106" cm="1">
        <f t="array" ref="G69">IF($F69=1,IF(SUMPRODUCT(--ISNUMBER(SEARCH(","&amp;$A69&amp;",",'Parts list'!$Z$4:$Z$185)))&gt;0,1,0),0)</f>
        <v>0</v>
      </c>
    </row>
    <row r="70" spans="1:7" x14ac:dyDescent="0.2">
      <c r="A70" s="1" t="s">
        <v>2230</v>
      </c>
      <c r="B70" s="104">
        <v>1</v>
      </c>
      <c r="C70" s="104">
        <v>1</v>
      </c>
      <c r="D70" s="1" t="s">
        <v>2231</v>
      </c>
      <c r="E70" s="4" t="s">
        <v>2232</v>
      </c>
      <c r="F70" s="106">
        <f>IF(COUNTIF($A$4:$A70,$A70)=1,1,0)</f>
        <v>1</v>
      </c>
      <c r="G70" s="106" cm="1">
        <f t="array" ref="G70">IF($F70=1,IF(SUMPRODUCT(--ISNUMBER(SEARCH(","&amp;$A70&amp;",",'Parts list'!$Z$4:$Z$185)))&gt;0,1,0),0)</f>
        <v>1</v>
      </c>
    </row>
    <row r="71" spans="1:7" x14ac:dyDescent="0.2">
      <c r="A71" s="1" t="s">
        <v>2230</v>
      </c>
      <c r="B71" s="104">
        <v>2</v>
      </c>
      <c r="C71" s="104">
        <v>2</v>
      </c>
      <c r="D71" s="1" t="s">
        <v>2168</v>
      </c>
      <c r="E71" s="4"/>
      <c r="F71" s="106">
        <f>IF(COUNTIF($A$4:$A71,$A71)=1,1,0)</f>
        <v>0</v>
      </c>
      <c r="G71" s="106" cm="1">
        <f t="array" ref="G71">IF($F71=1,IF(SUMPRODUCT(--ISNUMBER(SEARCH(","&amp;$A71&amp;",",'Parts list'!$Z$4:$Z$185)))&gt;0,1,0),0)</f>
        <v>0</v>
      </c>
    </row>
    <row r="72" spans="1:7" x14ac:dyDescent="0.2">
      <c r="A72" s="1" t="s">
        <v>2233</v>
      </c>
      <c r="B72" s="104">
        <v>1</v>
      </c>
      <c r="C72" s="104">
        <v>1</v>
      </c>
      <c r="D72" s="1" t="s">
        <v>2234</v>
      </c>
      <c r="E72" s="4" t="s">
        <v>2235</v>
      </c>
      <c r="F72" s="106">
        <f>IF(COUNTIF($A$4:$A72,$A72)=1,1,0)</f>
        <v>1</v>
      </c>
      <c r="G72" s="106" cm="1">
        <f t="array" ref="G72">IF($F72=1,IF(SUMPRODUCT(--ISNUMBER(SEARCH(","&amp;$A72&amp;",",'Parts list'!$Z$4:$Z$185)))&gt;0,1,0),0)</f>
        <v>1</v>
      </c>
    </row>
    <row r="73" spans="1:7" x14ac:dyDescent="0.2">
      <c r="A73" s="1" t="s">
        <v>2233</v>
      </c>
      <c r="B73" s="104">
        <v>2</v>
      </c>
      <c r="C73" s="104">
        <v>2</v>
      </c>
      <c r="D73" s="1" t="s">
        <v>2168</v>
      </c>
      <c r="E73" s="4"/>
      <c r="F73" s="106">
        <f>IF(COUNTIF($A$4:$A73,$A73)=1,1,0)</f>
        <v>0</v>
      </c>
      <c r="G73" s="106" cm="1">
        <f t="array" ref="G73">IF($F73=1,IF(SUMPRODUCT(--ISNUMBER(SEARCH(","&amp;$A73&amp;",",'Parts list'!$Z$4:$Z$185)))&gt;0,1,0),0)</f>
        <v>0</v>
      </c>
    </row>
    <row r="74" spans="1:7" x14ac:dyDescent="0.2">
      <c r="A74" s="1" t="s">
        <v>2236</v>
      </c>
      <c r="B74" s="104">
        <v>1</v>
      </c>
      <c r="C74" s="104">
        <v>1</v>
      </c>
      <c r="D74" s="1" t="s">
        <v>2237</v>
      </c>
      <c r="E74" s="4" t="s">
        <v>2238</v>
      </c>
      <c r="F74" s="106">
        <f>IF(COUNTIF($A$4:$A74,$A74)=1,1,0)</f>
        <v>1</v>
      </c>
      <c r="G74" s="106" cm="1">
        <f t="array" ref="G74">IF($F74=1,IF(SUMPRODUCT(--ISNUMBER(SEARCH(","&amp;$A74&amp;",",'Parts list'!$Z$4:$Z$185)))&gt;0,1,0),0)</f>
        <v>1</v>
      </c>
    </row>
    <row r="75" spans="1:7" x14ac:dyDescent="0.2">
      <c r="A75" s="1" t="s">
        <v>2236</v>
      </c>
      <c r="B75" s="104">
        <v>2</v>
      </c>
      <c r="C75" s="104">
        <v>2</v>
      </c>
      <c r="D75" s="1" t="s">
        <v>2168</v>
      </c>
      <c r="E75" s="4"/>
      <c r="F75" s="106">
        <f>IF(COUNTIF($A$4:$A75,$A75)=1,1,0)</f>
        <v>0</v>
      </c>
      <c r="G75" s="106" cm="1">
        <f t="array" ref="G75">IF($F75=1,IF(SUMPRODUCT(--ISNUMBER(SEARCH(","&amp;$A75&amp;",",'Parts list'!$Z$4:$Z$185)))&gt;0,1,0),0)</f>
        <v>0</v>
      </c>
    </row>
    <row r="76" spans="1:7" x14ac:dyDescent="0.2">
      <c r="A76" s="1" t="s">
        <v>2239</v>
      </c>
      <c r="B76" s="104">
        <v>1</v>
      </c>
      <c r="C76" s="104">
        <v>1</v>
      </c>
      <c r="D76" s="1" t="s">
        <v>2237</v>
      </c>
      <c r="E76" s="4" t="s">
        <v>2240</v>
      </c>
      <c r="F76" s="106">
        <f>IF(COUNTIF($A$4:$A76,$A76)=1,1,0)</f>
        <v>1</v>
      </c>
      <c r="G76" s="106" cm="1">
        <f t="array" ref="G76">IF($F76=1,IF(SUMPRODUCT(--ISNUMBER(SEARCH(","&amp;$A76&amp;",",'Parts list'!$Z$4:$Z$185)))&gt;0,1,0),0)</f>
        <v>1</v>
      </c>
    </row>
    <row r="77" spans="1:7" x14ac:dyDescent="0.2">
      <c r="A77" s="1" t="s">
        <v>2239</v>
      </c>
      <c r="B77" s="104">
        <v>2</v>
      </c>
      <c r="C77" s="104">
        <v>2</v>
      </c>
      <c r="D77" s="1" t="s">
        <v>2168</v>
      </c>
      <c r="E77" s="4"/>
      <c r="F77" s="106">
        <f>IF(COUNTIF($A$4:$A77,$A77)=1,1,0)</f>
        <v>0</v>
      </c>
      <c r="G77" s="106" cm="1">
        <f t="array" ref="G77">IF($F77=1,IF(SUMPRODUCT(--ISNUMBER(SEARCH(","&amp;$A77&amp;",",'Parts list'!$Z$4:$Z$185)))&gt;0,1,0),0)</f>
        <v>0</v>
      </c>
    </row>
    <row r="78" spans="1:7" x14ac:dyDescent="0.2">
      <c r="A78" s="1" t="s">
        <v>535</v>
      </c>
      <c r="B78" s="104">
        <v>1</v>
      </c>
      <c r="C78" s="104">
        <v>1</v>
      </c>
      <c r="D78" s="1" t="s">
        <v>2208</v>
      </c>
      <c r="E78" s="4"/>
      <c r="F78" s="106">
        <f>IF(COUNTIF($A$4:$A78,$A78)=1,1,0)</f>
        <v>1</v>
      </c>
      <c r="G78" s="106" cm="1">
        <f t="array" ref="G78">IF($F78=1,IF(SUMPRODUCT(--ISNUMBER(SEARCH(","&amp;$A78&amp;",",'Parts list'!$Z$4:$Z$185)))&gt;0,1,0),0)</f>
        <v>1</v>
      </c>
    </row>
    <row r="79" spans="1:7" x14ac:dyDescent="0.2">
      <c r="A79" s="1" t="s">
        <v>535</v>
      </c>
      <c r="B79" s="104">
        <v>2</v>
      </c>
      <c r="C79" s="104">
        <v>2</v>
      </c>
      <c r="D79" s="1" t="s">
        <v>2168</v>
      </c>
      <c r="E79" s="4"/>
      <c r="F79" s="106">
        <f>IF(COUNTIF($A$4:$A79,$A79)=1,1,0)</f>
        <v>0</v>
      </c>
      <c r="G79" s="106" cm="1">
        <f t="array" ref="G79">IF($F79=1,IF(SUMPRODUCT(--ISNUMBER(SEARCH(","&amp;$A79&amp;",",'Parts list'!$Z$4:$Z$185)))&gt;0,1,0),0)</f>
        <v>0</v>
      </c>
    </row>
    <row r="80" spans="1:7" x14ac:dyDescent="0.2">
      <c r="A80" s="1" t="s">
        <v>540</v>
      </c>
      <c r="B80" s="104">
        <v>1</v>
      </c>
      <c r="C80" s="104">
        <v>1</v>
      </c>
      <c r="D80" s="1" t="s">
        <v>2237</v>
      </c>
      <c r="E80" s="4"/>
      <c r="F80" s="106">
        <f>IF(COUNTIF($A$4:$A80,$A80)=1,1,0)</f>
        <v>1</v>
      </c>
      <c r="G80" s="106" cm="1">
        <f t="array" ref="G80">IF($F80=1,IF(SUMPRODUCT(--ISNUMBER(SEARCH(","&amp;$A80&amp;",",'Parts list'!$Z$4:$Z$185)))&gt;0,1,0),0)</f>
        <v>1</v>
      </c>
    </row>
    <row r="81" spans="1:7" x14ac:dyDescent="0.2">
      <c r="A81" s="1" t="s">
        <v>540</v>
      </c>
      <c r="B81" s="104">
        <v>2</v>
      </c>
      <c r="C81" s="104">
        <v>2</v>
      </c>
      <c r="D81" s="1" t="s">
        <v>2168</v>
      </c>
      <c r="E81" s="4"/>
      <c r="F81" s="106">
        <f>IF(COUNTIF($A$4:$A81,$A81)=1,1,0)</f>
        <v>0</v>
      </c>
      <c r="G81" s="106" cm="1">
        <f t="array" ref="G81">IF($F81=1,IF(SUMPRODUCT(--ISNUMBER(SEARCH(","&amp;$A81&amp;",",'Parts list'!$Z$4:$Z$185)))&gt;0,1,0),0)</f>
        <v>0</v>
      </c>
    </row>
    <row r="82" spans="1:7" x14ac:dyDescent="0.2">
      <c r="A82" s="1" t="s">
        <v>2241</v>
      </c>
      <c r="B82" s="104">
        <v>1</v>
      </c>
      <c r="C82" s="104">
        <v>1</v>
      </c>
      <c r="D82" s="1" t="s">
        <v>2242</v>
      </c>
      <c r="E82" s="4" t="s">
        <v>2243</v>
      </c>
      <c r="F82" s="106">
        <f>IF(COUNTIF($A$4:$A82,$A82)=1,1,0)</f>
        <v>1</v>
      </c>
      <c r="G82" s="106" cm="1">
        <f t="array" ref="G82">IF($F82=1,IF(SUMPRODUCT(--ISNUMBER(SEARCH(","&amp;$A82&amp;",",'Parts list'!$Z$4:$Z$185)))&gt;0,1,0),0)</f>
        <v>1</v>
      </c>
    </row>
    <row r="83" spans="1:7" x14ac:dyDescent="0.2">
      <c r="A83" s="1" t="s">
        <v>2241</v>
      </c>
      <c r="B83" s="104">
        <v>2</v>
      </c>
      <c r="C83" s="104">
        <v>2</v>
      </c>
      <c r="D83" s="1" t="s">
        <v>2244</v>
      </c>
      <c r="E83" s="4"/>
      <c r="F83" s="106">
        <f>IF(COUNTIF($A$4:$A83,$A83)=1,1,0)</f>
        <v>0</v>
      </c>
      <c r="G83" s="106" cm="1">
        <f t="array" ref="G83">IF($F83=1,IF(SUMPRODUCT(--ISNUMBER(SEARCH(","&amp;$A83&amp;",",'Parts list'!$Z$4:$Z$185)))&gt;0,1,0),0)</f>
        <v>0</v>
      </c>
    </row>
    <row r="84" spans="1:7" x14ac:dyDescent="0.2">
      <c r="A84" s="1" t="s">
        <v>2245</v>
      </c>
      <c r="B84" s="104">
        <v>1</v>
      </c>
      <c r="C84" s="104">
        <v>1</v>
      </c>
      <c r="D84" s="1" t="s">
        <v>2246</v>
      </c>
      <c r="E84" s="4" t="s">
        <v>2247</v>
      </c>
      <c r="F84" s="106">
        <f>IF(COUNTIF($A$4:$A84,$A84)=1,1,0)</f>
        <v>1</v>
      </c>
      <c r="G84" s="106" cm="1">
        <f t="array" ref="G84">IF($F84=1,IF(SUMPRODUCT(--ISNUMBER(SEARCH(","&amp;$A84&amp;",",'Parts list'!$Z$4:$Z$185)))&gt;0,1,0),0)</f>
        <v>1</v>
      </c>
    </row>
    <row r="85" spans="1:7" x14ac:dyDescent="0.2">
      <c r="A85" s="1" t="s">
        <v>2245</v>
      </c>
      <c r="B85" s="104">
        <v>2</v>
      </c>
      <c r="C85" s="104">
        <v>2</v>
      </c>
      <c r="D85" s="1" t="s">
        <v>2168</v>
      </c>
      <c r="E85" s="4"/>
      <c r="F85" s="106">
        <f>IF(COUNTIF($A$4:$A85,$A85)=1,1,0)</f>
        <v>0</v>
      </c>
      <c r="G85" s="106" cm="1">
        <f t="array" ref="G85">IF($F85=1,IF(SUMPRODUCT(--ISNUMBER(SEARCH(","&amp;$A85&amp;",",'Parts list'!$Z$4:$Z$185)))&gt;0,1,0),0)</f>
        <v>0</v>
      </c>
    </row>
    <row r="86" spans="1:7" x14ac:dyDescent="0.2">
      <c r="A86" s="1" t="s">
        <v>2248</v>
      </c>
      <c r="B86" s="104">
        <v>1</v>
      </c>
      <c r="C86" s="104">
        <v>1</v>
      </c>
      <c r="D86" s="1" t="s">
        <v>2249</v>
      </c>
      <c r="E86" s="4" t="s">
        <v>2243</v>
      </c>
      <c r="F86" s="106">
        <f>IF(COUNTIF($A$4:$A86,$A86)=1,1,0)</f>
        <v>1</v>
      </c>
      <c r="G86" s="106" cm="1">
        <f t="array" ref="G86">IF($F86=1,IF(SUMPRODUCT(--ISNUMBER(SEARCH(","&amp;$A86&amp;",",'Parts list'!$Z$4:$Z$185)))&gt;0,1,0),0)</f>
        <v>1</v>
      </c>
    </row>
    <row r="87" spans="1:7" x14ac:dyDescent="0.2">
      <c r="A87" s="1" t="s">
        <v>2248</v>
      </c>
      <c r="B87" s="104">
        <v>2</v>
      </c>
      <c r="C87" s="104">
        <v>2</v>
      </c>
      <c r="D87" s="1" t="s">
        <v>2250</v>
      </c>
      <c r="E87" s="4"/>
      <c r="F87" s="106">
        <f>IF(COUNTIF($A$4:$A87,$A87)=1,1,0)</f>
        <v>0</v>
      </c>
      <c r="G87" s="106" cm="1">
        <f t="array" ref="G87">IF($F87=1,IF(SUMPRODUCT(--ISNUMBER(SEARCH(","&amp;$A87&amp;",",'Parts list'!$Z$4:$Z$185)))&gt;0,1,0),0)</f>
        <v>0</v>
      </c>
    </row>
    <row r="88" spans="1:7" x14ac:dyDescent="0.2">
      <c r="A88" s="1" t="s">
        <v>2251</v>
      </c>
      <c r="B88" s="104">
        <v>1</v>
      </c>
      <c r="C88" s="104">
        <v>1</v>
      </c>
      <c r="D88" s="1" t="s">
        <v>2252</v>
      </c>
      <c r="E88" s="4" t="s">
        <v>2247</v>
      </c>
      <c r="F88" s="106">
        <f>IF(COUNTIF($A$4:$A88,$A88)=1,1,0)</f>
        <v>1</v>
      </c>
      <c r="G88" s="106" cm="1">
        <f t="array" ref="G88">IF($F88=1,IF(SUMPRODUCT(--ISNUMBER(SEARCH(","&amp;$A88&amp;",",'Parts list'!$Z$4:$Z$185)))&gt;0,1,0),0)</f>
        <v>1</v>
      </c>
    </row>
    <row r="89" spans="1:7" x14ac:dyDescent="0.2">
      <c r="A89" s="1" t="s">
        <v>2251</v>
      </c>
      <c r="B89" s="104">
        <v>2</v>
      </c>
      <c r="C89" s="104">
        <v>2</v>
      </c>
      <c r="D89" s="1" t="s">
        <v>2168</v>
      </c>
      <c r="E89" s="4"/>
      <c r="F89" s="106">
        <f>IF(COUNTIF($A$4:$A89,$A89)=1,1,0)</f>
        <v>0</v>
      </c>
      <c r="G89" s="106" cm="1">
        <f t="array" ref="G89">IF($F89=1,IF(SUMPRODUCT(--ISNUMBER(SEARCH(","&amp;$A89&amp;",",'Parts list'!$Z$4:$Z$185)))&gt;0,1,0),0)</f>
        <v>0</v>
      </c>
    </row>
    <row r="90" spans="1:7" x14ac:dyDescent="0.2">
      <c r="A90" s="1" t="s">
        <v>2253</v>
      </c>
      <c r="B90" s="104">
        <v>1</v>
      </c>
      <c r="C90" s="104">
        <v>1</v>
      </c>
      <c r="D90" s="1" t="s">
        <v>2254</v>
      </c>
      <c r="E90" s="4" t="s">
        <v>2243</v>
      </c>
      <c r="F90" s="106">
        <f>IF(COUNTIF($A$4:$A90,$A90)=1,1,0)</f>
        <v>1</v>
      </c>
      <c r="G90" s="106" cm="1">
        <f t="array" ref="G90">IF($F90=1,IF(SUMPRODUCT(--ISNUMBER(SEARCH(","&amp;$A90&amp;",",'Parts list'!$Z$4:$Z$185)))&gt;0,1,0),0)</f>
        <v>1</v>
      </c>
    </row>
    <row r="91" spans="1:7" x14ac:dyDescent="0.2">
      <c r="A91" s="1" t="s">
        <v>2253</v>
      </c>
      <c r="B91" s="104">
        <v>2</v>
      </c>
      <c r="C91" s="104">
        <v>2</v>
      </c>
      <c r="D91" s="1" t="s">
        <v>2255</v>
      </c>
      <c r="E91" s="4"/>
      <c r="F91" s="106">
        <f>IF(COUNTIF($A$4:$A91,$A91)=1,1,0)</f>
        <v>0</v>
      </c>
      <c r="G91" s="106" cm="1">
        <f t="array" ref="G91">IF($F91=1,IF(SUMPRODUCT(--ISNUMBER(SEARCH(","&amp;$A91&amp;",",'Parts list'!$Z$4:$Z$185)))&gt;0,1,0),0)</f>
        <v>0</v>
      </c>
    </row>
    <row r="92" spans="1:7" x14ac:dyDescent="0.2">
      <c r="A92" s="1" t="s">
        <v>2256</v>
      </c>
      <c r="B92" s="104">
        <v>1</v>
      </c>
      <c r="C92" s="104">
        <v>1</v>
      </c>
      <c r="D92" s="1" t="s">
        <v>2257</v>
      </c>
      <c r="E92" s="4" t="s">
        <v>2247</v>
      </c>
      <c r="F92" s="106">
        <f>IF(COUNTIF($A$4:$A92,$A92)=1,1,0)</f>
        <v>1</v>
      </c>
      <c r="G92" s="106" cm="1">
        <f t="array" ref="G92">IF($F92=1,IF(SUMPRODUCT(--ISNUMBER(SEARCH(","&amp;$A92&amp;",",'Parts list'!$Z$4:$Z$185)))&gt;0,1,0),0)</f>
        <v>1</v>
      </c>
    </row>
    <row r="93" spans="1:7" x14ac:dyDescent="0.2">
      <c r="A93" s="1" t="s">
        <v>2256</v>
      </c>
      <c r="B93" s="104">
        <v>2</v>
      </c>
      <c r="C93" s="104">
        <v>2</v>
      </c>
      <c r="D93" s="1" t="s">
        <v>2168</v>
      </c>
      <c r="E93" s="4"/>
      <c r="F93" s="106">
        <f>IF(COUNTIF($A$4:$A93,$A93)=1,1,0)</f>
        <v>0</v>
      </c>
      <c r="G93" s="106" cm="1">
        <f t="array" ref="G93">IF($F93=1,IF(SUMPRODUCT(--ISNUMBER(SEARCH(","&amp;$A93&amp;",",'Parts list'!$Z$4:$Z$185)))&gt;0,1,0),0)</f>
        <v>0</v>
      </c>
    </row>
    <row r="94" spans="1:7" x14ac:dyDescent="0.2">
      <c r="A94" s="1" t="s">
        <v>2258</v>
      </c>
      <c r="B94" s="104">
        <v>1</v>
      </c>
      <c r="C94" s="104">
        <v>1</v>
      </c>
      <c r="D94" s="1" t="s">
        <v>2259</v>
      </c>
      <c r="E94" s="4" t="s">
        <v>2243</v>
      </c>
      <c r="F94" s="106">
        <f>IF(COUNTIF($A$4:$A94,$A94)=1,1,0)</f>
        <v>1</v>
      </c>
      <c r="G94" s="106" cm="1">
        <f t="array" ref="G94">IF($F94=1,IF(SUMPRODUCT(--ISNUMBER(SEARCH(","&amp;$A94&amp;",",'Parts list'!$Z$4:$Z$185)))&gt;0,1,0),0)</f>
        <v>1</v>
      </c>
    </row>
    <row r="95" spans="1:7" x14ac:dyDescent="0.2">
      <c r="A95" s="1" t="s">
        <v>2258</v>
      </c>
      <c r="B95" s="104">
        <v>2</v>
      </c>
      <c r="C95" s="104">
        <v>2</v>
      </c>
      <c r="D95" s="1" t="s">
        <v>2260</v>
      </c>
      <c r="E95" s="4"/>
      <c r="F95" s="106">
        <f>IF(COUNTIF($A$4:$A95,$A95)=1,1,0)</f>
        <v>0</v>
      </c>
      <c r="G95" s="106" cm="1">
        <f t="array" ref="G95">IF($F95=1,IF(SUMPRODUCT(--ISNUMBER(SEARCH(","&amp;$A95&amp;",",'Parts list'!$Z$4:$Z$185)))&gt;0,1,0),0)</f>
        <v>0</v>
      </c>
    </row>
    <row r="96" spans="1:7" x14ac:dyDescent="0.2">
      <c r="A96" s="1" t="s">
        <v>2261</v>
      </c>
      <c r="B96" s="104">
        <v>1</v>
      </c>
      <c r="C96" s="104">
        <v>1</v>
      </c>
      <c r="D96" s="1" t="s">
        <v>2262</v>
      </c>
      <c r="E96" s="4" t="s">
        <v>2247</v>
      </c>
      <c r="F96" s="106">
        <f>IF(COUNTIF($A$4:$A96,$A96)=1,1,0)</f>
        <v>1</v>
      </c>
      <c r="G96" s="106" cm="1">
        <f t="array" ref="G96">IF($F96=1,IF(SUMPRODUCT(--ISNUMBER(SEARCH(","&amp;$A96&amp;",",'Parts list'!$Z$4:$Z$185)))&gt;0,1,0),0)</f>
        <v>1</v>
      </c>
    </row>
    <row r="97" spans="1:7" x14ac:dyDescent="0.2">
      <c r="A97" s="1" t="s">
        <v>2261</v>
      </c>
      <c r="B97" s="104">
        <v>2</v>
      </c>
      <c r="C97" s="104">
        <v>2</v>
      </c>
      <c r="D97" s="1" t="s">
        <v>2168</v>
      </c>
      <c r="E97" s="4"/>
      <c r="F97" s="106">
        <f>IF(COUNTIF($A$4:$A97,$A97)=1,1,0)</f>
        <v>0</v>
      </c>
      <c r="G97" s="106" cm="1">
        <f t="array" ref="G97">IF($F97=1,IF(SUMPRODUCT(--ISNUMBER(SEARCH(","&amp;$A97&amp;",",'Parts list'!$Z$4:$Z$185)))&gt;0,1,0),0)</f>
        <v>0</v>
      </c>
    </row>
    <row r="98" spans="1:7" x14ac:dyDescent="0.2">
      <c r="A98" s="1" t="s">
        <v>2263</v>
      </c>
      <c r="B98" s="104">
        <v>1</v>
      </c>
      <c r="C98" s="104">
        <v>1</v>
      </c>
      <c r="D98" s="1" t="s">
        <v>2264</v>
      </c>
      <c r="E98" s="4" t="s">
        <v>2265</v>
      </c>
      <c r="F98" s="106">
        <f>IF(COUNTIF($A$4:$A98,$A98)=1,1,0)</f>
        <v>1</v>
      </c>
      <c r="G98" s="106" cm="1">
        <f t="array" ref="G98">IF($F98=1,IF(SUMPRODUCT(--ISNUMBER(SEARCH(","&amp;$A98&amp;",",'Parts list'!$Z$4:$Z$185)))&gt;0,1,0),0)</f>
        <v>1</v>
      </c>
    </row>
    <row r="99" spans="1:7" x14ac:dyDescent="0.2">
      <c r="A99" s="1" t="s">
        <v>2263</v>
      </c>
      <c r="B99" s="104">
        <v>2</v>
      </c>
      <c r="C99" s="104">
        <v>2</v>
      </c>
      <c r="D99" s="1" t="s">
        <v>2168</v>
      </c>
      <c r="E99" s="4"/>
      <c r="F99" s="106">
        <f>IF(COUNTIF($A$4:$A99,$A99)=1,1,0)</f>
        <v>0</v>
      </c>
      <c r="G99" s="106" cm="1">
        <f t="array" ref="G99">IF($F99=1,IF(SUMPRODUCT(--ISNUMBER(SEARCH(","&amp;$A99&amp;",",'Parts list'!$Z$4:$Z$185)))&gt;0,1,0),0)</f>
        <v>0</v>
      </c>
    </row>
    <row r="100" spans="1:7" x14ac:dyDescent="0.2">
      <c r="A100" s="1" t="s">
        <v>2266</v>
      </c>
      <c r="B100" s="104">
        <v>1</v>
      </c>
      <c r="C100" s="104">
        <v>1</v>
      </c>
      <c r="D100" s="1" t="s">
        <v>2267</v>
      </c>
      <c r="E100" s="4" t="s">
        <v>2265</v>
      </c>
      <c r="F100" s="106">
        <f>IF(COUNTIF($A$4:$A100,$A100)=1,1,0)</f>
        <v>1</v>
      </c>
      <c r="G100" s="106" cm="1">
        <f t="array" ref="G100">IF($F100=1,IF(SUMPRODUCT(--ISNUMBER(SEARCH(","&amp;$A100&amp;",",'Parts list'!$Z$4:$Z$185)))&gt;0,1,0),0)</f>
        <v>1</v>
      </c>
    </row>
    <row r="101" spans="1:7" x14ac:dyDescent="0.2">
      <c r="A101" s="1" t="s">
        <v>2266</v>
      </c>
      <c r="B101" s="104">
        <v>2</v>
      </c>
      <c r="C101" s="104">
        <v>2</v>
      </c>
      <c r="D101" s="1" t="s">
        <v>2168</v>
      </c>
      <c r="E101" s="4"/>
      <c r="F101" s="106">
        <f>IF(COUNTIF($A$4:$A101,$A101)=1,1,0)</f>
        <v>0</v>
      </c>
      <c r="G101" s="106" cm="1">
        <f t="array" ref="G101">IF($F101=1,IF(SUMPRODUCT(--ISNUMBER(SEARCH(","&amp;$A101&amp;",",'Parts list'!$Z$4:$Z$185)))&gt;0,1,0),0)</f>
        <v>0</v>
      </c>
    </row>
    <row r="102" spans="1:7" x14ac:dyDescent="0.2">
      <c r="A102" s="1" t="s">
        <v>2268</v>
      </c>
      <c r="B102" s="104">
        <v>1</v>
      </c>
      <c r="C102" s="104">
        <v>1</v>
      </c>
      <c r="D102" s="1" t="s">
        <v>2264</v>
      </c>
      <c r="E102" s="4" t="s">
        <v>2269</v>
      </c>
      <c r="F102" s="106">
        <f>IF(COUNTIF($A$4:$A102,$A102)=1,1,0)</f>
        <v>1</v>
      </c>
      <c r="G102" s="106" cm="1">
        <f t="array" ref="G102">IF($F102=1,IF(SUMPRODUCT(--ISNUMBER(SEARCH(","&amp;$A102&amp;",",'Parts list'!$Z$4:$Z$185)))&gt;0,1,0),0)</f>
        <v>1</v>
      </c>
    </row>
    <row r="103" spans="1:7" x14ac:dyDescent="0.2">
      <c r="A103" s="1" t="s">
        <v>2268</v>
      </c>
      <c r="B103" s="104">
        <v>2</v>
      </c>
      <c r="C103" s="104">
        <v>2</v>
      </c>
      <c r="D103" s="1" t="s">
        <v>2168</v>
      </c>
      <c r="E103" s="4"/>
      <c r="F103" s="106">
        <f>IF(COUNTIF($A$4:$A103,$A103)=1,1,0)</f>
        <v>0</v>
      </c>
      <c r="G103" s="106" cm="1">
        <f t="array" ref="G103">IF($F103=1,IF(SUMPRODUCT(--ISNUMBER(SEARCH(","&amp;$A103&amp;",",'Parts list'!$Z$4:$Z$185)))&gt;0,1,0),0)</f>
        <v>0</v>
      </c>
    </row>
    <row r="104" spans="1:7" x14ac:dyDescent="0.2">
      <c r="A104" s="1" t="s">
        <v>2270</v>
      </c>
      <c r="B104" s="104">
        <v>1</v>
      </c>
      <c r="C104" s="104">
        <v>1</v>
      </c>
      <c r="D104" s="1" t="s">
        <v>2267</v>
      </c>
      <c r="E104" s="4" t="s">
        <v>2269</v>
      </c>
      <c r="F104" s="106">
        <f>IF(COUNTIF($A$4:$A104,$A104)=1,1,0)</f>
        <v>1</v>
      </c>
      <c r="G104" s="106" cm="1">
        <f t="array" ref="G104">IF($F104=1,IF(SUMPRODUCT(--ISNUMBER(SEARCH(","&amp;$A104&amp;",",'Parts list'!$Z$4:$Z$185)))&gt;0,1,0),0)</f>
        <v>1</v>
      </c>
    </row>
    <row r="105" spans="1:7" x14ac:dyDescent="0.2">
      <c r="A105" s="1" t="s">
        <v>2270</v>
      </c>
      <c r="B105" s="104">
        <v>2</v>
      </c>
      <c r="C105" s="104">
        <v>2</v>
      </c>
      <c r="D105" s="1" t="s">
        <v>2168</v>
      </c>
      <c r="E105" s="4"/>
      <c r="F105" s="106">
        <f>IF(COUNTIF($A$4:$A105,$A105)=1,1,0)</f>
        <v>0</v>
      </c>
      <c r="G105" s="106" cm="1">
        <f t="array" ref="G105">IF($F105=1,IF(SUMPRODUCT(--ISNUMBER(SEARCH(","&amp;$A105&amp;",",'Parts list'!$Z$4:$Z$185)))&gt;0,1,0),0)</f>
        <v>0</v>
      </c>
    </row>
    <row r="106" spans="1:7" x14ac:dyDescent="0.2">
      <c r="A106" s="1" t="s">
        <v>2271</v>
      </c>
      <c r="B106" s="104">
        <v>1</v>
      </c>
      <c r="C106" s="104">
        <v>1</v>
      </c>
      <c r="D106" s="1" t="s">
        <v>2264</v>
      </c>
      <c r="E106" s="4" t="s">
        <v>2272</v>
      </c>
      <c r="F106" s="106">
        <f>IF(COUNTIF($A$4:$A106,$A106)=1,1,0)</f>
        <v>1</v>
      </c>
      <c r="G106" s="106" cm="1">
        <f t="array" ref="G106">IF($F106=1,IF(SUMPRODUCT(--ISNUMBER(SEARCH(","&amp;$A106&amp;",",'Parts list'!$Z$4:$Z$185)))&gt;0,1,0),0)</f>
        <v>1</v>
      </c>
    </row>
    <row r="107" spans="1:7" x14ac:dyDescent="0.2">
      <c r="A107" s="1" t="s">
        <v>2271</v>
      </c>
      <c r="B107" s="104">
        <v>2</v>
      </c>
      <c r="C107" s="104">
        <v>2</v>
      </c>
      <c r="D107" s="1" t="s">
        <v>2168</v>
      </c>
      <c r="E107" s="4"/>
      <c r="F107" s="106">
        <f>IF(COUNTIF($A$4:$A107,$A107)=1,1,0)</f>
        <v>0</v>
      </c>
      <c r="G107" s="106" cm="1">
        <f t="array" ref="G107">IF($F107=1,IF(SUMPRODUCT(--ISNUMBER(SEARCH(","&amp;$A107&amp;",",'Parts list'!$Z$4:$Z$185)))&gt;0,1,0),0)</f>
        <v>0</v>
      </c>
    </row>
    <row r="108" spans="1:7" x14ac:dyDescent="0.2">
      <c r="A108" s="1" t="s">
        <v>2273</v>
      </c>
      <c r="B108" s="104">
        <v>1</v>
      </c>
      <c r="C108" s="104">
        <v>1</v>
      </c>
      <c r="D108" s="1" t="s">
        <v>2267</v>
      </c>
      <c r="E108" s="4" t="s">
        <v>2272</v>
      </c>
      <c r="F108" s="106">
        <f>IF(COUNTIF($A$4:$A108,$A108)=1,1,0)</f>
        <v>1</v>
      </c>
      <c r="G108" s="106" cm="1">
        <f t="array" ref="G108">IF($F108=1,IF(SUMPRODUCT(--ISNUMBER(SEARCH(","&amp;$A108&amp;",",'Parts list'!$Z$4:$Z$185)))&gt;0,1,0),0)</f>
        <v>1</v>
      </c>
    </row>
    <row r="109" spans="1:7" x14ac:dyDescent="0.2">
      <c r="A109" s="1" t="s">
        <v>2273</v>
      </c>
      <c r="B109" s="104">
        <v>2</v>
      </c>
      <c r="C109" s="104">
        <v>2</v>
      </c>
      <c r="D109" s="1" t="s">
        <v>2168</v>
      </c>
      <c r="E109" s="4"/>
      <c r="F109" s="106">
        <f>IF(COUNTIF($A$4:$A109,$A109)=1,1,0)</f>
        <v>0</v>
      </c>
      <c r="G109" s="106" cm="1">
        <f t="array" ref="G109">IF($F109=1,IF(SUMPRODUCT(--ISNUMBER(SEARCH(","&amp;$A109&amp;",",'Parts list'!$Z$4:$Z$185)))&gt;0,1,0),0)</f>
        <v>0</v>
      </c>
    </row>
    <row r="110" spans="1:7" x14ac:dyDescent="0.2">
      <c r="A110" s="1" t="s">
        <v>2274</v>
      </c>
      <c r="B110" s="104">
        <v>1</v>
      </c>
      <c r="C110" s="104">
        <v>1</v>
      </c>
      <c r="D110" s="1" t="s">
        <v>2264</v>
      </c>
      <c r="E110" s="4" t="s">
        <v>2275</v>
      </c>
      <c r="F110" s="106">
        <f>IF(COUNTIF($A$4:$A110,$A110)=1,1,0)</f>
        <v>1</v>
      </c>
      <c r="G110" s="106" cm="1">
        <f t="array" ref="G110">IF($F110=1,IF(SUMPRODUCT(--ISNUMBER(SEARCH(","&amp;$A110&amp;",",'Parts list'!$Z$4:$Z$185)))&gt;0,1,0),0)</f>
        <v>1</v>
      </c>
    </row>
    <row r="111" spans="1:7" x14ac:dyDescent="0.2">
      <c r="A111" s="1" t="s">
        <v>2274</v>
      </c>
      <c r="B111" s="104">
        <v>2</v>
      </c>
      <c r="C111" s="104">
        <v>2</v>
      </c>
      <c r="D111" s="1" t="s">
        <v>2168</v>
      </c>
      <c r="E111" s="4"/>
      <c r="F111" s="106">
        <f>IF(COUNTIF($A$4:$A111,$A111)=1,1,0)</f>
        <v>0</v>
      </c>
      <c r="G111" s="106" cm="1">
        <f t="array" ref="G111">IF($F111=1,IF(SUMPRODUCT(--ISNUMBER(SEARCH(","&amp;$A111&amp;",",'Parts list'!$Z$4:$Z$185)))&gt;0,1,0),0)</f>
        <v>0</v>
      </c>
    </row>
    <row r="112" spans="1:7" x14ac:dyDescent="0.2">
      <c r="A112" s="1" t="s">
        <v>2276</v>
      </c>
      <c r="B112" s="104">
        <v>1</v>
      </c>
      <c r="C112" s="104">
        <v>1</v>
      </c>
      <c r="D112" s="1" t="s">
        <v>2267</v>
      </c>
      <c r="E112" s="4" t="s">
        <v>2275</v>
      </c>
      <c r="F112" s="106">
        <f>IF(COUNTIF($A$4:$A112,$A112)=1,1,0)</f>
        <v>1</v>
      </c>
      <c r="G112" s="106" cm="1">
        <f t="array" ref="G112">IF($F112=1,IF(SUMPRODUCT(--ISNUMBER(SEARCH(","&amp;$A112&amp;",",'Parts list'!$Z$4:$Z$185)))&gt;0,1,0),0)</f>
        <v>1</v>
      </c>
    </row>
    <row r="113" spans="1:7" x14ac:dyDescent="0.2">
      <c r="A113" s="1" t="s">
        <v>2276</v>
      </c>
      <c r="B113" s="104">
        <v>2</v>
      </c>
      <c r="C113" s="104">
        <v>2</v>
      </c>
      <c r="D113" s="1" t="s">
        <v>2168</v>
      </c>
      <c r="E113" s="4"/>
      <c r="F113" s="106">
        <f>IF(COUNTIF($A$4:$A113,$A113)=1,1,0)</f>
        <v>0</v>
      </c>
      <c r="G113" s="106" cm="1">
        <f t="array" ref="G113">IF($F113=1,IF(SUMPRODUCT(--ISNUMBER(SEARCH(","&amp;$A113&amp;",",'Parts list'!$Z$4:$Z$185)))&gt;0,1,0),0)</f>
        <v>0</v>
      </c>
    </row>
    <row r="114" spans="1:7" x14ac:dyDescent="0.2">
      <c r="A114" s="1" t="s">
        <v>2277</v>
      </c>
      <c r="B114" s="104">
        <v>1</v>
      </c>
      <c r="C114" s="104">
        <v>1</v>
      </c>
      <c r="D114" s="1" t="s">
        <v>2278</v>
      </c>
      <c r="E114" s="4" t="s">
        <v>2279</v>
      </c>
      <c r="F114" s="106">
        <f>IF(COUNTIF($A$4:$A114,$A114)=1,1,0)</f>
        <v>1</v>
      </c>
      <c r="G114" s="106" cm="1">
        <f t="array" ref="G114">IF($F114=1,IF(SUMPRODUCT(--ISNUMBER(SEARCH(","&amp;$A114&amp;",",'Parts list'!$Z$4:$Z$185)))&gt;0,1,0),0)</f>
        <v>1</v>
      </c>
    </row>
    <row r="115" spans="1:7" x14ac:dyDescent="0.2">
      <c r="A115" s="1" t="s">
        <v>2277</v>
      </c>
      <c r="B115" s="104">
        <v>2</v>
      </c>
      <c r="C115" s="104">
        <v>2</v>
      </c>
      <c r="D115" s="1" t="s">
        <v>2280</v>
      </c>
      <c r="E115" s="4"/>
      <c r="F115" s="106">
        <f>IF(COUNTIF($A$4:$A115,$A115)=1,1,0)</f>
        <v>0</v>
      </c>
      <c r="G115" s="106" cm="1">
        <f t="array" ref="G115">IF($F115=1,IF(SUMPRODUCT(--ISNUMBER(SEARCH(","&amp;$A115&amp;",",'Parts list'!$Z$4:$Z$185)))&gt;0,1,0),0)</f>
        <v>0</v>
      </c>
    </row>
    <row r="116" spans="1:7" x14ac:dyDescent="0.2">
      <c r="A116" s="1" t="s">
        <v>2281</v>
      </c>
      <c r="B116" s="104">
        <v>1</v>
      </c>
      <c r="C116" s="104">
        <v>1</v>
      </c>
      <c r="D116" s="1" t="s">
        <v>2282</v>
      </c>
      <c r="E116" s="4" t="s">
        <v>2279</v>
      </c>
      <c r="F116" s="106">
        <f>IF(COUNTIF($A$4:$A116,$A116)=1,1,0)</f>
        <v>1</v>
      </c>
      <c r="G116" s="106" cm="1">
        <f t="array" ref="G116">IF($F116=1,IF(SUMPRODUCT(--ISNUMBER(SEARCH(","&amp;$A116&amp;",",'Parts list'!$Z$4:$Z$185)))&gt;0,1,0),0)</f>
        <v>1</v>
      </c>
    </row>
    <row r="117" spans="1:7" x14ac:dyDescent="0.2">
      <c r="A117" s="1" t="s">
        <v>2281</v>
      </c>
      <c r="B117" s="104">
        <v>2</v>
      </c>
      <c r="C117" s="104">
        <v>2</v>
      </c>
      <c r="D117" s="1" t="s">
        <v>2283</v>
      </c>
      <c r="E117" s="4"/>
      <c r="F117" s="106">
        <f>IF(COUNTIF($A$4:$A117,$A117)=1,1,0)</f>
        <v>0</v>
      </c>
      <c r="G117" s="106" cm="1">
        <f t="array" ref="G117">IF($F117=1,IF(SUMPRODUCT(--ISNUMBER(SEARCH(","&amp;$A117&amp;",",'Parts list'!$Z$4:$Z$185)))&gt;0,1,0),0)</f>
        <v>0</v>
      </c>
    </row>
    <row r="118" spans="1:7" x14ac:dyDescent="0.2">
      <c r="A118" s="1" t="s">
        <v>2284</v>
      </c>
      <c r="B118" s="104">
        <v>1</v>
      </c>
      <c r="C118" s="104">
        <v>1</v>
      </c>
      <c r="D118" s="1" t="s">
        <v>2285</v>
      </c>
      <c r="E118" s="4" t="s">
        <v>2279</v>
      </c>
      <c r="F118" s="106">
        <f>IF(COUNTIF($A$4:$A118,$A118)=1,1,0)</f>
        <v>1</v>
      </c>
      <c r="G118" s="106" cm="1">
        <f t="array" ref="G118">IF($F118=1,IF(SUMPRODUCT(--ISNUMBER(SEARCH(","&amp;$A118&amp;",",'Parts list'!$Z$4:$Z$185)))&gt;0,1,0),0)</f>
        <v>1</v>
      </c>
    </row>
    <row r="119" spans="1:7" x14ac:dyDescent="0.2">
      <c r="A119" s="1" t="s">
        <v>2284</v>
      </c>
      <c r="B119" s="104">
        <v>2</v>
      </c>
      <c r="C119" s="104">
        <v>2</v>
      </c>
      <c r="D119" s="1" t="s">
        <v>2286</v>
      </c>
      <c r="E119" s="4"/>
      <c r="F119" s="106">
        <f>IF(COUNTIF($A$4:$A119,$A119)=1,1,0)</f>
        <v>0</v>
      </c>
      <c r="G119" s="106" cm="1">
        <f t="array" ref="G119">IF($F119=1,IF(SUMPRODUCT(--ISNUMBER(SEARCH(","&amp;$A119&amp;",",'Parts list'!$Z$4:$Z$185)))&gt;0,1,0),0)</f>
        <v>0</v>
      </c>
    </row>
    <row r="120" spans="1:7" x14ac:dyDescent="0.2">
      <c r="A120" s="1" t="s">
        <v>2287</v>
      </c>
      <c r="B120" s="104">
        <v>1</v>
      </c>
      <c r="C120" s="104">
        <v>1</v>
      </c>
      <c r="D120" s="1" t="s">
        <v>2288</v>
      </c>
      <c r="E120" s="4" t="s">
        <v>2279</v>
      </c>
      <c r="F120" s="106">
        <f>IF(COUNTIF($A$4:$A120,$A120)=1,1,0)</f>
        <v>1</v>
      </c>
      <c r="G120" s="106" cm="1">
        <f t="array" ref="G120">IF($F120=1,IF(SUMPRODUCT(--ISNUMBER(SEARCH(","&amp;$A120&amp;",",'Parts list'!$Z$4:$Z$185)))&gt;0,1,0),0)</f>
        <v>1</v>
      </c>
    </row>
    <row r="121" spans="1:7" x14ac:dyDescent="0.2">
      <c r="A121" s="1" t="s">
        <v>2287</v>
      </c>
      <c r="B121" s="104">
        <v>2</v>
      </c>
      <c r="C121" s="104">
        <v>2</v>
      </c>
      <c r="D121" s="1" t="s">
        <v>2289</v>
      </c>
      <c r="E121" s="4"/>
      <c r="F121" s="106">
        <f>IF(COUNTIF($A$4:$A121,$A121)=1,1,0)</f>
        <v>0</v>
      </c>
      <c r="G121" s="106" cm="1">
        <f t="array" ref="G121">IF($F121=1,IF(SUMPRODUCT(--ISNUMBER(SEARCH(","&amp;$A121&amp;",",'Parts list'!$Z$4:$Z$185)))&gt;0,1,0),0)</f>
        <v>0</v>
      </c>
    </row>
    <row r="122" spans="1:7" x14ac:dyDescent="0.2">
      <c r="A122" s="1" t="s">
        <v>649</v>
      </c>
      <c r="B122" s="104">
        <v>1</v>
      </c>
      <c r="C122" s="104">
        <v>1</v>
      </c>
      <c r="D122" s="1" t="s">
        <v>2290</v>
      </c>
      <c r="E122" s="4" t="s">
        <v>2177</v>
      </c>
      <c r="F122" s="106">
        <f>IF(COUNTIF($A$4:$A122,$A122)=1,1,0)</f>
        <v>1</v>
      </c>
      <c r="G122" s="106" cm="1">
        <f t="array" ref="G122">IF($F122=1,IF(SUMPRODUCT(--ISNUMBER(SEARCH(","&amp;$A122&amp;",",'Parts list'!$Z$4:$Z$185)))&gt;0,1,0),0)</f>
        <v>1</v>
      </c>
    </row>
    <row r="123" spans="1:7" x14ac:dyDescent="0.2">
      <c r="A123" s="1" t="s">
        <v>649</v>
      </c>
      <c r="B123" s="104">
        <v>2</v>
      </c>
      <c r="C123" s="104">
        <v>2</v>
      </c>
      <c r="D123" s="1" t="s">
        <v>2168</v>
      </c>
      <c r="E123" s="4"/>
      <c r="F123" s="106">
        <f>IF(COUNTIF($A$4:$A123,$A123)=1,1,0)</f>
        <v>0</v>
      </c>
      <c r="G123" s="106" cm="1">
        <f t="array" ref="G123">IF($F123=1,IF(SUMPRODUCT(--ISNUMBER(SEARCH(","&amp;$A123&amp;",",'Parts list'!$Z$4:$Z$185)))&gt;0,1,0),0)</f>
        <v>0</v>
      </c>
    </row>
    <row r="124" spans="1:7" x14ac:dyDescent="0.2">
      <c r="A124" s="1" t="s">
        <v>2291</v>
      </c>
      <c r="B124" s="104">
        <v>1</v>
      </c>
      <c r="C124" s="104">
        <v>1</v>
      </c>
      <c r="D124" s="1" t="s">
        <v>2292</v>
      </c>
      <c r="E124" s="4" t="s">
        <v>2293</v>
      </c>
      <c r="F124" s="106">
        <f>IF(COUNTIF($A$4:$A124,$A124)=1,1,0)</f>
        <v>1</v>
      </c>
      <c r="G124" s="106" cm="1">
        <f t="array" ref="G124">IF($F124=1,IF(SUMPRODUCT(--ISNUMBER(SEARCH(","&amp;$A124&amp;",",'Parts list'!$Z$4:$Z$185)))&gt;0,1,0),0)</f>
        <v>1</v>
      </c>
    </row>
    <row r="125" spans="1:7" x14ac:dyDescent="0.2">
      <c r="A125" s="1" t="s">
        <v>2291</v>
      </c>
      <c r="B125" s="104">
        <v>2</v>
      </c>
      <c r="C125" s="104">
        <v>2</v>
      </c>
      <c r="D125" s="1" t="s">
        <v>2168</v>
      </c>
      <c r="E125" s="4"/>
      <c r="F125" s="106">
        <f>IF(COUNTIF($A$4:$A125,$A125)=1,1,0)</f>
        <v>0</v>
      </c>
      <c r="G125" s="106" cm="1">
        <f t="array" ref="G125">IF($F125=1,IF(SUMPRODUCT(--ISNUMBER(SEARCH(","&amp;$A125&amp;",",'Parts list'!$Z$4:$Z$185)))&gt;0,1,0),0)</f>
        <v>0</v>
      </c>
    </row>
    <row r="126" spans="1:7" x14ac:dyDescent="0.2">
      <c r="A126" s="1" t="s">
        <v>2294</v>
      </c>
      <c r="B126" s="104">
        <v>1</v>
      </c>
      <c r="C126" s="104">
        <v>1</v>
      </c>
      <c r="D126" s="1" t="s">
        <v>2295</v>
      </c>
      <c r="E126" s="4" t="s">
        <v>2296</v>
      </c>
      <c r="F126" s="106">
        <f>IF(COUNTIF($A$4:$A126,$A126)=1,1,0)</f>
        <v>1</v>
      </c>
      <c r="G126" s="106" cm="1">
        <f t="array" ref="G126">IF($F126=1,IF(SUMPRODUCT(--ISNUMBER(SEARCH(","&amp;$A126&amp;",",'Parts list'!$Z$4:$Z$185)))&gt;0,1,0),0)</f>
        <v>1</v>
      </c>
    </row>
    <row r="127" spans="1:7" x14ac:dyDescent="0.2">
      <c r="A127" s="1" t="s">
        <v>2294</v>
      </c>
      <c r="B127" s="104">
        <v>2</v>
      </c>
      <c r="C127" s="104">
        <v>2</v>
      </c>
      <c r="D127" s="1" t="s">
        <v>2168</v>
      </c>
      <c r="E127" s="4"/>
      <c r="F127" s="106">
        <f>IF(COUNTIF($A$4:$A127,$A127)=1,1,0)</f>
        <v>0</v>
      </c>
      <c r="G127" s="106" cm="1">
        <f t="array" ref="G127">IF($F127=1,IF(SUMPRODUCT(--ISNUMBER(SEARCH(","&amp;$A127&amp;",",'Parts list'!$Z$4:$Z$185)))&gt;0,1,0),0)</f>
        <v>0</v>
      </c>
    </row>
    <row r="128" spans="1:7" x14ac:dyDescent="0.2">
      <c r="A128" s="1" t="s">
        <v>2297</v>
      </c>
      <c r="B128" s="104">
        <v>1</v>
      </c>
      <c r="C128" s="104">
        <v>1</v>
      </c>
      <c r="D128" s="1" t="s">
        <v>2292</v>
      </c>
      <c r="E128" s="4" t="s">
        <v>2298</v>
      </c>
      <c r="F128" s="106">
        <f>IF(COUNTIF($A$4:$A128,$A128)=1,1,0)</f>
        <v>1</v>
      </c>
      <c r="G128" s="106" cm="1">
        <f t="array" ref="G128">IF($F128=1,IF(SUMPRODUCT(--ISNUMBER(SEARCH(","&amp;$A128&amp;",",'Parts list'!$Z$4:$Z$185)))&gt;0,1,0),0)</f>
        <v>1</v>
      </c>
    </row>
    <row r="129" spans="1:7" x14ac:dyDescent="0.2">
      <c r="A129" s="1" t="s">
        <v>2297</v>
      </c>
      <c r="B129" s="104">
        <v>2</v>
      </c>
      <c r="C129" s="104">
        <v>2</v>
      </c>
      <c r="D129" s="1" t="s">
        <v>2168</v>
      </c>
      <c r="E129" s="4"/>
      <c r="F129" s="106">
        <f>IF(COUNTIF($A$4:$A129,$A129)=1,1,0)</f>
        <v>0</v>
      </c>
      <c r="G129" s="106" cm="1">
        <f t="array" ref="G129">IF($F129=1,IF(SUMPRODUCT(--ISNUMBER(SEARCH(","&amp;$A129&amp;",",'Parts list'!$Z$4:$Z$185)))&gt;0,1,0),0)</f>
        <v>0</v>
      </c>
    </row>
    <row r="130" spans="1:7" x14ac:dyDescent="0.2">
      <c r="A130" s="1" t="s">
        <v>2299</v>
      </c>
      <c r="B130" s="104">
        <v>1</v>
      </c>
      <c r="C130" s="104">
        <v>1</v>
      </c>
      <c r="D130" s="1" t="s">
        <v>2295</v>
      </c>
      <c r="E130" s="4" t="s">
        <v>2300</v>
      </c>
      <c r="F130" s="106">
        <f>IF(COUNTIF($A$4:$A130,$A130)=1,1,0)</f>
        <v>1</v>
      </c>
      <c r="G130" s="106" cm="1">
        <f t="array" ref="G130">IF($F130=1,IF(SUMPRODUCT(--ISNUMBER(SEARCH(","&amp;$A130&amp;",",'Parts list'!$Z$4:$Z$185)))&gt;0,1,0),0)</f>
        <v>1</v>
      </c>
    </row>
    <row r="131" spans="1:7" x14ac:dyDescent="0.2">
      <c r="A131" s="1" t="s">
        <v>2299</v>
      </c>
      <c r="B131" s="104">
        <v>2</v>
      </c>
      <c r="C131" s="104">
        <v>2</v>
      </c>
      <c r="D131" s="1" t="s">
        <v>2168</v>
      </c>
      <c r="E131" s="4"/>
      <c r="F131" s="106">
        <f>IF(COUNTIF($A$4:$A131,$A131)=1,1,0)</f>
        <v>0</v>
      </c>
      <c r="G131" s="106" cm="1">
        <f t="array" ref="G131">IF($F131=1,IF(SUMPRODUCT(--ISNUMBER(SEARCH(","&amp;$A131&amp;",",'Parts list'!$Z$4:$Z$185)))&gt;0,1,0),0)</f>
        <v>0</v>
      </c>
    </row>
    <row r="132" spans="1:7" x14ac:dyDescent="0.2">
      <c r="A132" s="1" t="s">
        <v>2301</v>
      </c>
      <c r="B132" s="104">
        <v>1</v>
      </c>
      <c r="C132" s="104">
        <v>1</v>
      </c>
      <c r="D132" s="1" t="s">
        <v>2302</v>
      </c>
      <c r="E132" s="4" t="s">
        <v>2303</v>
      </c>
      <c r="F132" s="106">
        <f>IF(COUNTIF($A$4:$A132,$A132)=1,1,0)</f>
        <v>1</v>
      </c>
      <c r="G132" s="106" cm="1">
        <f t="array" ref="G132">IF($F132=1,IF(SUMPRODUCT(--ISNUMBER(SEARCH(","&amp;$A132&amp;",",'Parts list'!$Z$4:$Z$185)))&gt;0,1,0),0)</f>
        <v>1</v>
      </c>
    </row>
    <row r="133" spans="1:7" x14ac:dyDescent="0.2">
      <c r="A133" s="1" t="s">
        <v>2301</v>
      </c>
      <c r="B133" s="104">
        <v>2</v>
      </c>
      <c r="C133" s="104">
        <v>2</v>
      </c>
      <c r="D133" s="1" t="s">
        <v>2168</v>
      </c>
      <c r="E133" s="4"/>
      <c r="F133" s="106">
        <f>IF(COUNTIF($A$4:$A133,$A133)=1,1,0)</f>
        <v>0</v>
      </c>
      <c r="G133" s="106" cm="1">
        <f t="array" ref="G133">IF($F133=1,IF(SUMPRODUCT(--ISNUMBER(SEARCH(","&amp;$A133&amp;",",'Parts list'!$Z$4:$Z$185)))&gt;0,1,0),0)</f>
        <v>0</v>
      </c>
    </row>
    <row r="134" spans="1:7" x14ac:dyDescent="0.2">
      <c r="A134" s="1" t="s">
        <v>2304</v>
      </c>
      <c r="B134" s="104">
        <v>1</v>
      </c>
      <c r="C134" s="104">
        <v>1</v>
      </c>
      <c r="D134" s="1" t="s">
        <v>2305</v>
      </c>
      <c r="E134" s="4" t="s">
        <v>2303</v>
      </c>
      <c r="F134" s="106">
        <f>IF(COUNTIF($A$4:$A134,$A134)=1,1,0)</f>
        <v>1</v>
      </c>
      <c r="G134" s="106" cm="1">
        <f t="array" ref="G134">IF($F134=1,IF(SUMPRODUCT(--ISNUMBER(SEARCH(","&amp;$A134&amp;",",'Parts list'!$Z$4:$Z$185)))&gt;0,1,0),0)</f>
        <v>1</v>
      </c>
    </row>
    <row r="135" spans="1:7" x14ac:dyDescent="0.2">
      <c r="A135" s="1" t="s">
        <v>2304</v>
      </c>
      <c r="B135" s="104">
        <v>2</v>
      </c>
      <c r="C135" s="104">
        <v>2</v>
      </c>
      <c r="D135" s="1" t="s">
        <v>2168</v>
      </c>
      <c r="E135" s="4"/>
      <c r="F135" s="106">
        <f>IF(COUNTIF($A$4:$A135,$A135)=1,1,0)</f>
        <v>0</v>
      </c>
      <c r="G135" s="106" cm="1">
        <f t="array" ref="G135">IF($F135=1,IF(SUMPRODUCT(--ISNUMBER(SEARCH(","&amp;$A135&amp;",",'Parts list'!$Z$4:$Z$185)))&gt;0,1,0),0)</f>
        <v>0</v>
      </c>
    </row>
    <row r="136" spans="1:7" x14ac:dyDescent="0.2">
      <c r="A136" s="1" t="s">
        <v>2306</v>
      </c>
      <c r="B136" s="104">
        <v>1</v>
      </c>
      <c r="C136" s="104">
        <v>1</v>
      </c>
      <c r="D136" s="1" t="s">
        <v>2307</v>
      </c>
      <c r="E136" s="4" t="s">
        <v>2303</v>
      </c>
      <c r="F136" s="106">
        <f>IF(COUNTIF($A$4:$A136,$A136)=1,1,0)</f>
        <v>1</v>
      </c>
      <c r="G136" s="106" cm="1">
        <f t="array" ref="G136">IF($F136=1,IF(SUMPRODUCT(--ISNUMBER(SEARCH(","&amp;$A136&amp;",",'Parts list'!$Z$4:$Z$185)))&gt;0,1,0),0)</f>
        <v>1</v>
      </c>
    </row>
    <row r="137" spans="1:7" x14ac:dyDescent="0.2">
      <c r="A137" s="1" t="s">
        <v>2306</v>
      </c>
      <c r="B137" s="104">
        <v>2</v>
      </c>
      <c r="C137" s="104">
        <v>2</v>
      </c>
      <c r="D137" s="1" t="s">
        <v>2168</v>
      </c>
      <c r="E137" s="4"/>
      <c r="F137" s="106">
        <f>IF(COUNTIF($A$4:$A137,$A137)=1,1,0)</f>
        <v>0</v>
      </c>
      <c r="G137" s="106" cm="1">
        <f t="array" ref="G137">IF($F137=1,IF(SUMPRODUCT(--ISNUMBER(SEARCH(","&amp;$A137&amp;",",'Parts list'!$Z$4:$Z$185)))&gt;0,1,0),0)</f>
        <v>0</v>
      </c>
    </row>
    <row r="138" spans="1:7" x14ac:dyDescent="0.2">
      <c r="A138" s="1" t="s">
        <v>2308</v>
      </c>
      <c r="B138" s="104">
        <v>1</v>
      </c>
      <c r="C138" s="104">
        <v>1</v>
      </c>
      <c r="D138" s="1" t="s">
        <v>2309</v>
      </c>
      <c r="E138" s="4" t="s">
        <v>2303</v>
      </c>
      <c r="F138" s="106">
        <f>IF(COUNTIF($A$4:$A138,$A138)=1,1,0)</f>
        <v>1</v>
      </c>
      <c r="G138" s="106" cm="1">
        <f t="array" ref="G138">IF($F138=1,IF(SUMPRODUCT(--ISNUMBER(SEARCH(","&amp;$A138&amp;",",'Parts list'!$Z$4:$Z$185)))&gt;0,1,0),0)</f>
        <v>1</v>
      </c>
    </row>
    <row r="139" spans="1:7" x14ac:dyDescent="0.2">
      <c r="A139" s="1" t="s">
        <v>2308</v>
      </c>
      <c r="B139" s="104">
        <v>2</v>
      </c>
      <c r="C139" s="104">
        <v>2</v>
      </c>
      <c r="D139" s="1" t="s">
        <v>2168</v>
      </c>
      <c r="E139" s="4"/>
      <c r="F139" s="106">
        <f>IF(COUNTIF($A$4:$A139,$A139)=1,1,0)</f>
        <v>0</v>
      </c>
      <c r="G139" s="106" cm="1">
        <f t="array" ref="G139">IF($F139=1,IF(SUMPRODUCT(--ISNUMBER(SEARCH(","&amp;$A139&amp;",",'Parts list'!$Z$4:$Z$185)))&gt;0,1,0),0)</f>
        <v>0</v>
      </c>
    </row>
    <row r="140" spans="1:7" x14ac:dyDescent="0.2">
      <c r="A140" s="1" t="s">
        <v>2310</v>
      </c>
      <c r="B140" s="104">
        <v>1</v>
      </c>
      <c r="C140" s="104">
        <v>1</v>
      </c>
      <c r="D140" s="1" t="s">
        <v>2311</v>
      </c>
      <c r="E140" s="4" t="s">
        <v>2303</v>
      </c>
      <c r="F140" s="106">
        <f>IF(COUNTIF($A$4:$A140,$A140)=1,1,0)</f>
        <v>1</v>
      </c>
      <c r="G140" s="106" cm="1">
        <f t="array" ref="G140">IF($F140=1,IF(SUMPRODUCT(--ISNUMBER(SEARCH(","&amp;$A140&amp;",",'Parts list'!$Z$4:$Z$185)))&gt;0,1,0),0)</f>
        <v>1</v>
      </c>
    </row>
    <row r="141" spans="1:7" x14ac:dyDescent="0.2">
      <c r="A141" s="1" t="s">
        <v>2310</v>
      </c>
      <c r="B141" s="104">
        <v>2</v>
      </c>
      <c r="C141" s="104">
        <v>2</v>
      </c>
      <c r="D141" s="1" t="s">
        <v>2168</v>
      </c>
      <c r="E141" s="4"/>
      <c r="F141" s="106">
        <f>IF(COUNTIF($A$4:$A141,$A141)=1,1,0)</f>
        <v>0</v>
      </c>
      <c r="G141" s="106" cm="1">
        <f t="array" ref="G141">IF($F141=1,IF(SUMPRODUCT(--ISNUMBER(SEARCH(","&amp;$A141&amp;",",'Parts list'!$Z$4:$Z$185)))&gt;0,1,0),0)</f>
        <v>0</v>
      </c>
    </row>
    <row r="142" spans="1:7" x14ac:dyDescent="0.2">
      <c r="A142" s="1" t="s">
        <v>2312</v>
      </c>
      <c r="B142" s="104">
        <v>1</v>
      </c>
      <c r="C142" s="104">
        <v>1</v>
      </c>
      <c r="D142" s="1" t="s">
        <v>2313</v>
      </c>
      <c r="E142" s="4" t="s">
        <v>2303</v>
      </c>
      <c r="F142" s="106">
        <f>IF(COUNTIF($A$4:$A142,$A142)=1,1,0)</f>
        <v>1</v>
      </c>
      <c r="G142" s="106" cm="1">
        <f t="array" ref="G142">IF($F142=1,IF(SUMPRODUCT(--ISNUMBER(SEARCH(","&amp;$A142&amp;",",'Parts list'!$Z$4:$Z$185)))&gt;0,1,0),0)</f>
        <v>1</v>
      </c>
    </row>
    <row r="143" spans="1:7" x14ac:dyDescent="0.2">
      <c r="A143" s="1" t="s">
        <v>2312</v>
      </c>
      <c r="B143" s="104">
        <v>2</v>
      </c>
      <c r="C143" s="104">
        <v>2</v>
      </c>
      <c r="D143" s="1" t="s">
        <v>2168</v>
      </c>
      <c r="E143" s="4"/>
      <c r="F143" s="106">
        <f>IF(COUNTIF($A$4:$A143,$A143)=1,1,0)</f>
        <v>0</v>
      </c>
      <c r="G143" s="106" cm="1">
        <f t="array" ref="G143">IF($F143=1,IF(SUMPRODUCT(--ISNUMBER(SEARCH(","&amp;$A143&amp;",",'Parts list'!$Z$4:$Z$185)))&gt;0,1,0),0)</f>
        <v>0</v>
      </c>
    </row>
    <row r="144" spans="1:7" x14ac:dyDescent="0.2">
      <c r="A144" s="1" t="s">
        <v>2314</v>
      </c>
      <c r="B144" s="104">
        <v>1</v>
      </c>
      <c r="C144" s="104">
        <v>1</v>
      </c>
      <c r="D144" s="1" t="s">
        <v>2315</v>
      </c>
      <c r="E144" s="4" t="s">
        <v>2303</v>
      </c>
      <c r="F144" s="106">
        <f>IF(COUNTIF($A$4:$A144,$A144)=1,1,0)</f>
        <v>1</v>
      </c>
      <c r="G144" s="106" cm="1">
        <f t="array" ref="G144">IF($F144=1,IF(SUMPRODUCT(--ISNUMBER(SEARCH(","&amp;$A144&amp;",",'Parts list'!$Z$4:$Z$185)))&gt;0,1,0),0)</f>
        <v>1</v>
      </c>
    </row>
    <row r="145" spans="1:7" x14ac:dyDescent="0.2">
      <c r="A145" s="1" t="s">
        <v>2314</v>
      </c>
      <c r="B145" s="104">
        <v>2</v>
      </c>
      <c r="C145" s="104">
        <v>2</v>
      </c>
      <c r="D145" s="1" t="s">
        <v>2168</v>
      </c>
      <c r="E145" s="4"/>
      <c r="F145" s="106">
        <f>IF(COUNTIF($A$4:$A145,$A145)=1,1,0)</f>
        <v>0</v>
      </c>
      <c r="G145" s="106" cm="1">
        <f t="array" ref="G145">IF($F145=1,IF(SUMPRODUCT(--ISNUMBER(SEARCH(","&amp;$A145&amp;",",'Parts list'!$Z$4:$Z$185)))&gt;0,1,0),0)</f>
        <v>0</v>
      </c>
    </row>
    <row r="146" spans="1:7" x14ac:dyDescent="0.2">
      <c r="A146" s="1" t="s">
        <v>2316</v>
      </c>
      <c r="B146" s="104">
        <v>1</v>
      </c>
      <c r="C146" s="104">
        <v>1</v>
      </c>
      <c r="D146" s="1" t="s">
        <v>2317</v>
      </c>
      <c r="E146" s="4" t="s">
        <v>2303</v>
      </c>
      <c r="F146" s="106">
        <f>IF(COUNTIF($A$4:$A146,$A146)=1,1,0)</f>
        <v>1</v>
      </c>
      <c r="G146" s="106" cm="1">
        <f t="array" ref="G146">IF($F146=1,IF(SUMPRODUCT(--ISNUMBER(SEARCH(","&amp;$A146&amp;",",'Parts list'!$Z$4:$Z$185)))&gt;0,1,0),0)</f>
        <v>1</v>
      </c>
    </row>
    <row r="147" spans="1:7" x14ac:dyDescent="0.2">
      <c r="A147" s="1" t="s">
        <v>2316</v>
      </c>
      <c r="B147" s="104">
        <v>2</v>
      </c>
      <c r="C147" s="104">
        <v>2</v>
      </c>
      <c r="D147" s="1" t="s">
        <v>2168</v>
      </c>
      <c r="E147" s="4"/>
      <c r="F147" s="106">
        <f>IF(COUNTIF($A$4:$A147,$A147)=1,1,0)</f>
        <v>0</v>
      </c>
      <c r="G147" s="106" cm="1">
        <f t="array" ref="G147">IF($F147=1,IF(SUMPRODUCT(--ISNUMBER(SEARCH(","&amp;$A147&amp;",",'Parts list'!$Z$4:$Z$185)))&gt;0,1,0),0)</f>
        <v>0</v>
      </c>
    </row>
    <row r="148" spans="1:7" x14ac:dyDescent="0.2">
      <c r="A148" s="1" t="s">
        <v>2318</v>
      </c>
      <c r="B148" s="104">
        <v>1</v>
      </c>
      <c r="C148" s="104">
        <v>1</v>
      </c>
      <c r="D148" s="1" t="s">
        <v>2234</v>
      </c>
      <c r="E148" s="4" t="s">
        <v>2319</v>
      </c>
      <c r="F148" s="106">
        <f>IF(COUNTIF($A$4:$A148,$A148)=1,1,0)</f>
        <v>1</v>
      </c>
      <c r="G148" s="106" cm="1">
        <f t="array" ref="G148">IF($F148=1,IF(SUMPRODUCT(--ISNUMBER(SEARCH(","&amp;$A148&amp;",",'Parts list'!$Z$4:$Z$185)))&gt;0,1,0),0)</f>
        <v>1</v>
      </c>
    </row>
    <row r="149" spans="1:7" x14ac:dyDescent="0.2">
      <c r="A149" s="1" t="s">
        <v>2318</v>
      </c>
      <c r="B149" s="104">
        <v>2</v>
      </c>
      <c r="C149" s="104">
        <v>2</v>
      </c>
      <c r="D149" s="1" t="s">
        <v>2168</v>
      </c>
      <c r="E149" s="4"/>
      <c r="F149" s="106">
        <f>IF(COUNTIF($A$4:$A149,$A149)=1,1,0)</f>
        <v>0</v>
      </c>
      <c r="G149" s="106" cm="1">
        <f t="array" ref="G149">IF($F149=1,IF(SUMPRODUCT(--ISNUMBER(SEARCH(","&amp;$A149&amp;",",'Parts list'!$Z$4:$Z$185)))&gt;0,1,0),0)</f>
        <v>0</v>
      </c>
    </row>
    <row r="150" spans="1:7" x14ac:dyDescent="0.2">
      <c r="A150" s="1" t="s">
        <v>2320</v>
      </c>
      <c r="B150" s="104">
        <v>1</v>
      </c>
      <c r="C150" s="104">
        <v>1</v>
      </c>
      <c r="D150" s="1" t="s">
        <v>2231</v>
      </c>
      <c r="E150" s="4" t="s">
        <v>2321</v>
      </c>
      <c r="F150" s="106">
        <f>IF(COUNTIF($A$4:$A150,$A150)=1,1,0)</f>
        <v>1</v>
      </c>
      <c r="G150" s="106" cm="1">
        <f t="array" ref="G150">IF($F150=1,IF(SUMPRODUCT(--ISNUMBER(SEARCH(","&amp;$A150&amp;",",'Parts list'!$Z$4:$Z$185)))&gt;0,1,0),0)</f>
        <v>1</v>
      </c>
    </row>
    <row r="151" spans="1:7" x14ac:dyDescent="0.2">
      <c r="A151" s="1" t="s">
        <v>2320</v>
      </c>
      <c r="B151" s="104">
        <v>2</v>
      </c>
      <c r="C151" s="104">
        <v>2</v>
      </c>
      <c r="D151" s="1" t="s">
        <v>2168</v>
      </c>
      <c r="E151" s="4"/>
      <c r="F151" s="106">
        <f>IF(COUNTIF($A$4:$A151,$A151)=1,1,0)</f>
        <v>0</v>
      </c>
      <c r="G151" s="106" cm="1">
        <f t="array" ref="G151">IF($F151=1,IF(SUMPRODUCT(--ISNUMBER(SEARCH(","&amp;$A151&amp;",",'Parts list'!$Z$4:$Z$185)))&gt;0,1,0),0)</f>
        <v>0</v>
      </c>
    </row>
    <row r="152" spans="1:7" x14ac:dyDescent="0.2">
      <c r="A152" s="1" t="s">
        <v>543</v>
      </c>
      <c r="B152" s="104">
        <v>1</v>
      </c>
      <c r="C152" s="104">
        <v>1</v>
      </c>
      <c r="D152" s="1" t="s">
        <v>2221</v>
      </c>
      <c r="E152" s="4" t="s">
        <v>2322</v>
      </c>
      <c r="F152" s="106">
        <f>IF(COUNTIF($A$4:$A152,$A152)=1,1,0)</f>
        <v>1</v>
      </c>
      <c r="G152" s="106" cm="1">
        <f t="array" ref="G152">IF($F152=1,IF(SUMPRODUCT(--ISNUMBER(SEARCH(","&amp;$A152&amp;",",'Parts list'!$Z$4:$Z$185)))&gt;0,1,0),0)</f>
        <v>1</v>
      </c>
    </row>
    <row r="153" spans="1:7" x14ac:dyDescent="0.2">
      <c r="A153" s="1" t="s">
        <v>543</v>
      </c>
      <c r="B153" s="104">
        <v>2</v>
      </c>
      <c r="C153" s="104">
        <v>2</v>
      </c>
      <c r="D153" s="1" t="s">
        <v>2168</v>
      </c>
      <c r="E153" s="4"/>
      <c r="F153" s="106">
        <f>IF(COUNTIF($A$4:$A153,$A153)=1,1,0)</f>
        <v>0</v>
      </c>
      <c r="G153" s="106" cm="1">
        <f t="array" ref="G153">IF($F153=1,IF(SUMPRODUCT(--ISNUMBER(SEARCH(","&amp;$A153&amp;",",'Parts list'!$Z$4:$Z$185)))&gt;0,1,0),0)</f>
        <v>0</v>
      </c>
    </row>
    <row r="154" spans="1:7" x14ac:dyDescent="0.2">
      <c r="A154" s="1" t="s">
        <v>2323</v>
      </c>
      <c r="B154" s="104">
        <v>1</v>
      </c>
      <c r="C154" s="105" t="s">
        <v>2324</v>
      </c>
      <c r="D154" s="1" t="s">
        <v>2292</v>
      </c>
      <c r="E154" s="4" t="s">
        <v>2325</v>
      </c>
      <c r="F154" s="106">
        <f>IF(COUNTIF($A$4:$A154,$A154)=1,1,0)</f>
        <v>1</v>
      </c>
      <c r="G154" s="106" cm="1">
        <f t="array" ref="G154">IF($F154=1,IF(SUMPRODUCT(--ISNUMBER(SEARCH(","&amp;$A154&amp;",",'Parts list'!$Z$4:$Z$185)))&gt;0,1,0),0)</f>
        <v>1</v>
      </c>
    </row>
    <row r="155" spans="1:7" x14ac:dyDescent="0.2">
      <c r="A155" s="1" t="s">
        <v>2323</v>
      </c>
      <c r="B155" s="104">
        <v>2</v>
      </c>
      <c r="C155" s="105" t="s">
        <v>2326</v>
      </c>
      <c r="D155" s="1" t="s">
        <v>2168</v>
      </c>
      <c r="E155" s="4"/>
      <c r="F155" s="106">
        <f>IF(COUNTIF($A$4:$A155,$A155)=1,1,0)</f>
        <v>0</v>
      </c>
      <c r="G155" s="106" cm="1">
        <f t="array" ref="G155">IF($F155=1,IF(SUMPRODUCT(--ISNUMBER(SEARCH(","&amp;$A155&amp;",",'Parts list'!$Z$4:$Z$185)))&gt;0,1,0),0)</f>
        <v>0</v>
      </c>
    </row>
    <row r="156" spans="1:7" x14ac:dyDescent="0.2">
      <c r="A156" s="1" t="s">
        <v>2327</v>
      </c>
      <c r="B156" s="104">
        <v>1</v>
      </c>
      <c r="C156" s="105" t="s">
        <v>2324</v>
      </c>
      <c r="D156" s="1" t="s">
        <v>2168</v>
      </c>
      <c r="E156" s="4" t="s">
        <v>2328</v>
      </c>
      <c r="F156" s="106">
        <f>IF(COUNTIF($A$4:$A156,$A156)=1,1,0)</f>
        <v>1</v>
      </c>
      <c r="G156" s="106" cm="1">
        <f t="array" ref="G156">IF($F156=1,IF(SUMPRODUCT(--ISNUMBER(SEARCH(","&amp;$A156&amp;",",'Parts list'!$Z$4:$Z$185)))&gt;0,1,0),0)</f>
        <v>1</v>
      </c>
    </row>
    <row r="157" spans="1:7" x14ac:dyDescent="0.2">
      <c r="A157" s="1" t="s">
        <v>2327</v>
      </c>
      <c r="B157" s="104">
        <v>2</v>
      </c>
      <c r="C157" s="105" t="s">
        <v>2326</v>
      </c>
      <c r="D157" s="1" t="s">
        <v>2295</v>
      </c>
      <c r="E157" s="4"/>
      <c r="F157" s="106">
        <f>IF(COUNTIF($A$4:$A157,$A157)=1,1,0)</f>
        <v>0</v>
      </c>
      <c r="G157" s="106" cm="1">
        <f t="array" ref="G157">IF($F157=1,IF(SUMPRODUCT(--ISNUMBER(SEARCH(","&amp;$A157&amp;",",'Parts list'!$Z$4:$Z$185)))&gt;0,1,0),0)</f>
        <v>0</v>
      </c>
    </row>
    <row r="158" spans="1:7" x14ac:dyDescent="0.2">
      <c r="A158" s="1" t="s">
        <v>796</v>
      </c>
      <c r="B158" s="104">
        <v>1</v>
      </c>
      <c r="C158" s="104">
        <v>1</v>
      </c>
      <c r="D158" s="1" t="s">
        <v>2220</v>
      </c>
      <c r="E158" s="4"/>
      <c r="F158" s="106">
        <f>IF(COUNTIF($A$4:$A158,$A158)=1,1,0)</f>
        <v>1</v>
      </c>
      <c r="G158" s="106" cm="1">
        <f t="array" ref="G158">IF($F158=1,IF(SUMPRODUCT(--ISNUMBER(SEARCH(","&amp;$A158&amp;",",'Parts list'!$Z$4:$Z$185)))&gt;0,1,0),0)</f>
        <v>1</v>
      </c>
    </row>
    <row r="159" spans="1:7" x14ac:dyDescent="0.2">
      <c r="A159" s="1" t="s">
        <v>796</v>
      </c>
      <c r="B159" s="104">
        <v>2</v>
      </c>
      <c r="C159" s="104">
        <v>2</v>
      </c>
      <c r="D159" s="1" t="s">
        <v>2168</v>
      </c>
      <c r="E159" s="4"/>
      <c r="F159" s="106">
        <f>IF(COUNTIF($A$4:$A159,$A159)=1,1,0)</f>
        <v>0</v>
      </c>
      <c r="G159" s="106" cm="1">
        <f t="array" ref="G159">IF($F159=1,IF(SUMPRODUCT(--ISNUMBER(SEARCH(","&amp;$A159&amp;",",'Parts list'!$Z$4:$Z$185)))&gt;0,1,0),0)</f>
        <v>0</v>
      </c>
    </row>
    <row r="160" spans="1:7" x14ac:dyDescent="0.2">
      <c r="A160" s="1" t="s">
        <v>800</v>
      </c>
      <c r="B160" s="104">
        <v>1</v>
      </c>
      <c r="C160" s="104">
        <v>1</v>
      </c>
      <c r="D160" s="1" t="s">
        <v>2181</v>
      </c>
      <c r="E160" s="4"/>
      <c r="F160" s="106">
        <f>IF(COUNTIF($A$4:$A160,$A160)=1,1,0)</f>
        <v>1</v>
      </c>
      <c r="G160" s="106" cm="1">
        <f t="array" ref="G160">IF($F160=1,IF(SUMPRODUCT(--ISNUMBER(SEARCH(","&amp;$A160&amp;",",'Parts list'!$Z$4:$Z$185)))&gt;0,1,0),0)</f>
        <v>1</v>
      </c>
    </row>
    <row r="161" spans="1:7" x14ac:dyDescent="0.2">
      <c r="A161" s="1" t="s">
        <v>800</v>
      </c>
      <c r="B161" s="104">
        <v>2</v>
      </c>
      <c r="C161" s="104">
        <v>2</v>
      </c>
      <c r="D161" s="1" t="s">
        <v>2168</v>
      </c>
      <c r="E161" s="4"/>
      <c r="F161" s="106">
        <f>IF(COUNTIF($A$4:$A161,$A161)=1,1,0)</f>
        <v>0</v>
      </c>
      <c r="G161" s="106" cm="1">
        <f t="array" ref="G161">IF($F161=1,IF(SUMPRODUCT(--ISNUMBER(SEARCH(","&amp;$A161&amp;",",'Parts list'!$Z$4:$Z$185)))&gt;0,1,0),0)</f>
        <v>0</v>
      </c>
    </row>
    <row r="162" spans="1:7" x14ac:dyDescent="0.2">
      <c r="A162" s="1" t="s">
        <v>804</v>
      </c>
      <c r="B162" s="104">
        <v>1</v>
      </c>
      <c r="C162" s="104">
        <v>1</v>
      </c>
      <c r="D162" s="1" t="s">
        <v>2220</v>
      </c>
      <c r="E162" s="4" t="s">
        <v>2329</v>
      </c>
      <c r="F162" s="106">
        <f>IF(COUNTIF($A$4:$A162,$A162)=1,1,0)</f>
        <v>1</v>
      </c>
      <c r="G162" s="106" cm="1">
        <f t="array" ref="G162">IF($F162=1,IF(SUMPRODUCT(--ISNUMBER(SEARCH(","&amp;$A162&amp;",",'Parts list'!$Z$4:$Z$185)))&gt;0,1,0),0)</f>
        <v>1</v>
      </c>
    </row>
    <row r="163" spans="1:7" x14ac:dyDescent="0.2">
      <c r="A163" s="1" t="s">
        <v>804</v>
      </c>
      <c r="B163" s="104">
        <v>2</v>
      </c>
      <c r="C163" s="104">
        <v>2</v>
      </c>
      <c r="D163" s="1" t="s">
        <v>2168</v>
      </c>
      <c r="E163" s="4" t="s">
        <v>2329</v>
      </c>
      <c r="F163" s="106">
        <f>IF(COUNTIF($A$4:$A163,$A163)=1,1,0)</f>
        <v>0</v>
      </c>
      <c r="G163" s="106" cm="1">
        <f t="array" ref="G163">IF($F163=1,IF(SUMPRODUCT(--ISNUMBER(SEARCH(","&amp;$A163&amp;",",'Parts list'!$Z$4:$Z$185)))&gt;0,1,0),0)</f>
        <v>0</v>
      </c>
    </row>
    <row r="164" spans="1:7" x14ac:dyDescent="0.2">
      <c r="A164" s="1" t="s">
        <v>807</v>
      </c>
      <c r="B164" s="104">
        <v>1</v>
      </c>
      <c r="C164" s="104">
        <v>1</v>
      </c>
      <c r="D164" s="1" t="s">
        <v>2330</v>
      </c>
      <c r="E164" s="4"/>
      <c r="F164" s="106">
        <f>IF(COUNTIF($A$4:$A164,$A164)=1,1,0)</f>
        <v>1</v>
      </c>
      <c r="G164" s="106" cm="1">
        <f t="array" ref="G164">IF($F164=1,IF(SUMPRODUCT(--ISNUMBER(SEARCH(","&amp;$A164&amp;",",'Parts list'!$Z$4:$Z$185)))&gt;0,1,0),0)</f>
        <v>1</v>
      </c>
    </row>
    <row r="165" spans="1:7" x14ac:dyDescent="0.2">
      <c r="A165" s="1" t="s">
        <v>807</v>
      </c>
      <c r="B165" s="104">
        <v>2</v>
      </c>
      <c r="C165" s="104">
        <v>2</v>
      </c>
      <c r="D165" s="1" t="s">
        <v>2168</v>
      </c>
      <c r="E165" s="4"/>
      <c r="F165" s="106">
        <f>IF(COUNTIF($A$4:$A165,$A165)=1,1,0)</f>
        <v>0</v>
      </c>
      <c r="G165" s="106" cm="1">
        <f t="array" ref="G165">IF($F165=1,IF(SUMPRODUCT(--ISNUMBER(SEARCH(","&amp;$A165&amp;",",'Parts list'!$Z$4:$Z$185)))&gt;0,1,0),0)</f>
        <v>0</v>
      </c>
    </row>
    <row r="166" spans="1:7" x14ac:dyDescent="0.2">
      <c r="A166" s="1" t="s">
        <v>810</v>
      </c>
      <c r="B166" s="104">
        <v>1</v>
      </c>
      <c r="C166" s="104">
        <v>1</v>
      </c>
      <c r="D166" s="1" t="s">
        <v>2331</v>
      </c>
      <c r="E166" s="4"/>
      <c r="F166" s="106">
        <f>IF(COUNTIF($A$4:$A166,$A166)=1,1,0)</f>
        <v>1</v>
      </c>
      <c r="G166" s="106" cm="1">
        <f t="array" ref="G166">IF($F166=1,IF(SUMPRODUCT(--ISNUMBER(SEARCH(","&amp;$A166&amp;",",'Parts list'!$Z$4:$Z$185)))&gt;0,1,0),0)</f>
        <v>1</v>
      </c>
    </row>
    <row r="167" spans="1:7" x14ac:dyDescent="0.2">
      <c r="A167" s="1" t="s">
        <v>810</v>
      </c>
      <c r="B167" s="104">
        <v>2</v>
      </c>
      <c r="C167" s="104">
        <v>2</v>
      </c>
      <c r="D167" s="1" t="s">
        <v>2168</v>
      </c>
      <c r="E167" s="4"/>
      <c r="F167" s="106">
        <f>IF(COUNTIF($A$4:$A167,$A167)=1,1,0)</f>
        <v>0</v>
      </c>
      <c r="G167" s="106" cm="1">
        <f t="array" ref="G167">IF($F167=1,IF(SUMPRODUCT(--ISNUMBER(SEARCH(","&amp;$A167&amp;",",'Parts list'!$Z$4:$Z$185)))&gt;0,1,0),0)</f>
        <v>0</v>
      </c>
    </row>
    <row r="168" spans="1:7" x14ac:dyDescent="0.2">
      <c r="A168" s="1" t="s">
        <v>813</v>
      </c>
      <c r="B168" s="104">
        <v>1</v>
      </c>
      <c r="C168" s="104">
        <v>1</v>
      </c>
      <c r="D168" s="1" t="s">
        <v>2332</v>
      </c>
      <c r="E168" s="4"/>
      <c r="F168" s="106">
        <f>IF(COUNTIF($A$4:$A168,$A168)=1,1,0)</f>
        <v>1</v>
      </c>
      <c r="G168" s="106" cm="1">
        <f t="array" ref="G168">IF($F168=1,IF(SUMPRODUCT(--ISNUMBER(SEARCH(","&amp;$A168&amp;",",'Parts list'!$Z$4:$Z$185)))&gt;0,1,0),0)</f>
        <v>1</v>
      </c>
    </row>
    <row r="169" spans="1:7" x14ac:dyDescent="0.2">
      <c r="A169" s="1" t="s">
        <v>813</v>
      </c>
      <c r="B169" s="104">
        <v>2</v>
      </c>
      <c r="C169" s="104">
        <v>2</v>
      </c>
      <c r="D169" s="1" t="s">
        <v>2333</v>
      </c>
      <c r="E169" s="4"/>
      <c r="F169" s="106">
        <f>IF(COUNTIF($A$4:$A169,$A169)=1,1,0)</f>
        <v>0</v>
      </c>
      <c r="G169" s="106" cm="1">
        <f t="array" ref="G169">IF($F169=1,IF(SUMPRODUCT(--ISNUMBER(SEARCH(","&amp;$A169&amp;",",'Parts list'!$Z$4:$Z$185)))&gt;0,1,0),0)</f>
        <v>0</v>
      </c>
    </row>
    <row r="170" spans="1:7" x14ac:dyDescent="0.2">
      <c r="A170" s="1" t="s">
        <v>2334</v>
      </c>
      <c r="B170" s="104">
        <v>1</v>
      </c>
      <c r="C170" s="104">
        <v>1</v>
      </c>
      <c r="D170" s="1" t="s">
        <v>2335</v>
      </c>
      <c r="E170" s="4"/>
      <c r="F170" s="106">
        <f>IF(COUNTIF($A$4:$A170,$A170)=1,1,0)</f>
        <v>1</v>
      </c>
      <c r="G170" s="106" cm="1">
        <f t="array" ref="G170">IF($F170=1,IF(SUMPRODUCT(--ISNUMBER(SEARCH(","&amp;$A170&amp;",",'Parts list'!$Z$4:$Z$185)))&gt;0,1,0),0)</f>
        <v>1</v>
      </c>
    </row>
    <row r="171" spans="1:7" x14ac:dyDescent="0.2">
      <c r="A171" s="1" t="s">
        <v>2334</v>
      </c>
      <c r="B171" s="104">
        <v>2</v>
      </c>
      <c r="C171" s="104">
        <v>2</v>
      </c>
      <c r="D171" s="1" t="s">
        <v>2168</v>
      </c>
      <c r="E171" s="4"/>
      <c r="F171" s="106">
        <f>IF(COUNTIF($A$4:$A171,$A171)=1,1,0)</f>
        <v>0</v>
      </c>
      <c r="G171" s="106" cm="1">
        <f t="array" ref="G171">IF($F171=1,IF(SUMPRODUCT(--ISNUMBER(SEARCH(","&amp;$A171&amp;",",'Parts list'!$Z$4:$Z$185)))&gt;0,1,0),0)</f>
        <v>0</v>
      </c>
    </row>
    <row r="172" spans="1:7" x14ac:dyDescent="0.2">
      <c r="A172" s="1" t="s">
        <v>2336</v>
      </c>
      <c r="B172" s="104">
        <v>1</v>
      </c>
      <c r="C172" s="104">
        <v>1</v>
      </c>
      <c r="D172" s="1" t="s">
        <v>2264</v>
      </c>
      <c r="E172" s="4"/>
      <c r="F172" s="106">
        <f>IF(COUNTIF($A$4:$A172,$A172)=1,1,0)</f>
        <v>1</v>
      </c>
      <c r="G172" s="106" cm="1">
        <f t="array" ref="G172">IF($F172=1,IF(SUMPRODUCT(--ISNUMBER(SEARCH(","&amp;$A172&amp;",",'Parts list'!$Z$4:$Z$185)))&gt;0,1,0),0)</f>
        <v>1</v>
      </c>
    </row>
    <row r="173" spans="1:7" x14ac:dyDescent="0.2">
      <c r="A173" s="1" t="s">
        <v>2336</v>
      </c>
      <c r="B173" s="104">
        <v>2</v>
      </c>
      <c r="C173" s="104">
        <v>2</v>
      </c>
      <c r="D173" s="1" t="s">
        <v>2168</v>
      </c>
      <c r="E173" s="4"/>
      <c r="F173" s="106">
        <f>IF(COUNTIF($A$4:$A173,$A173)=1,1,0)</f>
        <v>0</v>
      </c>
      <c r="G173" s="106" cm="1">
        <f t="array" ref="G173">IF($F173=1,IF(SUMPRODUCT(--ISNUMBER(SEARCH(","&amp;$A173&amp;",",'Parts list'!$Z$4:$Z$185)))&gt;0,1,0),0)</f>
        <v>0</v>
      </c>
    </row>
    <row r="174" spans="1:7" x14ac:dyDescent="0.2">
      <c r="A174" s="1" t="s">
        <v>2337</v>
      </c>
      <c r="B174" s="104">
        <v>1</v>
      </c>
      <c r="C174" s="104">
        <v>1</v>
      </c>
      <c r="D174" s="1" t="s">
        <v>2267</v>
      </c>
      <c r="E174" s="4"/>
      <c r="F174" s="106">
        <f>IF(COUNTIF($A$4:$A174,$A174)=1,1,0)</f>
        <v>1</v>
      </c>
      <c r="G174" s="106" cm="1">
        <f t="array" ref="G174">IF($F174=1,IF(SUMPRODUCT(--ISNUMBER(SEARCH(","&amp;$A174&amp;",",'Parts list'!$Z$4:$Z$185)))&gt;0,1,0),0)</f>
        <v>1</v>
      </c>
    </row>
    <row r="175" spans="1:7" x14ac:dyDescent="0.2">
      <c r="A175" s="1" t="s">
        <v>2337</v>
      </c>
      <c r="B175" s="104">
        <v>2</v>
      </c>
      <c r="C175" s="104">
        <v>2</v>
      </c>
      <c r="D175" s="1" t="s">
        <v>2168</v>
      </c>
      <c r="E175" s="4"/>
      <c r="F175" s="106">
        <f>IF(COUNTIF($A$4:$A175,$A175)=1,1,0)</f>
        <v>0</v>
      </c>
      <c r="G175" s="106" cm="1">
        <f t="array" ref="G175">IF($F175=1,IF(SUMPRODUCT(--ISNUMBER(SEARCH(","&amp;$A175&amp;",",'Parts list'!$Z$4:$Z$185)))&gt;0,1,0),0)</f>
        <v>0</v>
      </c>
    </row>
    <row r="176" spans="1:7" x14ac:dyDescent="0.2">
      <c r="A176" s="1" t="s">
        <v>819</v>
      </c>
      <c r="B176" s="104">
        <v>1</v>
      </c>
      <c r="C176" s="104">
        <v>1</v>
      </c>
      <c r="D176" s="1" t="s">
        <v>2208</v>
      </c>
      <c r="E176" s="4"/>
      <c r="F176" s="106">
        <f>IF(COUNTIF($A$4:$A176,$A176)=1,1,0)</f>
        <v>1</v>
      </c>
      <c r="G176" s="106" cm="1">
        <f t="array" ref="G176">IF($F176=1,IF(SUMPRODUCT(--ISNUMBER(SEARCH(","&amp;$A176&amp;",",'Parts list'!$Z$4:$Z$185)))&gt;0,1,0),0)</f>
        <v>1</v>
      </c>
    </row>
    <row r="177" spans="1:7" x14ac:dyDescent="0.2">
      <c r="A177" s="1" t="s">
        <v>819</v>
      </c>
      <c r="B177" s="104">
        <v>2</v>
      </c>
      <c r="C177" s="104">
        <v>2</v>
      </c>
      <c r="D177" s="1" t="s">
        <v>2168</v>
      </c>
      <c r="E177" s="4"/>
      <c r="F177" s="106">
        <f>IF(COUNTIF($A$4:$A177,$A177)=1,1,0)</f>
        <v>0</v>
      </c>
      <c r="G177" s="106" cm="1">
        <f t="array" ref="G177">IF($F177=1,IF(SUMPRODUCT(--ISNUMBER(SEARCH(","&amp;$A177&amp;",",'Parts list'!$Z$4:$Z$185)))&gt;0,1,0),0)</f>
        <v>0</v>
      </c>
    </row>
    <row r="178" spans="1:7" x14ac:dyDescent="0.2">
      <c r="A178" s="1" t="s">
        <v>823</v>
      </c>
      <c r="B178" s="104">
        <v>1</v>
      </c>
      <c r="C178" s="104">
        <v>1</v>
      </c>
      <c r="D178" s="1" t="s">
        <v>2338</v>
      </c>
      <c r="E178" s="4" t="s">
        <v>771</v>
      </c>
      <c r="F178" s="106">
        <f>IF(COUNTIF($A$4:$A178,$A178)=1,1,0)</f>
        <v>1</v>
      </c>
      <c r="G178" s="106" cm="1">
        <f t="array" ref="G178">IF($F178=1,IF(SUMPRODUCT(--ISNUMBER(SEARCH(","&amp;$A178&amp;",",'Parts list'!$Z$4:$Z$185)))&gt;0,1,0),0)</f>
        <v>1</v>
      </c>
    </row>
    <row r="179" spans="1:7" x14ac:dyDescent="0.2">
      <c r="A179" s="1" t="s">
        <v>823</v>
      </c>
      <c r="B179" s="104">
        <v>2</v>
      </c>
      <c r="C179" s="104">
        <v>2</v>
      </c>
      <c r="D179" s="1" t="s">
        <v>2168</v>
      </c>
      <c r="E179" s="4" t="s">
        <v>771</v>
      </c>
      <c r="F179" s="106">
        <f>IF(COUNTIF($A$4:$A179,$A179)=1,1,0)</f>
        <v>0</v>
      </c>
      <c r="G179" s="106" cm="1">
        <f t="array" ref="G179">IF($F179=1,IF(SUMPRODUCT(--ISNUMBER(SEARCH(","&amp;$A179&amp;",",'Parts list'!$Z$4:$Z$185)))&gt;0,1,0),0)</f>
        <v>0</v>
      </c>
    </row>
    <row r="180" spans="1:7" x14ac:dyDescent="0.2">
      <c r="A180" s="1" t="s">
        <v>827</v>
      </c>
      <c r="B180" s="104">
        <v>1</v>
      </c>
      <c r="C180" s="104">
        <v>1</v>
      </c>
      <c r="D180" s="1" t="s">
        <v>2339</v>
      </c>
      <c r="E180" s="4" t="s">
        <v>2340</v>
      </c>
      <c r="F180" s="106">
        <f>IF(COUNTIF($A$4:$A180,$A180)=1,1,0)</f>
        <v>1</v>
      </c>
      <c r="G180" s="106" cm="1">
        <f t="array" ref="G180">IF($F180=1,IF(SUMPRODUCT(--ISNUMBER(SEARCH(","&amp;$A180&amp;",",'Parts list'!$Z$4:$Z$185)))&gt;0,1,0),0)</f>
        <v>1</v>
      </c>
    </row>
    <row r="181" spans="1:7" x14ac:dyDescent="0.2">
      <c r="A181" s="1" t="s">
        <v>827</v>
      </c>
      <c r="B181" s="104">
        <v>2</v>
      </c>
      <c r="C181" s="104">
        <v>2</v>
      </c>
      <c r="D181" s="1" t="s">
        <v>2168</v>
      </c>
      <c r="E181" s="4" t="s">
        <v>2340</v>
      </c>
      <c r="F181" s="106">
        <f>IF(COUNTIF($A$4:$A181,$A181)=1,1,0)</f>
        <v>0</v>
      </c>
      <c r="G181" s="106" cm="1">
        <f t="array" ref="G181">IF($F181=1,IF(SUMPRODUCT(--ISNUMBER(SEARCH(","&amp;$A181&amp;",",'Parts list'!$Z$4:$Z$185)))&gt;0,1,0),0)</f>
        <v>0</v>
      </c>
    </row>
    <row r="182" spans="1:7" x14ac:dyDescent="0.2">
      <c r="A182" s="1" t="s">
        <v>832</v>
      </c>
      <c r="B182" s="104">
        <v>1</v>
      </c>
      <c r="C182" s="104">
        <v>1</v>
      </c>
      <c r="D182" s="1" t="s">
        <v>2181</v>
      </c>
      <c r="E182" s="4" t="s">
        <v>2341</v>
      </c>
      <c r="F182" s="106">
        <f>IF(COUNTIF($A$4:$A182,$A182)=1,1,0)</f>
        <v>1</v>
      </c>
      <c r="G182" s="106" cm="1">
        <f t="array" ref="G182">IF($F182=1,IF(SUMPRODUCT(--ISNUMBER(SEARCH(","&amp;$A182&amp;",",'Parts list'!$Z$4:$Z$185)))&gt;0,1,0),0)</f>
        <v>1</v>
      </c>
    </row>
    <row r="183" spans="1:7" x14ac:dyDescent="0.2">
      <c r="A183" s="1" t="s">
        <v>832</v>
      </c>
      <c r="B183" s="104">
        <v>2</v>
      </c>
      <c r="C183" s="104">
        <v>2</v>
      </c>
      <c r="D183" s="1" t="s">
        <v>2168</v>
      </c>
      <c r="E183" s="4" t="s">
        <v>2341</v>
      </c>
      <c r="F183" s="106">
        <f>IF(COUNTIF($A$4:$A183,$A183)=1,1,0)</f>
        <v>0</v>
      </c>
      <c r="G183" s="106" cm="1">
        <f t="array" ref="G183">IF($F183=1,IF(SUMPRODUCT(--ISNUMBER(SEARCH(","&amp;$A183&amp;",",'Parts list'!$Z$4:$Z$185)))&gt;0,1,0),0)</f>
        <v>0</v>
      </c>
    </row>
    <row r="184" spans="1:7" x14ac:dyDescent="0.2">
      <c r="A184" s="1" t="s">
        <v>835</v>
      </c>
      <c r="B184" s="104">
        <v>1</v>
      </c>
      <c r="C184" s="104">
        <v>1</v>
      </c>
      <c r="D184" s="1" t="s">
        <v>2342</v>
      </c>
      <c r="E184" s="4" t="s">
        <v>2343</v>
      </c>
      <c r="F184" s="106">
        <f>IF(COUNTIF($A$4:$A184,$A184)=1,1,0)</f>
        <v>1</v>
      </c>
      <c r="G184" s="106" cm="1">
        <f t="array" ref="G184">IF($F184=1,IF(SUMPRODUCT(--ISNUMBER(SEARCH(","&amp;$A184&amp;",",'Parts list'!$Z$4:$Z$185)))&gt;0,1,0),0)</f>
        <v>1</v>
      </c>
    </row>
    <row r="185" spans="1:7" x14ac:dyDescent="0.2">
      <c r="A185" s="1" t="s">
        <v>835</v>
      </c>
      <c r="B185" s="104">
        <v>2</v>
      </c>
      <c r="C185" s="104">
        <v>2</v>
      </c>
      <c r="D185" s="1" t="s">
        <v>2168</v>
      </c>
      <c r="E185" s="4" t="s">
        <v>2343</v>
      </c>
      <c r="F185" s="106">
        <f>IF(COUNTIF($A$4:$A185,$A185)=1,1,0)</f>
        <v>0</v>
      </c>
      <c r="G185" s="106" cm="1">
        <f t="array" ref="G185">IF($F185=1,IF(SUMPRODUCT(--ISNUMBER(SEARCH(","&amp;$A185&amp;",",'Parts list'!$Z$4:$Z$185)))&gt;0,1,0),0)</f>
        <v>0</v>
      </c>
    </row>
    <row r="186" spans="1:7" x14ac:dyDescent="0.2">
      <c r="A186" s="1" t="s">
        <v>2344</v>
      </c>
      <c r="B186" s="104">
        <v>1</v>
      </c>
      <c r="C186" s="104">
        <v>1</v>
      </c>
      <c r="D186" s="1" t="s">
        <v>2345</v>
      </c>
      <c r="E186" s="4" t="s">
        <v>2346</v>
      </c>
      <c r="F186" s="106">
        <f>IF(COUNTIF($A$4:$A186,$A186)=1,1,0)</f>
        <v>1</v>
      </c>
      <c r="G186" s="106" cm="1">
        <f t="array" ref="G186">IF($F186=1,IF(SUMPRODUCT(--ISNUMBER(SEARCH(","&amp;$A186&amp;",",'Parts list'!$Z$4:$Z$185)))&gt;0,1,0),0)</f>
        <v>1</v>
      </c>
    </row>
    <row r="187" spans="1:7" x14ac:dyDescent="0.2">
      <c r="A187" s="1" t="s">
        <v>2344</v>
      </c>
      <c r="B187" s="104">
        <v>2</v>
      </c>
      <c r="C187" s="104">
        <v>2</v>
      </c>
      <c r="D187" s="1" t="s">
        <v>2168</v>
      </c>
      <c r="E187" s="4"/>
      <c r="F187" s="106">
        <f>IF(COUNTIF($A$4:$A187,$A187)=1,1,0)</f>
        <v>0</v>
      </c>
      <c r="G187" s="106" cm="1">
        <f t="array" ref="G187">IF($F187=1,IF(SUMPRODUCT(--ISNUMBER(SEARCH(","&amp;$A187&amp;",",'Parts list'!$Z$4:$Z$185)))&gt;0,1,0),0)</f>
        <v>0</v>
      </c>
    </row>
    <row r="188" spans="1:7" x14ac:dyDescent="0.2">
      <c r="A188" s="1" t="s">
        <v>2347</v>
      </c>
      <c r="B188" s="104">
        <v>1</v>
      </c>
      <c r="C188" s="104">
        <v>1</v>
      </c>
      <c r="D188" s="1" t="s">
        <v>2348</v>
      </c>
      <c r="E188" s="4" t="s">
        <v>2346</v>
      </c>
      <c r="F188" s="106">
        <f>IF(COUNTIF($A$4:$A188,$A188)=1,1,0)</f>
        <v>1</v>
      </c>
      <c r="G188" s="106" cm="1">
        <f t="array" ref="G188">IF($F188=1,IF(SUMPRODUCT(--ISNUMBER(SEARCH(","&amp;$A188&amp;",",'Parts list'!$Z$4:$Z$185)))&gt;0,1,0),0)</f>
        <v>1</v>
      </c>
    </row>
    <row r="189" spans="1:7" x14ac:dyDescent="0.2">
      <c r="A189" s="1" t="s">
        <v>2347</v>
      </c>
      <c r="B189" s="104">
        <v>2</v>
      </c>
      <c r="C189" s="104">
        <v>2</v>
      </c>
      <c r="D189" s="1" t="s">
        <v>2168</v>
      </c>
      <c r="E189" s="4"/>
      <c r="F189" s="106">
        <f>IF(COUNTIF($A$4:$A189,$A189)=1,1,0)</f>
        <v>0</v>
      </c>
      <c r="G189" s="106" cm="1">
        <f t="array" ref="G189">IF($F189=1,IF(SUMPRODUCT(--ISNUMBER(SEARCH(","&amp;$A189&amp;",",'Parts list'!$Z$4:$Z$185)))&gt;0,1,0),0)</f>
        <v>0</v>
      </c>
    </row>
    <row r="190" spans="1:7" x14ac:dyDescent="0.2">
      <c r="A190" s="1" t="s">
        <v>2349</v>
      </c>
      <c r="B190" s="104">
        <v>1</v>
      </c>
      <c r="C190" s="104">
        <v>1</v>
      </c>
      <c r="D190" s="1" t="s">
        <v>2350</v>
      </c>
      <c r="E190" s="4" t="s">
        <v>2346</v>
      </c>
      <c r="F190" s="106">
        <f>IF(COUNTIF($A$4:$A190,$A190)=1,1,0)</f>
        <v>1</v>
      </c>
      <c r="G190" s="106" cm="1">
        <f t="array" ref="G190">IF($F190=1,IF(SUMPRODUCT(--ISNUMBER(SEARCH(","&amp;$A190&amp;",",'Parts list'!$Z$4:$Z$185)))&gt;0,1,0),0)</f>
        <v>1</v>
      </c>
    </row>
    <row r="191" spans="1:7" x14ac:dyDescent="0.2">
      <c r="A191" s="1" t="s">
        <v>2349</v>
      </c>
      <c r="B191" s="104">
        <v>2</v>
      </c>
      <c r="C191" s="104">
        <v>2</v>
      </c>
      <c r="D191" s="1" t="s">
        <v>2168</v>
      </c>
      <c r="E191" s="4"/>
      <c r="F191" s="106">
        <f>IF(COUNTIF($A$4:$A191,$A191)=1,1,0)</f>
        <v>0</v>
      </c>
      <c r="G191" s="106" cm="1">
        <f t="array" ref="G191">IF($F191=1,IF(SUMPRODUCT(--ISNUMBER(SEARCH(","&amp;$A191&amp;",",'Parts list'!$Z$4:$Z$185)))&gt;0,1,0),0)</f>
        <v>0</v>
      </c>
    </row>
    <row r="192" spans="1:7" x14ac:dyDescent="0.2">
      <c r="A192" s="1" t="s">
        <v>2351</v>
      </c>
      <c r="B192" s="104">
        <v>1</v>
      </c>
      <c r="C192" s="104">
        <v>1</v>
      </c>
      <c r="D192" s="1" t="s">
        <v>2352</v>
      </c>
      <c r="E192" s="4" t="s">
        <v>2346</v>
      </c>
      <c r="F192" s="106">
        <f>IF(COUNTIF($A$4:$A192,$A192)=1,1,0)</f>
        <v>1</v>
      </c>
      <c r="G192" s="106" cm="1">
        <f t="array" ref="G192">IF($F192=1,IF(SUMPRODUCT(--ISNUMBER(SEARCH(","&amp;$A192&amp;",",'Parts list'!$Z$4:$Z$185)))&gt;0,1,0),0)</f>
        <v>1</v>
      </c>
    </row>
    <row r="193" spans="1:7" x14ac:dyDescent="0.2">
      <c r="A193" s="1" t="s">
        <v>2351</v>
      </c>
      <c r="B193" s="104">
        <v>2</v>
      </c>
      <c r="C193" s="104">
        <v>2</v>
      </c>
      <c r="D193" s="1" t="s">
        <v>2168</v>
      </c>
      <c r="E193" s="4"/>
      <c r="F193" s="106">
        <f>IF(COUNTIF($A$4:$A193,$A193)=1,1,0)</f>
        <v>0</v>
      </c>
      <c r="G193" s="106" cm="1">
        <f t="array" ref="G193">IF($F193=1,IF(SUMPRODUCT(--ISNUMBER(SEARCH(","&amp;$A193&amp;",",'Parts list'!$Z$4:$Z$185)))&gt;0,1,0),0)</f>
        <v>0</v>
      </c>
    </row>
    <row r="194" spans="1:7" x14ac:dyDescent="0.2">
      <c r="A194" s="1" t="s">
        <v>2353</v>
      </c>
      <c r="B194" s="104">
        <v>1</v>
      </c>
      <c r="C194" s="104">
        <v>1</v>
      </c>
      <c r="D194" s="1" t="s">
        <v>2354</v>
      </c>
      <c r="E194" s="4" t="s">
        <v>2355</v>
      </c>
      <c r="F194" s="106">
        <f>IF(COUNTIF($A$4:$A194,$A194)=1,1,0)</f>
        <v>1</v>
      </c>
      <c r="G194" s="106" cm="1">
        <f t="array" ref="G194">IF($F194=1,IF(SUMPRODUCT(--ISNUMBER(SEARCH(","&amp;$A194&amp;",",'Parts list'!$Z$4:$Z$185)))&gt;0,1,0),0)</f>
        <v>1</v>
      </c>
    </row>
    <row r="195" spans="1:7" x14ac:dyDescent="0.2">
      <c r="A195" s="1" t="s">
        <v>2353</v>
      </c>
      <c r="B195" s="104">
        <v>2</v>
      </c>
      <c r="C195" s="104">
        <v>2</v>
      </c>
      <c r="D195" s="1" t="s">
        <v>2168</v>
      </c>
      <c r="E195" s="4"/>
      <c r="F195" s="106">
        <f>IF(COUNTIF($A$4:$A195,$A195)=1,1,0)</f>
        <v>0</v>
      </c>
      <c r="G195" s="106" cm="1">
        <f t="array" ref="G195">IF($F195=1,IF(SUMPRODUCT(--ISNUMBER(SEARCH(","&amp;$A195&amp;",",'Parts list'!$Z$4:$Z$185)))&gt;0,1,0),0)</f>
        <v>0</v>
      </c>
    </row>
    <row r="196" spans="1:7" x14ac:dyDescent="0.2">
      <c r="A196" s="1" t="s">
        <v>1048</v>
      </c>
      <c r="B196" s="104">
        <v>1</v>
      </c>
      <c r="C196" s="104">
        <v>1</v>
      </c>
      <c r="D196" s="1" t="s">
        <v>2356</v>
      </c>
      <c r="E196" s="4" t="s">
        <v>2357</v>
      </c>
      <c r="F196" s="106">
        <f>IF(COUNTIF($A$4:$A196,$A196)=1,1,0)</f>
        <v>1</v>
      </c>
      <c r="G196" s="106" cm="1">
        <f t="array" ref="G196">IF($F196=1,IF(SUMPRODUCT(--ISNUMBER(SEARCH(","&amp;$A196&amp;",",'Parts list'!$Z$4:$Z$185)))&gt;0,1,0),0)</f>
        <v>1</v>
      </c>
    </row>
    <row r="197" spans="1:7" x14ac:dyDescent="0.2">
      <c r="A197" s="1" t="s">
        <v>1048</v>
      </c>
      <c r="B197" s="104">
        <v>2</v>
      </c>
      <c r="C197" s="104">
        <v>2</v>
      </c>
      <c r="D197" s="1" t="s">
        <v>2168</v>
      </c>
      <c r="E197" s="4"/>
      <c r="F197" s="106">
        <f>IF(COUNTIF($A$4:$A197,$A197)=1,1,0)</f>
        <v>0</v>
      </c>
      <c r="G197" s="106" cm="1">
        <f t="array" ref="G197">IF($F197=1,IF(SUMPRODUCT(--ISNUMBER(SEARCH(","&amp;$A197&amp;",",'Parts list'!$Z$4:$Z$185)))&gt;0,1,0),0)</f>
        <v>0</v>
      </c>
    </row>
    <row r="198" spans="1:7" x14ac:dyDescent="0.2">
      <c r="A198" s="1" t="s">
        <v>2358</v>
      </c>
      <c r="B198" s="104">
        <v>1</v>
      </c>
      <c r="C198" s="104">
        <v>1</v>
      </c>
      <c r="D198" s="1" t="s">
        <v>2264</v>
      </c>
      <c r="E198" s="4" t="s">
        <v>2359</v>
      </c>
      <c r="F198" s="106">
        <f>IF(COUNTIF($A$4:$A198,$A198)=1,1,0)</f>
        <v>1</v>
      </c>
      <c r="G198" s="106" cm="1">
        <f t="array" ref="G198">IF($F198=1,IF(SUMPRODUCT(--ISNUMBER(SEARCH(","&amp;$A198&amp;",",'Parts list'!$Z$4:$Z$185)))&gt;0,1,0),0)</f>
        <v>1</v>
      </c>
    </row>
    <row r="199" spans="1:7" x14ac:dyDescent="0.2">
      <c r="A199" s="1" t="s">
        <v>2358</v>
      </c>
      <c r="B199" s="104">
        <v>2</v>
      </c>
      <c r="C199" s="104">
        <v>2</v>
      </c>
      <c r="D199" s="1" t="s">
        <v>2168</v>
      </c>
      <c r="E199" s="4"/>
      <c r="F199" s="106">
        <f>IF(COUNTIF($A$4:$A199,$A199)=1,1,0)</f>
        <v>0</v>
      </c>
      <c r="G199" s="106" cm="1">
        <f t="array" ref="G199">IF($F199=1,IF(SUMPRODUCT(--ISNUMBER(SEARCH(","&amp;$A199&amp;",",'Parts list'!$Z$4:$Z$185)))&gt;0,1,0),0)</f>
        <v>0</v>
      </c>
    </row>
    <row r="200" spans="1:7" x14ac:dyDescent="0.2">
      <c r="A200" s="1" t="s">
        <v>2360</v>
      </c>
      <c r="B200" s="104">
        <v>1</v>
      </c>
      <c r="C200" s="104">
        <v>1</v>
      </c>
      <c r="D200" s="1" t="s">
        <v>2267</v>
      </c>
      <c r="E200" s="4" t="s">
        <v>2361</v>
      </c>
      <c r="F200" s="106">
        <f>IF(COUNTIF($A$4:$A200,$A200)=1,1,0)</f>
        <v>1</v>
      </c>
      <c r="G200" s="106" cm="1">
        <f t="array" ref="G200">IF($F200=1,IF(SUMPRODUCT(--ISNUMBER(SEARCH(","&amp;$A200&amp;",",'Parts list'!$Z$4:$Z$185)))&gt;0,1,0),0)</f>
        <v>1</v>
      </c>
    </row>
    <row r="201" spans="1:7" x14ac:dyDescent="0.2">
      <c r="A201" s="1" t="s">
        <v>2360</v>
      </c>
      <c r="B201" s="104">
        <v>2</v>
      </c>
      <c r="C201" s="104">
        <v>2</v>
      </c>
      <c r="D201" s="1" t="s">
        <v>2168</v>
      </c>
      <c r="E201" s="4"/>
      <c r="F201" s="106">
        <f>IF(COUNTIF($A$4:$A201,$A201)=1,1,0)</f>
        <v>0</v>
      </c>
      <c r="G201" s="106" cm="1">
        <f t="array" ref="G201">IF($F201=1,IF(SUMPRODUCT(--ISNUMBER(SEARCH(","&amp;$A201&amp;",",'Parts list'!$Z$4:$Z$185)))&gt;0,1,0),0)</f>
        <v>0</v>
      </c>
    </row>
    <row r="202" spans="1:7" x14ac:dyDescent="0.2">
      <c r="A202" s="1" t="s">
        <v>2362</v>
      </c>
      <c r="B202" s="104">
        <v>1</v>
      </c>
      <c r="C202" s="104">
        <v>1</v>
      </c>
      <c r="D202" s="1" t="s">
        <v>2363</v>
      </c>
      <c r="E202" s="4" t="s">
        <v>2364</v>
      </c>
      <c r="F202" s="106">
        <f>IF(COUNTIF($A$4:$A202,$A202)=1,1,0)</f>
        <v>1</v>
      </c>
      <c r="G202" s="106" cm="1">
        <f t="array" ref="G202">IF($F202=1,IF(SUMPRODUCT(--ISNUMBER(SEARCH(","&amp;$A202&amp;",",'Parts list'!$Z$4:$Z$185)))&gt;0,1,0),0)</f>
        <v>1</v>
      </c>
    </row>
    <row r="203" spans="1:7" x14ac:dyDescent="0.2">
      <c r="A203" s="1" t="s">
        <v>2362</v>
      </c>
      <c r="B203" s="104">
        <v>2</v>
      </c>
      <c r="C203" s="104">
        <v>2</v>
      </c>
      <c r="D203" s="1" t="s">
        <v>2168</v>
      </c>
      <c r="E203" s="4"/>
      <c r="F203" s="106">
        <f>IF(COUNTIF($A$4:$A203,$A203)=1,1,0)</f>
        <v>0</v>
      </c>
      <c r="G203" s="106" cm="1">
        <f t="array" ref="G203">IF($F203=1,IF(SUMPRODUCT(--ISNUMBER(SEARCH(","&amp;$A203&amp;",",'Parts list'!$Z$4:$Z$185)))&gt;0,1,0),0)</f>
        <v>0</v>
      </c>
    </row>
    <row r="204" spans="1:7" x14ac:dyDescent="0.2">
      <c r="A204" s="1" t="s">
        <v>2365</v>
      </c>
      <c r="B204" s="104">
        <v>1</v>
      </c>
      <c r="C204" s="104">
        <v>1</v>
      </c>
      <c r="D204" s="1" t="s">
        <v>2366</v>
      </c>
      <c r="E204" s="4" t="s">
        <v>2367</v>
      </c>
      <c r="F204" s="106">
        <f>IF(COUNTIF($A$4:$A204,$A204)=1,1,0)</f>
        <v>1</v>
      </c>
      <c r="G204" s="106" cm="1">
        <f t="array" ref="G204">IF($F204=1,IF(SUMPRODUCT(--ISNUMBER(SEARCH(","&amp;$A204&amp;",",'Parts list'!$Z$4:$Z$185)))&gt;0,1,0),0)</f>
        <v>1</v>
      </c>
    </row>
    <row r="205" spans="1:7" x14ac:dyDescent="0.2">
      <c r="A205" s="1" t="s">
        <v>2365</v>
      </c>
      <c r="B205" s="104">
        <v>2</v>
      </c>
      <c r="C205" s="104">
        <v>2</v>
      </c>
      <c r="D205" s="1" t="s">
        <v>2168</v>
      </c>
      <c r="E205" s="4"/>
      <c r="F205" s="106">
        <f>IF(COUNTIF($A$4:$A205,$A205)=1,1,0)</f>
        <v>0</v>
      </c>
      <c r="G205" s="106" cm="1">
        <f t="array" ref="G205">IF($F205=1,IF(SUMPRODUCT(--ISNUMBER(SEARCH(","&amp;$A205&amp;",",'Parts list'!$Z$4:$Z$185)))&gt;0,1,0),0)</f>
        <v>0</v>
      </c>
    </row>
    <row r="206" spans="1:7" x14ac:dyDescent="0.2">
      <c r="A206" s="1" t="s">
        <v>2368</v>
      </c>
      <c r="B206" s="104">
        <v>1</v>
      </c>
      <c r="C206" s="104">
        <v>1</v>
      </c>
      <c r="D206" s="1" t="s">
        <v>2208</v>
      </c>
      <c r="E206" s="4" t="s">
        <v>2369</v>
      </c>
      <c r="F206" s="106">
        <f>IF(COUNTIF($A$4:$A206,$A206)=1,1,0)</f>
        <v>1</v>
      </c>
      <c r="G206" s="106" cm="1">
        <f t="array" ref="G206">IF($F206=1,IF(SUMPRODUCT(--ISNUMBER(SEARCH(","&amp;$A206&amp;",",'Parts list'!$Z$4:$Z$185)))&gt;0,1,0),0)</f>
        <v>1</v>
      </c>
    </row>
    <row r="207" spans="1:7" x14ac:dyDescent="0.2">
      <c r="A207" s="1" t="s">
        <v>2368</v>
      </c>
      <c r="B207" s="104">
        <v>2</v>
      </c>
      <c r="C207" s="104">
        <v>2</v>
      </c>
      <c r="D207" s="1" t="s">
        <v>2168</v>
      </c>
      <c r="E207" s="4"/>
      <c r="F207" s="106">
        <f>IF(COUNTIF($A$4:$A207,$A207)=1,1,0)</f>
        <v>0</v>
      </c>
      <c r="G207" s="106" cm="1">
        <f t="array" ref="G207">IF($F207=1,IF(SUMPRODUCT(--ISNUMBER(SEARCH(","&amp;$A207&amp;",",'Parts list'!$Z$4:$Z$185)))&gt;0,1,0),0)</f>
        <v>0</v>
      </c>
    </row>
    <row r="208" spans="1:7" x14ac:dyDescent="0.2">
      <c r="A208" s="1" t="s">
        <v>2370</v>
      </c>
      <c r="B208" s="104">
        <v>1</v>
      </c>
      <c r="C208" s="104">
        <v>1</v>
      </c>
      <c r="D208" s="1" t="s">
        <v>2208</v>
      </c>
      <c r="E208" s="4" t="s">
        <v>2371</v>
      </c>
      <c r="F208" s="106">
        <f>IF(COUNTIF($A$4:$A208,$A208)=1,1,0)</f>
        <v>1</v>
      </c>
      <c r="G208" s="106" cm="1">
        <f t="array" ref="G208">IF($F208=1,IF(SUMPRODUCT(--ISNUMBER(SEARCH(","&amp;$A208&amp;",",'Parts list'!$Z$4:$Z$185)))&gt;0,1,0),0)</f>
        <v>1</v>
      </c>
    </row>
    <row r="209" spans="1:7" x14ac:dyDescent="0.2">
      <c r="A209" s="1" t="s">
        <v>2370</v>
      </c>
      <c r="B209" s="104">
        <v>2</v>
      </c>
      <c r="C209" s="104">
        <v>2</v>
      </c>
      <c r="D209" s="1" t="s">
        <v>2168</v>
      </c>
      <c r="E209" s="4"/>
      <c r="F209" s="106">
        <f>IF(COUNTIF($A$4:$A209,$A209)=1,1,0)</f>
        <v>0</v>
      </c>
      <c r="G209" s="106" cm="1">
        <f t="array" ref="G209">IF($F209=1,IF(SUMPRODUCT(--ISNUMBER(SEARCH(","&amp;$A209&amp;",",'Parts list'!$Z$4:$Z$185)))&gt;0,1,0),0)</f>
        <v>0</v>
      </c>
    </row>
    <row r="210" spans="1:7" x14ac:dyDescent="0.2">
      <c r="A210" s="1" t="s">
        <v>1063</v>
      </c>
      <c r="B210" s="104">
        <v>1</v>
      </c>
      <c r="C210" s="104">
        <v>1</v>
      </c>
      <c r="D210" s="1" t="s">
        <v>2372</v>
      </c>
      <c r="E210" s="4" t="s">
        <v>2373</v>
      </c>
      <c r="F210" s="106">
        <f>IF(COUNTIF($A$4:$A210,$A210)=1,1,0)</f>
        <v>1</v>
      </c>
      <c r="G210" s="106" cm="1">
        <f t="array" ref="G210">IF($F210=1,IF(SUMPRODUCT(--ISNUMBER(SEARCH(","&amp;$A210&amp;",",'Parts list'!$Z$4:$Z$185)))&gt;0,1,0),0)</f>
        <v>1</v>
      </c>
    </row>
    <row r="211" spans="1:7" x14ac:dyDescent="0.2">
      <c r="A211" s="1" t="s">
        <v>1063</v>
      </c>
      <c r="B211" s="104">
        <v>2</v>
      </c>
      <c r="C211" s="104">
        <v>2</v>
      </c>
      <c r="D211" s="1" t="s">
        <v>2374</v>
      </c>
      <c r="E211" s="4"/>
      <c r="F211" s="106">
        <f>IF(COUNTIF($A$4:$A211,$A211)=1,1,0)</f>
        <v>0</v>
      </c>
      <c r="G211" s="106" cm="1">
        <f t="array" ref="G211">IF($F211=1,IF(SUMPRODUCT(--ISNUMBER(SEARCH(","&amp;$A211&amp;",",'Parts list'!$Z$4:$Z$185)))&gt;0,1,0),0)</f>
        <v>0</v>
      </c>
    </row>
    <row r="212" spans="1:7" x14ac:dyDescent="0.2">
      <c r="A212" s="1" t="s">
        <v>1067</v>
      </c>
      <c r="B212" s="104">
        <v>1</v>
      </c>
      <c r="C212" s="104">
        <v>1</v>
      </c>
      <c r="D212" s="1" t="s">
        <v>2375</v>
      </c>
      <c r="E212" s="4" t="s">
        <v>2376</v>
      </c>
      <c r="F212" s="106">
        <f>IF(COUNTIF($A$4:$A212,$A212)=1,1,0)</f>
        <v>1</v>
      </c>
      <c r="G212" s="106" cm="1">
        <f t="array" ref="G212">IF($F212=1,IF(SUMPRODUCT(--ISNUMBER(SEARCH(","&amp;$A212&amp;",",'Parts list'!$Z$4:$Z$185)))&gt;0,1,0),0)</f>
        <v>1</v>
      </c>
    </row>
    <row r="213" spans="1:7" x14ac:dyDescent="0.2">
      <c r="A213" s="1" t="s">
        <v>1067</v>
      </c>
      <c r="B213" s="104">
        <v>2</v>
      </c>
      <c r="C213" s="104">
        <v>2</v>
      </c>
      <c r="D213" s="1" t="s">
        <v>2168</v>
      </c>
      <c r="E213" s="4"/>
      <c r="F213" s="106">
        <f>IF(COUNTIF($A$4:$A213,$A213)=1,1,0)</f>
        <v>0</v>
      </c>
      <c r="G213" s="106" cm="1">
        <f t="array" ref="G213">IF($F213=1,IF(SUMPRODUCT(--ISNUMBER(SEARCH(","&amp;$A213&amp;",",'Parts list'!$Z$4:$Z$185)))&gt;0,1,0),0)</f>
        <v>0</v>
      </c>
    </row>
    <row r="214" spans="1:7" x14ac:dyDescent="0.2">
      <c r="A214" s="1" t="s">
        <v>2377</v>
      </c>
      <c r="B214" s="104">
        <v>1</v>
      </c>
      <c r="C214" s="104">
        <v>1</v>
      </c>
      <c r="D214" s="1" t="s">
        <v>2264</v>
      </c>
      <c r="E214" s="4" t="s">
        <v>2378</v>
      </c>
      <c r="F214" s="106">
        <f>IF(COUNTIF($A$4:$A214,$A214)=1,1,0)</f>
        <v>1</v>
      </c>
      <c r="G214" s="106" cm="1">
        <f t="array" ref="G214">IF($F214=1,IF(SUMPRODUCT(--ISNUMBER(SEARCH(","&amp;$A214&amp;",",'Parts list'!$Z$4:$Z$185)))&gt;0,1,0),0)</f>
        <v>1</v>
      </c>
    </row>
    <row r="215" spans="1:7" x14ac:dyDescent="0.2">
      <c r="A215" s="1" t="s">
        <v>2377</v>
      </c>
      <c r="B215" s="104">
        <v>2</v>
      </c>
      <c r="C215" s="104">
        <v>2</v>
      </c>
      <c r="D215" s="1" t="s">
        <v>2168</v>
      </c>
      <c r="E215" s="4"/>
      <c r="F215" s="106">
        <f>IF(COUNTIF($A$4:$A215,$A215)=1,1,0)</f>
        <v>0</v>
      </c>
      <c r="G215" s="106" cm="1">
        <f t="array" ref="G215">IF($F215=1,IF(SUMPRODUCT(--ISNUMBER(SEARCH(","&amp;$A215&amp;",",'Parts list'!$Z$4:$Z$185)))&gt;0,1,0),0)</f>
        <v>0</v>
      </c>
    </row>
    <row r="216" spans="1:7" x14ac:dyDescent="0.2">
      <c r="A216" s="1" t="s">
        <v>2379</v>
      </c>
      <c r="B216" s="104">
        <v>1</v>
      </c>
      <c r="C216" s="104">
        <v>1</v>
      </c>
      <c r="D216" s="1" t="s">
        <v>2267</v>
      </c>
      <c r="E216" s="4" t="s">
        <v>2380</v>
      </c>
      <c r="F216" s="106">
        <f>IF(COUNTIF($A$4:$A216,$A216)=1,1,0)</f>
        <v>1</v>
      </c>
      <c r="G216" s="106" cm="1">
        <f t="array" ref="G216">IF($F216=1,IF(SUMPRODUCT(--ISNUMBER(SEARCH(","&amp;$A216&amp;",",'Parts list'!$Z$4:$Z$185)))&gt;0,1,0),0)</f>
        <v>1</v>
      </c>
    </row>
    <row r="217" spans="1:7" x14ac:dyDescent="0.2">
      <c r="A217" s="1" t="s">
        <v>2379</v>
      </c>
      <c r="B217" s="104">
        <v>2</v>
      </c>
      <c r="C217" s="104">
        <v>2</v>
      </c>
      <c r="D217" s="1" t="s">
        <v>2168</v>
      </c>
      <c r="E217" s="4"/>
      <c r="F217" s="106">
        <f>IF(COUNTIF($A$4:$A217,$A217)=1,1,0)</f>
        <v>0</v>
      </c>
      <c r="G217" s="106" cm="1">
        <f t="array" ref="G217">IF($F217=1,IF(SUMPRODUCT(--ISNUMBER(SEARCH(","&amp;$A217&amp;",",'Parts list'!$Z$4:$Z$185)))&gt;0,1,0),0)</f>
        <v>0</v>
      </c>
    </row>
    <row r="218" spans="1:7" x14ac:dyDescent="0.2">
      <c r="A218" s="1" t="s">
        <v>2381</v>
      </c>
      <c r="B218" s="104">
        <v>1</v>
      </c>
      <c r="C218" s="104">
        <v>1</v>
      </c>
      <c r="D218" s="1" t="s">
        <v>2181</v>
      </c>
      <c r="E218" s="4" t="s">
        <v>2382</v>
      </c>
      <c r="F218" s="106">
        <f>IF(COUNTIF($A$4:$A218,$A218)=1,1,0)</f>
        <v>1</v>
      </c>
      <c r="G218" s="106" cm="1">
        <f t="array" ref="G218">IF($F218=1,IF(SUMPRODUCT(--ISNUMBER(SEARCH(","&amp;$A218&amp;",",'Parts list'!$Z$4:$Z$185)))&gt;0,1,0),0)</f>
        <v>1</v>
      </c>
    </row>
    <row r="219" spans="1:7" x14ac:dyDescent="0.2">
      <c r="A219" s="1" t="s">
        <v>2381</v>
      </c>
      <c r="B219" s="104">
        <v>2</v>
      </c>
      <c r="C219" s="104">
        <v>2</v>
      </c>
      <c r="D219" s="1" t="s">
        <v>2168</v>
      </c>
      <c r="E219" s="4"/>
      <c r="F219" s="106">
        <f>IF(COUNTIF($A$4:$A219,$A219)=1,1,0)</f>
        <v>0</v>
      </c>
      <c r="G219" s="106" cm="1">
        <f t="array" ref="G219">IF($F219=1,IF(SUMPRODUCT(--ISNUMBER(SEARCH(","&amp;$A219&amp;",",'Parts list'!$Z$4:$Z$185)))&gt;0,1,0),0)</f>
        <v>0</v>
      </c>
    </row>
    <row r="220" spans="1:7" x14ac:dyDescent="0.2">
      <c r="A220" s="1" t="s">
        <v>2383</v>
      </c>
      <c r="B220" s="104">
        <v>1</v>
      </c>
      <c r="C220" s="104">
        <v>1</v>
      </c>
      <c r="D220" s="1" t="s">
        <v>2384</v>
      </c>
      <c r="E220" s="4" t="s">
        <v>2385</v>
      </c>
      <c r="F220" s="106">
        <f>IF(COUNTIF($A$4:$A220,$A220)=1,1,0)</f>
        <v>1</v>
      </c>
      <c r="G220" s="106" cm="1">
        <f t="array" ref="G220">IF($F220=1,IF(SUMPRODUCT(--ISNUMBER(SEARCH(","&amp;$A220&amp;",",'Parts list'!$Z$4:$Z$185)))&gt;0,1,0),0)</f>
        <v>1</v>
      </c>
    </row>
    <row r="221" spans="1:7" x14ac:dyDescent="0.2">
      <c r="A221" s="1" t="s">
        <v>2383</v>
      </c>
      <c r="B221" s="104">
        <v>2</v>
      </c>
      <c r="C221" s="104">
        <v>2</v>
      </c>
      <c r="D221" s="1" t="s">
        <v>2168</v>
      </c>
      <c r="E221" s="4"/>
      <c r="F221" s="106">
        <f>IF(COUNTIF($A$4:$A221,$A221)=1,1,0)</f>
        <v>0</v>
      </c>
      <c r="G221" s="106" cm="1">
        <f t="array" ref="G221">IF($F221=1,IF(SUMPRODUCT(--ISNUMBER(SEARCH(","&amp;$A221&amp;",",'Parts list'!$Z$4:$Z$185)))&gt;0,1,0),0)</f>
        <v>0</v>
      </c>
    </row>
    <row r="222" spans="1:7" x14ac:dyDescent="0.2">
      <c r="A222" s="1" t="s">
        <v>2386</v>
      </c>
      <c r="B222" s="104">
        <v>1</v>
      </c>
      <c r="C222" s="104">
        <v>1</v>
      </c>
      <c r="D222" s="1" t="s">
        <v>2208</v>
      </c>
      <c r="E222" s="4" t="s">
        <v>2387</v>
      </c>
      <c r="F222" s="106">
        <f>IF(COUNTIF($A$4:$A222,$A222)=1,1,0)</f>
        <v>1</v>
      </c>
      <c r="G222" s="106" cm="1">
        <f t="array" ref="G222">IF($F222=1,IF(SUMPRODUCT(--ISNUMBER(SEARCH(","&amp;$A222&amp;",",'Parts list'!$Z$4:$Z$185)))&gt;0,1,0),0)</f>
        <v>1</v>
      </c>
    </row>
    <row r="223" spans="1:7" x14ac:dyDescent="0.2">
      <c r="A223" s="1" t="s">
        <v>2386</v>
      </c>
      <c r="B223" s="104">
        <v>2</v>
      </c>
      <c r="C223" s="104">
        <v>2</v>
      </c>
      <c r="D223" s="1" t="s">
        <v>2168</v>
      </c>
      <c r="E223" s="4"/>
      <c r="F223" s="106">
        <f>IF(COUNTIF($A$4:$A223,$A223)=1,1,0)</f>
        <v>0</v>
      </c>
      <c r="G223" s="106" cm="1">
        <f t="array" ref="G223">IF($F223=1,IF(SUMPRODUCT(--ISNUMBER(SEARCH(","&amp;$A223&amp;",",'Parts list'!$Z$4:$Z$185)))&gt;0,1,0),0)</f>
        <v>0</v>
      </c>
    </row>
    <row r="224" spans="1:7" x14ac:dyDescent="0.2">
      <c r="A224" s="1" t="s">
        <v>2388</v>
      </c>
      <c r="B224" s="104">
        <v>1</v>
      </c>
      <c r="C224" s="104">
        <v>1</v>
      </c>
      <c r="D224" s="1" t="s">
        <v>2389</v>
      </c>
      <c r="E224" s="4" t="s">
        <v>2390</v>
      </c>
      <c r="F224" s="106">
        <f>IF(COUNTIF($A$4:$A224,$A224)=1,1,0)</f>
        <v>1</v>
      </c>
      <c r="G224" s="106" cm="1">
        <f t="array" ref="G224">IF($F224=1,IF(SUMPRODUCT(--ISNUMBER(SEARCH(","&amp;$A224&amp;",",'Parts list'!$Z$4:$Z$185)))&gt;0,1,0),0)</f>
        <v>1</v>
      </c>
    </row>
    <row r="225" spans="1:7" x14ac:dyDescent="0.2">
      <c r="A225" s="1" t="s">
        <v>2388</v>
      </c>
      <c r="B225" s="104">
        <v>2</v>
      </c>
      <c r="C225" s="104">
        <v>2</v>
      </c>
      <c r="D225" s="1" t="s">
        <v>2168</v>
      </c>
      <c r="E225" s="4"/>
      <c r="F225" s="106">
        <f>IF(COUNTIF($A$4:$A225,$A225)=1,1,0)</f>
        <v>0</v>
      </c>
      <c r="G225" s="106" cm="1">
        <f t="array" ref="G225">IF($F225=1,IF(SUMPRODUCT(--ISNUMBER(SEARCH(","&amp;$A225&amp;",",'Parts list'!$Z$4:$Z$185)))&gt;0,1,0),0)</f>
        <v>0</v>
      </c>
    </row>
    <row r="226" spans="1:7" x14ac:dyDescent="0.2">
      <c r="A226" s="1" t="s">
        <v>2391</v>
      </c>
      <c r="B226" s="104">
        <v>1</v>
      </c>
      <c r="C226" s="104">
        <v>1</v>
      </c>
      <c r="D226" s="1" t="s">
        <v>2392</v>
      </c>
      <c r="E226" s="4" t="s">
        <v>2390</v>
      </c>
      <c r="F226" s="106">
        <f>IF(COUNTIF($A$4:$A226,$A226)=1,1,0)</f>
        <v>1</v>
      </c>
      <c r="G226" s="106" cm="1">
        <f t="array" ref="G226">IF($F226=1,IF(SUMPRODUCT(--ISNUMBER(SEARCH(","&amp;$A226&amp;",",'Parts list'!$Z$4:$Z$185)))&gt;0,1,0),0)</f>
        <v>1</v>
      </c>
    </row>
    <row r="227" spans="1:7" x14ac:dyDescent="0.2">
      <c r="A227" s="1" t="s">
        <v>2391</v>
      </c>
      <c r="B227" s="104">
        <v>2</v>
      </c>
      <c r="C227" s="104">
        <v>2</v>
      </c>
      <c r="D227" s="1" t="s">
        <v>2168</v>
      </c>
      <c r="E227" s="4"/>
      <c r="F227" s="106">
        <f>IF(COUNTIF($A$4:$A227,$A227)=1,1,0)</f>
        <v>0</v>
      </c>
      <c r="G227" s="106" cm="1">
        <f t="array" ref="G227">IF($F227=1,IF(SUMPRODUCT(--ISNUMBER(SEARCH(","&amp;$A227&amp;",",'Parts list'!$Z$4:$Z$185)))&gt;0,1,0),0)</f>
        <v>0</v>
      </c>
    </row>
    <row r="228" spans="1:7" x14ac:dyDescent="0.2">
      <c r="A228" s="1" t="s">
        <v>2393</v>
      </c>
      <c r="B228" s="104">
        <v>1</v>
      </c>
      <c r="C228" s="104">
        <v>1</v>
      </c>
      <c r="D228" s="1" t="s">
        <v>2394</v>
      </c>
      <c r="E228" s="4" t="s">
        <v>2390</v>
      </c>
      <c r="F228" s="106">
        <f>IF(COUNTIF($A$4:$A228,$A228)=1,1,0)</f>
        <v>1</v>
      </c>
      <c r="G228" s="106" cm="1">
        <f t="array" ref="G228">IF($F228=1,IF(SUMPRODUCT(--ISNUMBER(SEARCH(","&amp;$A228&amp;",",'Parts list'!$Z$4:$Z$185)))&gt;0,1,0),0)</f>
        <v>1</v>
      </c>
    </row>
    <row r="229" spans="1:7" x14ac:dyDescent="0.2">
      <c r="A229" s="1" t="s">
        <v>2393</v>
      </c>
      <c r="B229" s="104">
        <v>2</v>
      </c>
      <c r="C229" s="104">
        <v>2</v>
      </c>
      <c r="D229" s="1" t="s">
        <v>2168</v>
      </c>
      <c r="E229" s="4"/>
      <c r="F229" s="106">
        <f>IF(COUNTIF($A$4:$A229,$A229)=1,1,0)</f>
        <v>0</v>
      </c>
      <c r="G229" s="106" cm="1">
        <f t="array" ref="G229">IF($F229=1,IF(SUMPRODUCT(--ISNUMBER(SEARCH(","&amp;$A229&amp;",",'Parts list'!$Z$4:$Z$185)))&gt;0,1,0),0)</f>
        <v>0</v>
      </c>
    </row>
    <row r="230" spans="1:7" x14ac:dyDescent="0.2">
      <c r="A230" s="1" t="s">
        <v>2395</v>
      </c>
      <c r="B230" s="104">
        <v>1</v>
      </c>
      <c r="C230" s="104">
        <v>1</v>
      </c>
      <c r="D230" s="1" t="s">
        <v>2396</v>
      </c>
      <c r="E230" s="4" t="s">
        <v>2390</v>
      </c>
      <c r="F230" s="106">
        <f>IF(COUNTIF($A$4:$A230,$A230)=1,1,0)</f>
        <v>1</v>
      </c>
      <c r="G230" s="106" cm="1">
        <f t="array" ref="G230">IF($F230=1,IF(SUMPRODUCT(--ISNUMBER(SEARCH(","&amp;$A230&amp;",",'Parts list'!$Z$4:$Z$185)))&gt;0,1,0),0)</f>
        <v>1</v>
      </c>
    </row>
    <row r="231" spans="1:7" x14ac:dyDescent="0.2">
      <c r="A231" s="1" t="s">
        <v>2395</v>
      </c>
      <c r="B231" s="104">
        <v>2</v>
      </c>
      <c r="C231" s="104">
        <v>2</v>
      </c>
      <c r="D231" s="1" t="s">
        <v>2168</v>
      </c>
      <c r="E231" s="4"/>
      <c r="F231" s="106">
        <f>IF(COUNTIF($A$4:$A231,$A231)=1,1,0)</f>
        <v>0</v>
      </c>
      <c r="G231" s="106" cm="1">
        <f t="array" ref="G231">IF($F231=1,IF(SUMPRODUCT(--ISNUMBER(SEARCH(","&amp;$A231&amp;",",'Parts list'!$Z$4:$Z$185)))&gt;0,1,0),0)</f>
        <v>0</v>
      </c>
    </row>
    <row r="232" spans="1:7" x14ac:dyDescent="0.2">
      <c r="A232" s="1" t="s">
        <v>2397</v>
      </c>
      <c r="B232" s="104">
        <v>1</v>
      </c>
      <c r="C232" s="104">
        <v>1</v>
      </c>
      <c r="D232" s="1" t="s">
        <v>2264</v>
      </c>
      <c r="E232" s="4" t="s">
        <v>2398</v>
      </c>
      <c r="F232" s="106">
        <f>IF(COUNTIF($A$4:$A232,$A232)=1,1,0)</f>
        <v>1</v>
      </c>
      <c r="G232" s="106" cm="1">
        <f t="array" ref="G232">IF($F232=1,IF(SUMPRODUCT(--ISNUMBER(SEARCH(","&amp;$A232&amp;",",'Parts list'!$Z$4:$Z$185)))&gt;0,1,0),0)</f>
        <v>1</v>
      </c>
    </row>
    <row r="233" spans="1:7" x14ac:dyDescent="0.2">
      <c r="A233" s="1" t="s">
        <v>2397</v>
      </c>
      <c r="B233" s="104">
        <v>2</v>
      </c>
      <c r="C233" s="104">
        <v>2</v>
      </c>
      <c r="D233" s="1" t="s">
        <v>2168</v>
      </c>
      <c r="E233" s="4"/>
      <c r="F233" s="106">
        <f>IF(COUNTIF($A$4:$A233,$A233)=1,1,0)</f>
        <v>0</v>
      </c>
      <c r="G233" s="106" cm="1">
        <f t="array" ref="G233">IF($F233=1,IF(SUMPRODUCT(--ISNUMBER(SEARCH(","&amp;$A233&amp;",",'Parts list'!$Z$4:$Z$185)))&gt;0,1,0),0)</f>
        <v>0</v>
      </c>
    </row>
    <row r="234" spans="1:7" x14ac:dyDescent="0.2">
      <c r="A234" s="1" t="s">
        <v>2399</v>
      </c>
      <c r="B234" s="104">
        <v>1</v>
      </c>
      <c r="C234" s="104">
        <v>1</v>
      </c>
      <c r="D234" s="1" t="s">
        <v>2267</v>
      </c>
      <c r="E234" s="4" t="s">
        <v>2400</v>
      </c>
      <c r="F234" s="106">
        <f>IF(COUNTIF($A$4:$A234,$A234)=1,1,0)</f>
        <v>1</v>
      </c>
      <c r="G234" s="106" cm="1">
        <f t="array" ref="G234">IF($F234=1,IF(SUMPRODUCT(--ISNUMBER(SEARCH(","&amp;$A234&amp;",",'Parts list'!$Z$4:$Z$185)))&gt;0,1,0),0)</f>
        <v>1</v>
      </c>
    </row>
    <row r="235" spans="1:7" x14ac:dyDescent="0.2">
      <c r="A235" s="1" t="s">
        <v>2399</v>
      </c>
      <c r="B235" s="104">
        <v>2</v>
      </c>
      <c r="C235" s="104">
        <v>2</v>
      </c>
      <c r="D235" s="1" t="s">
        <v>2168</v>
      </c>
      <c r="E235" s="4"/>
      <c r="F235" s="106">
        <f>IF(COUNTIF($A$4:$A235,$A235)=1,1,0)</f>
        <v>0</v>
      </c>
      <c r="G235" s="106" cm="1">
        <f t="array" ref="G235">IF($F235=1,IF(SUMPRODUCT(--ISNUMBER(SEARCH(","&amp;$A235&amp;",",'Parts list'!$Z$4:$Z$185)))&gt;0,1,0),0)</f>
        <v>0</v>
      </c>
    </row>
    <row r="236" spans="1:7" x14ac:dyDescent="0.2">
      <c r="A236" s="1" t="s">
        <v>2401</v>
      </c>
      <c r="B236" s="104">
        <v>1</v>
      </c>
      <c r="C236" s="104">
        <v>1</v>
      </c>
      <c r="D236" s="1" t="s">
        <v>2264</v>
      </c>
      <c r="E236" s="4" t="s">
        <v>2402</v>
      </c>
      <c r="F236" s="106">
        <f>IF(COUNTIF($A$4:$A236,$A236)=1,1,0)</f>
        <v>1</v>
      </c>
      <c r="G236" s="106" cm="1">
        <f t="array" ref="G236">IF($F236=1,IF(SUMPRODUCT(--ISNUMBER(SEARCH(","&amp;$A236&amp;",",'Parts list'!$Z$4:$Z$185)))&gt;0,1,0),0)</f>
        <v>1</v>
      </c>
    </row>
    <row r="237" spans="1:7" x14ac:dyDescent="0.2">
      <c r="A237" s="1" t="s">
        <v>2401</v>
      </c>
      <c r="B237" s="104">
        <v>2</v>
      </c>
      <c r="C237" s="104">
        <v>2</v>
      </c>
      <c r="D237" s="1" t="s">
        <v>2168</v>
      </c>
      <c r="E237" s="4"/>
      <c r="F237" s="106">
        <f>IF(COUNTIF($A$4:$A237,$A237)=1,1,0)</f>
        <v>0</v>
      </c>
      <c r="G237" s="106" cm="1">
        <f t="array" ref="G237">IF($F237=1,IF(SUMPRODUCT(--ISNUMBER(SEARCH(","&amp;$A237&amp;",",'Parts list'!$Z$4:$Z$185)))&gt;0,1,0),0)</f>
        <v>0</v>
      </c>
    </row>
    <row r="238" spans="1:7" x14ac:dyDescent="0.2">
      <c r="A238" s="1" t="s">
        <v>2403</v>
      </c>
      <c r="B238" s="104">
        <v>1</v>
      </c>
      <c r="C238" s="104">
        <v>1</v>
      </c>
      <c r="D238" s="1" t="s">
        <v>2267</v>
      </c>
      <c r="E238" s="4" t="s">
        <v>2404</v>
      </c>
      <c r="F238" s="106">
        <f>IF(COUNTIF($A$4:$A238,$A238)=1,1,0)</f>
        <v>1</v>
      </c>
      <c r="G238" s="106" cm="1">
        <f t="array" ref="G238">IF($F238=1,IF(SUMPRODUCT(--ISNUMBER(SEARCH(","&amp;$A238&amp;",",'Parts list'!$Z$4:$Z$185)))&gt;0,1,0),0)</f>
        <v>1</v>
      </c>
    </row>
    <row r="239" spans="1:7" x14ac:dyDescent="0.2">
      <c r="A239" s="1" t="s">
        <v>2403</v>
      </c>
      <c r="B239" s="104">
        <v>2</v>
      </c>
      <c r="C239" s="104">
        <v>2</v>
      </c>
      <c r="D239" s="1" t="s">
        <v>2168</v>
      </c>
      <c r="E239" s="4"/>
      <c r="F239" s="106">
        <f>IF(COUNTIF($A$4:$A239,$A239)=1,1,0)</f>
        <v>0</v>
      </c>
      <c r="G239" s="106" cm="1">
        <f t="array" ref="G239">IF($F239=1,IF(SUMPRODUCT(--ISNUMBER(SEARCH(","&amp;$A239&amp;",",'Parts list'!$Z$4:$Z$185)))&gt;0,1,0),0)</f>
        <v>0</v>
      </c>
    </row>
    <row r="240" spans="1:7" x14ac:dyDescent="0.2">
      <c r="A240" s="1" t="s">
        <v>2405</v>
      </c>
      <c r="B240" s="104">
        <v>1</v>
      </c>
      <c r="C240" s="104">
        <v>1</v>
      </c>
      <c r="D240" s="1" t="s">
        <v>2406</v>
      </c>
      <c r="E240" s="4" t="s">
        <v>2407</v>
      </c>
      <c r="F240" s="106">
        <f>IF(COUNTIF($A$4:$A240,$A240)=1,1,0)</f>
        <v>1</v>
      </c>
      <c r="G240" s="106" cm="1">
        <f t="array" ref="G240">IF($F240=1,IF(SUMPRODUCT(--ISNUMBER(SEARCH(","&amp;$A240&amp;",",'Parts list'!$Z$4:$Z$185)))&gt;0,1,0),0)</f>
        <v>1</v>
      </c>
    </row>
    <row r="241" spans="1:7" x14ac:dyDescent="0.2">
      <c r="A241" s="1" t="s">
        <v>2405</v>
      </c>
      <c r="B241" s="104">
        <v>2</v>
      </c>
      <c r="C241" s="104">
        <v>2</v>
      </c>
      <c r="D241" s="1" t="s">
        <v>2168</v>
      </c>
      <c r="E241" s="4"/>
      <c r="F241" s="106">
        <f>IF(COUNTIF($A$4:$A241,$A241)=1,1,0)</f>
        <v>0</v>
      </c>
      <c r="G241" s="106" cm="1">
        <f t="array" ref="G241">IF($F241=1,IF(SUMPRODUCT(--ISNUMBER(SEARCH(","&amp;$A241&amp;",",'Parts list'!$Z$4:$Z$185)))&gt;0,1,0),0)</f>
        <v>0</v>
      </c>
    </row>
    <row r="242" spans="1:7" x14ac:dyDescent="0.2">
      <c r="A242" s="1" t="s">
        <v>2408</v>
      </c>
      <c r="B242" s="104">
        <v>1</v>
      </c>
      <c r="C242" s="104">
        <v>1</v>
      </c>
      <c r="D242" s="1" t="s">
        <v>2409</v>
      </c>
      <c r="E242" s="4" t="s">
        <v>2407</v>
      </c>
      <c r="F242" s="106">
        <f>IF(COUNTIF($A$4:$A242,$A242)=1,1,0)</f>
        <v>1</v>
      </c>
      <c r="G242" s="106" cm="1">
        <f t="array" ref="G242">IF($F242=1,IF(SUMPRODUCT(--ISNUMBER(SEARCH(","&amp;$A242&amp;",",'Parts list'!$Z$4:$Z$185)))&gt;0,1,0),0)</f>
        <v>1</v>
      </c>
    </row>
    <row r="243" spans="1:7" x14ac:dyDescent="0.2">
      <c r="A243" s="1" t="s">
        <v>2408</v>
      </c>
      <c r="B243" s="104">
        <v>2</v>
      </c>
      <c r="C243" s="104">
        <v>2</v>
      </c>
      <c r="D243" s="1" t="s">
        <v>2168</v>
      </c>
      <c r="E243" s="4"/>
      <c r="F243" s="106">
        <f>IF(COUNTIF($A$4:$A243,$A243)=1,1,0)</f>
        <v>0</v>
      </c>
      <c r="G243" s="106" cm="1">
        <f t="array" ref="G243">IF($F243=1,IF(SUMPRODUCT(--ISNUMBER(SEARCH(","&amp;$A243&amp;",",'Parts list'!$Z$4:$Z$185)))&gt;0,1,0),0)</f>
        <v>0</v>
      </c>
    </row>
    <row r="244" spans="1:7" x14ac:dyDescent="0.2">
      <c r="A244" s="1" t="s">
        <v>2410</v>
      </c>
      <c r="B244" s="104">
        <v>1</v>
      </c>
      <c r="C244" s="104">
        <v>1</v>
      </c>
      <c r="D244" s="1" t="s">
        <v>2411</v>
      </c>
      <c r="E244" s="4" t="s">
        <v>2407</v>
      </c>
      <c r="F244" s="106">
        <f>IF(COUNTIF($A$4:$A244,$A244)=1,1,0)</f>
        <v>1</v>
      </c>
      <c r="G244" s="106" cm="1">
        <f t="array" ref="G244">IF($F244=1,IF(SUMPRODUCT(--ISNUMBER(SEARCH(","&amp;$A244&amp;",",'Parts list'!$Z$4:$Z$185)))&gt;0,1,0),0)</f>
        <v>1</v>
      </c>
    </row>
    <row r="245" spans="1:7" x14ac:dyDescent="0.2">
      <c r="A245" s="1" t="s">
        <v>2410</v>
      </c>
      <c r="B245" s="104">
        <v>2</v>
      </c>
      <c r="C245" s="104">
        <v>2</v>
      </c>
      <c r="D245" s="1" t="s">
        <v>2168</v>
      </c>
      <c r="E245" s="4"/>
      <c r="F245" s="106">
        <f>IF(COUNTIF($A$4:$A245,$A245)=1,1,0)</f>
        <v>0</v>
      </c>
      <c r="G245" s="106" cm="1">
        <f t="array" ref="G245">IF($F245=1,IF(SUMPRODUCT(--ISNUMBER(SEARCH(","&amp;$A245&amp;",",'Parts list'!$Z$4:$Z$185)))&gt;0,1,0),0)</f>
        <v>0</v>
      </c>
    </row>
    <row r="246" spans="1:7" x14ac:dyDescent="0.2">
      <c r="A246" s="1" t="s">
        <v>2412</v>
      </c>
      <c r="B246" s="104">
        <v>1</v>
      </c>
      <c r="C246" s="104">
        <v>1</v>
      </c>
      <c r="D246" s="1" t="s">
        <v>2413</v>
      </c>
      <c r="E246" s="4" t="s">
        <v>2407</v>
      </c>
      <c r="F246" s="106">
        <f>IF(COUNTIF($A$4:$A246,$A246)=1,1,0)</f>
        <v>1</v>
      </c>
      <c r="G246" s="106" cm="1">
        <f t="array" ref="G246">IF($F246=1,IF(SUMPRODUCT(--ISNUMBER(SEARCH(","&amp;$A246&amp;",",'Parts list'!$Z$4:$Z$185)))&gt;0,1,0),0)</f>
        <v>1</v>
      </c>
    </row>
    <row r="247" spans="1:7" x14ac:dyDescent="0.2">
      <c r="A247" s="1" t="s">
        <v>2412</v>
      </c>
      <c r="B247" s="104">
        <v>2</v>
      </c>
      <c r="C247" s="104">
        <v>2</v>
      </c>
      <c r="D247" s="1" t="s">
        <v>2168</v>
      </c>
      <c r="E247" s="4"/>
      <c r="F247" s="106">
        <f>IF(COUNTIF($A$4:$A247,$A247)=1,1,0)</f>
        <v>0</v>
      </c>
      <c r="G247" s="106" cm="1">
        <f t="array" ref="G247">IF($F247=1,IF(SUMPRODUCT(--ISNUMBER(SEARCH(","&amp;$A247&amp;",",'Parts list'!$Z$4:$Z$185)))&gt;0,1,0),0)</f>
        <v>0</v>
      </c>
    </row>
    <row r="248" spans="1:7" x14ac:dyDescent="0.2">
      <c r="A248" s="1" t="s">
        <v>2414</v>
      </c>
      <c r="B248" s="104">
        <v>1</v>
      </c>
      <c r="C248" s="104">
        <v>1</v>
      </c>
      <c r="D248" s="1" t="s">
        <v>2415</v>
      </c>
      <c r="E248" s="4" t="s">
        <v>2416</v>
      </c>
      <c r="F248" s="106">
        <f>IF(COUNTIF($A$4:$A248,$A248)=1,1,0)</f>
        <v>1</v>
      </c>
      <c r="G248" s="106" cm="1">
        <f t="array" ref="G248">IF($F248=1,IF(SUMPRODUCT(--ISNUMBER(SEARCH(","&amp;$A248&amp;",",'Parts list'!$Z$4:$Z$185)))&gt;0,1,0),0)</f>
        <v>1</v>
      </c>
    </row>
    <row r="249" spans="1:7" x14ac:dyDescent="0.2">
      <c r="A249" s="1" t="s">
        <v>2414</v>
      </c>
      <c r="B249" s="104">
        <v>2</v>
      </c>
      <c r="C249" s="104">
        <v>2</v>
      </c>
      <c r="D249" s="1" t="s">
        <v>2168</v>
      </c>
      <c r="E249" s="4"/>
      <c r="F249" s="106">
        <f>IF(COUNTIF($A$4:$A249,$A249)=1,1,0)</f>
        <v>0</v>
      </c>
      <c r="G249" s="106" cm="1">
        <f t="array" ref="G249">IF($F249=1,IF(SUMPRODUCT(--ISNUMBER(SEARCH(","&amp;$A249&amp;",",'Parts list'!$Z$4:$Z$185)))&gt;0,1,0),0)</f>
        <v>0</v>
      </c>
    </row>
    <row r="250" spans="1:7" x14ac:dyDescent="0.2">
      <c r="A250" s="1" t="s">
        <v>2417</v>
      </c>
      <c r="B250" s="104">
        <v>1</v>
      </c>
      <c r="C250" s="104">
        <v>1</v>
      </c>
      <c r="D250" s="1" t="s">
        <v>2418</v>
      </c>
      <c r="E250" s="4" t="s">
        <v>2416</v>
      </c>
      <c r="F250" s="106">
        <f>IF(COUNTIF($A$4:$A250,$A250)=1,1,0)</f>
        <v>1</v>
      </c>
      <c r="G250" s="106" cm="1">
        <f t="array" ref="G250">IF($F250=1,IF(SUMPRODUCT(--ISNUMBER(SEARCH(","&amp;$A250&amp;",",'Parts list'!$Z$4:$Z$185)))&gt;0,1,0),0)</f>
        <v>1</v>
      </c>
    </row>
    <row r="251" spans="1:7" x14ac:dyDescent="0.2">
      <c r="A251" s="1" t="s">
        <v>2417</v>
      </c>
      <c r="B251" s="104">
        <v>2</v>
      </c>
      <c r="C251" s="104">
        <v>2</v>
      </c>
      <c r="D251" s="1" t="s">
        <v>2168</v>
      </c>
      <c r="E251" s="4"/>
      <c r="F251" s="106">
        <f>IF(COUNTIF($A$4:$A251,$A251)=1,1,0)</f>
        <v>0</v>
      </c>
      <c r="G251" s="106" cm="1">
        <f t="array" ref="G251">IF($F251=1,IF(SUMPRODUCT(--ISNUMBER(SEARCH(","&amp;$A251&amp;",",'Parts list'!$Z$4:$Z$185)))&gt;0,1,0),0)</f>
        <v>0</v>
      </c>
    </row>
    <row r="252" spans="1:7" x14ac:dyDescent="0.2">
      <c r="A252" s="1" t="s">
        <v>2419</v>
      </c>
      <c r="B252" s="104">
        <v>1</v>
      </c>
      <c r="C252" s="104">
        <v>1</v>
      </c>
      <c r="D252" s="1" t="s">
        <v>2420</v>
      </c>
      <c r="E252" s="4" t="s">
        <v>2416</v>
      </c>
      <c r="F252" s="106">
        <f>IF(COUNTIF($A$4:$A252,$A252)=1,1,0)</f>
        <v>1</v>
      </c>
      <c r="G252" s="106" cm="1">
        <f t="array" ref="G252">IF($F252=1,IF(SUMPRODUCT(--ISNUMBER(SEARCH(","&amp;$A252&amp;",",'Parts list'!$Z$4:$Z$185)))&gt;0,1,0),0)</f>
        <v>1</v>
      </c>
    </row>
    <row r="253" spans="1:7" x14ac:dyDescent="0.2">
      <c r="A253" s="1" t="s">
        <v>2419</v>
      </c>
      <c r="B253" s="104">
        <v>2</v>
      </c>
      <c r="C253" s="104">
        <v>2</v>
      </c>
      <c r="D253" s="1" t="s">
        <v>2168</v>
      </c>
      <c r="E253" s="4"/>
      <c r="F253" s="106">
        <f>IF(COUNTIF($A$4:$A253,$A253)=1,1,0)</f>
        <v>0</v>
      </c>
      <c r="G253" s="106" cm="1">
        <f t="array" ref="G253">IF($F253=1,IF(SUMPRODUCT(--ISNUMBER(SEARCH(","&amp;$A253&amp;",",'Parts list'!$Z$4:$Z$185)))&gt;0,1,0),0)</f>
        <v>0</v>
      </c>
    </row>
    <row r="254" spans="1:7" x14ac:dyDescent="0.2">
      <c r="A254" s="1" t="s">
        <v>2421</v>
      </c>
      <c r="B254" s="104">
        <v>1</v>
      </c>
      <c r="C254" s="104">
        <v>1</v>
      </c>
      <c r="D254" s="1" t="s">
        <v>2422</v>
      </c>
      <c r="E254" s="4" t="s">
        <v>2416</v>
      </c>
      <c r="F254" s="106">
        <f>IF(COUNTIF($A$4:$A254,$A254)=1,1,0)</f>
        <v>1</v>
      </c>
      <c r="G254" s="106" cm="1">
        <f t="array" ref="G254">IF($F254=1,IF(SUMPRODUCT(--ISNUMBER(SEARCH(","&amp;$A254&amp;",",'Parts list'!$Z$4:$Z$185)))&gt;0,1,0),0)</f>
        <v>1</v>
      </c>
    </row>
    <row r="255" spans="1:7" x14ac:dyDescent="0.2">
      <c r="A255" s="1" t="s">
        <v>2421</v>
      </c>
      <c r="B255" s="104">
        <v>2</v>
      </c>
      <c r="C255" s="104">
        <v>2</v>
      </c>
      <c r="D255" s="1" t="s">
        <v>2168</v>
      </c>
      <c r="E255" s="4"/>
      <c r="F255" s="106">
        <f>IF(COUNTIF($A$4:$A255,$A255)=1,1,0)</f>
        <v>0</v>
      </c>
      <c r="G255" s="106" cm="1">
        <f t="array" ref="G255">IF($F255=1,IF(SUMPRODUCT(--ISNUMBER(SEARCH(","&amp;$A255&amp;",",'Parts list'!$Z$4:$Z$185)))&gt;0,1,0),0)</f>
        <v>0</v>
      </c>
    </row>
    <row r="256" spans="1:7" x14ac:dyDescent="0.2">
      <c r="A256" s="1" t="s">
        <v>2423</v>
      </c>
      <c r="B256" s="104">
        <v>1</v>
      </c>
      <c r="C256" s="104">
        <v>1</v>
      </c>
      <c r="D256" s="1" t="s">
        <v>2424</v>
      </c>
      <c r="E256" s="4" t="s">
        <v>2425</v>
      </c>
      <c r="F256" s="106">
        <f>IF(COUNTIF($A$4:$A256,$A256)=1,1,0)</f>
        <v>1</v>
      </c>
      <c r="G256" s="106" cm="1">
        <f t="array" ref="G256">IF($F256=1,IF(SUMPRODUCT(--ISNUMBER(SEARCH(","&amp;$A256&amp;",",'Parts list'!$Z$4:$Z$185)))&gt;0,1,0),0)</f>
        <v>1</v>
      </c>
    </row>
    <row r="257" spans="1:7" x14ac:dyDescent="0.2">
      <c r="A257" s="1" t="s">
        <v>2423</v>
      </c>
      <c r="B257" s="104">
        <v>2</v>
      </c>
      <c r="C257" s="104">
        <v>2</v>
      </c>
      <c r="D257" s="1" t="s">
        <v>2168</v>
      </c>
      <c r="E257" s="4"/>
      <c r="F257" s="106">
        <f>IF(COUNTIF($A$4:$A257,$A257)=1,1,0)</f>
        <v>0</v>
      </c>
      <c r="G257" s="106" cm="1">
        <f t="array" ref="G257">IF($F257=1,IF(SUMPRODUCT(--ISNUMBER(SEARCH(","&amp;$A257&amp;",",'Parts list'!$Z$4:$Z$185)))&gt;0,1,0),0)</f>
        <v>0</v>
      </c>
    </row>
    <row r="258" spans="1:7" x14ac:dyDescent="0.2">
      <c r="A258" s="1" t="s">
        <v>2426</v>
      </c>
      <c r="B258" s="104">
        <v>1</v>
      </c>
      <c r="C258" s="104">
        <v>1</v>
      </c>
      <c r="D258" s="1" t="s">
        <v>2427</v>
      </c>
      <c r="E258" s="4" t="s">
        <v>2425</v>
      </c>
      <c r="F258" s="106">
        <f>IF(COUNTIF($A$4:$A258,$A258)=1,1,0)</f>
        <v>1</v>
      </c>
      <c r="G258" s="106" cm="1">
        <f t="array" ref="G258">IF($F258=1,IF(SUMPRODUCT(--ISNUMBER(SEARCH(","&amp;$A258&amp;",",'Parts list'!$Z$4:$Z$185)))&gt;0,1,0),0)</f>
        <v>1</v>
      </c>
    </row>
    <row r="259" spans="1:7" x14ac:dyDescent="0.2">
      <c r="A259" s="1" t="s">
        <v>2426</v>
      </c>
      <c r="B259" s="104">
        <v>2</v>
      </c>
      <c r="C259" s="104">
        <v>2</v>
      </c>
      <c r="D259" s="1" t="s">
        <v>2168</v>
      </c>
      <c r="E259" s="4"/>
      <c r="F259" s="106">
        <f>IF(COUNTIF($A$4:$A259,$A259)=1,1,0)</f>
        <v>0</v>
      </c>
      <c r="G259" s="106" cm="1">
        <f t="array" ref="G259">IF($F259=1,IF(SUMPRODUCT(--ISNUMBER(SEARCH(","&amp;$A259&amp;",",'Parts list'!$Z$4:$Z$185)))&gt;0,1,0),0)</f>
        <v>0</v>
      </c>
    </row>
    <row r="260" spans="1:7" x14ac:dyDescent="0.2">
      <c r="A260" s="1" t="s">
        <v>2428</v>
      </c>
      <c r="B260" s="104">
        <v>1</v>
      </c>
      <c r="C260" s="104">
        <v>1</v>
      </c>
      <c r="D260" s="1" t="s">
        <v>2429</v>
      </c>
      <c r="E260" s="4" t="s">
        <v>2425</v>
      </c>
      <c r="F260" s="106">
        <f>IF(COUNTIF($A$4:$A260,$A260)=1,1,0)</f>
        <v>1</v>
      </c>
      <c r="G260" s="106" cm="1">
        <f t="array" ref="G260">IF($F260=1,IF(SUMPRODUCT(--ISNUMBER(SEARCH(","&amp;$A260&amp;",",'Parts list'!$Z$4:$Z$185)))&gt;0,1,0),0)</f>
        <v>1</v>
      </c>
    </row>
    <row r="261" spans="1:7" x14ac:dyDescent="0.2">
      <c r="A261" s="1" t="s">
        <v>2428</v>
      </c>
      <c r="B261" s="104">
        <v>2</v>
      </c>
      <c r="C261" s="104">
        <v>2</v>
      </c>
      <c r="D261" s="1" t="s">
        <v>2168</v>
      </c>
      <c r="E261" s="4"/>
      <c r="F261" s="106">
        <f>IF(COUNTIF($A$4:$A261,$A261)=1,1,0)</f>
        <v>0</v>
      </c>
      <c r="G261" s="106" cm="1">
        <f t="array" ref="G261">IF($F261=1,IF(SUMPRODUCT(--ISNUMBER(SEARCH(","&amp;$A261&amp;",",'Parts list'!$Z$4:$Z$185)))&gt;0,1,0),0)</f>
        <v>0</v>
      </c>
    </row>
    <row r="262" spans="1:7" x14ac:dyDescent="0.2">
      <c r="A262" s="1" t="s">
        <v>2430</v>
      </c>
      <c r="B262" s="104">
        <v>1</v>
      </c>
      <c r="C262" s="104">
        <v>1</v>
      </c>
      <c r="D262" s="1" t="s">
        <v>2431</v>
      </c>
      <c r="E262" s="4" t="s">
        <v>2425</v>
      </c>
      <c r="F262" s="106">
        <f>IF(COUNTIF($A$4:$A262,$A262)=1,1,0)</f>
        <v>1</v>
      </c>
      <c r="G262" s="106" cm="1">
        <f t="array" ref="G262">IF($F262=1,IF(SUMPRODUCT(--ISNUMBER(SEARCH(","&amp;$A262&amp;",",'Parts list'!$Z$4:$Z$185)))&gt;0,1,0),0)</f>
        <v>1</v>
      </c>
    </row>
    <row r="263" spans="1:7" x14ac:dyDescent="0.2">
      <c r="A263" s="1" t="s">
        <v>2430</v>
      </c>
      <c r="B263" s="104">
        <v>2</v>
      </c>
      <c r="C263" s="104">
        <v>2</v>
      </c>
      <c r="D263" s="1" t="s">
        <v>2168</v>
      </c>
      <c r="E263" s="4"/>
      <c r="F263" s="106">
        <f>IF(COUNTIF($A$4:$A263,$A263)=1,1,0)</f>
        <v>0</v>
      </c>
      <c r="G263" s="106" cm="1">
        <f t="array" ref="G263">IF($F263=1,IF(SUMPRODUCT(--ISNUMBER(SEARCH(","&amp;$A263&amp;",",'Parts list'!$Z$4:$Z$185)))&gt;0,1,0),0)</f>
        <v>0</v>
      </c>
    </row>
    <row r="264" spans="1:7" x14ac:dyDescent="0.2">
      <c r="A264" s="1" t="s">
        <v>2432</v>
      </c>
      <c r="B264" s="104">
        <v>1</v>
      </c>
      <c r="C264" s="104">
        <v>1</v>
      </c>
      <c r="D264" s="1" t="s">
        <v>2433</v>
      </c>
      <c r="E264" s="4" t="s">
        <v>2425</v>
      </c>
      <c r="F264" s="106">
        <f>IF(COUNTIF($A$4:$A264,$A264)=1,1,0)</f>
        <v>1</v>
      </c>
      <c r="G264" s="106" cm="1">
        <f t="array" ref="G264">IF($F264=1,IF(SUMPRODUCT(--ISNUMBER(SEARCH(","&amp;$A264&amp;",",'Parts list'!$Z$4:$Z$185)))&gt;0,1,0),0)</f>
        <v>1</v>
      </c>
    </row>
    <row r="265" spans="1:7" x14ac:dyDescent="0.2">
      <c r="A265" s="1" t="s">
        <v>2432</v>
      </c>
      <c r="B265" s="104">
        <v>2</v>
      </c>
      <c r="C265" s="104">
        <v>2</v>
      </c>
      <c r="D265" s="1" t="s">
        <v>2168</v>
      </c>
      <c r="E265" s="4"/>
      <c r="F265" s="106">
        <f>IF(COUNTIF($A$4:$A265,$A265)=1,1,0)</f>
        <v>0</v>
      </c>
      <c r="G265" s="106" cm="1">
        <f t="array" ref="G265">IF($F265=1,IF(SUMPRODUCT(--ISNUMBER(SEARCH(","&amp;$A265&amp;",",'Parts list'!$Z$4:$Z$185)))&gt;0,1,0),0)</f>
        <v>0</v>
      </c>
    </row>
    <row r="266" spans="1:7" x14ac:dyDescent="0.2">
      <c r="A266" s="1" t="s">
        <v>2434</v>
      </c>
      <c r="B266" s="104">
        <v>1</v>
      </c>
      <c r="C266" s="104">
        <v>1</v>
      </c>
      <c r="D266" s="1" t="s">
        <v>2435</v>
      </c>
      <c r="E266" s="4" t="s">
        <v>2425</v>
      </c>
      <c r="F266" s="106">
        <f>IF(COUNTIF($A$4:$A266,$A266)=1,1,0)</f>
        <v>1</v>
      </c>
      <c r="G266" s="106" cm="1">
        <f t="array" ref="G266">IF($F266=1,IF(SUMPRODUCT(--ISNUMBER(SEARCH(","&amp;$A266&amp;",",'Parts list'!$Z$4:$Z$185)))&gt;0,1,0),0)</f>
        <v>1</v>
      </c>
    </row>
    <row r="267" spans="1:7" x14ac:dyDescent="0.2">
      <c r="A267" s="1" t="s">
        <v>2434</v>
      </c>
      <c r="B267" s="104">
        <v>2</v>
      </c>
      <c r="C267" s="104">
        <v>2</v>
      </c>
      <c r="D267" s="1" t="s">
        <v>2168</v>
      </c>
      <c r="E267" s="4"/>
      <c r="F267" s="106">
        <f>IF(COUNTIF($A$4:$A267,$A267)=1,1,0)</f>
        <v>0</v>
      </c>
      <c r="G267" s="106" cm="1">
        <f t="array" ref="G267">IF($F267=1,IF(SUMPRODUCT(--ISNUMBER(SEARCH(","&amp;$A267&amp;",",'Parts list'!$Z$4:$Z$185)))&gt;0,1,0),0)</f>
        <v>0</v>
      </c>
    </row>
    <row r="268" spans="1:7" x14ac:dyDescent="0.2">
      <c r="A268" s="1" t="s">
        <v>2436</v>
      </c>
      <c r="B268" s="104">
        <v>1</v>
      </c>
      <c r="C268" s="104">
        <v>1</v>
      </c>
      <c r="D268" s="1" t="s">
        <v>2437</v>
      </c>
      <c r="E268" s="4" t="s">
        <v>2425</v>
      </c>
      <c r="F268" s="106">
        <f>IF(COUNTIF($A$4:$A268,$A268)=1,1,0)</f>
        <v>1</v>
      </c>
      <c r="G268" s="106" cm="1">
        <f t="array" ref="G268">IF($F268=1,IF(SUMPRODUCT(--ISNUMBER(SEARCH(","&amp;$A268&amp;",",'Parts list'!$Z$4:$Z$185)))&gt;0,1,0),0)</f>
        <v>1</v>
      </c>
    </row>
    <row r="269" spans="1:7" x14ac:dyDescent="0.2">
      <c r="A269" s="1" t="s">
        <v>2436</v>
      </c>
      <c r="B269" s="104">
        <v>2</v>
      </c>
      <c r="C269" s="104">
        <v>2</v>
      </c>
      <c r="D269" s="1" t="s">
        <v>2168</v>
      </c>
      <c r="E269" s="4"/>
      <c r="F269" s="106">
        <f>IF(COUNTIF($A$4:$A269,$A269)=1,1,0)</f>
        <v>0</v>
      </c>
      <c r="G269" s="106" cm="1">
        <f t="array" ref="G269">IF($F269=1,IF(SUMPRODUCT(--ISNUMBER(SEARCH(","&amp;$A269&amp;",",'Parts list'!$Z$4:$Z$185)))&gt;0,1,0),0)</f>
        <v>0</v>
      </c>
    </row>
    <row r="270" spans="1:7" x14ac:dyDescent="0.2">
      <c r="A270" s="1" t="s">
        <v>2438</v>
      </c>
      <c r="B270" s="104">
        <v>1</v>
      </c>
      <c r="C270" s="104">
        <v>1</v>
      </c>
      <c r="D270" s="1" t="s">
        <v>2439</v>
      </c>
      <c r="E270" s="4" t="s">
        <v>2425</v>
      </c>
      <c r="F270" s="106">
        <f>IF(COUNTIF($A$4:$A270,$A270)=1,1,0)</f>
        <v>1</v>
      </c>
      <c r="G270" s="106" cm="1">
        <f t="array" ref="G270">IF($F270=1,IF(SUMPRODUCT(--ISNUMBER(SEARCH(","&amp;$A270&amp;",",'Parts list'!$Z$4:$Z$185)))&gt;0,1,0),0)</f>
        <v>1</v>
      </c>
    </row>
    <row r="271" spans="1:7" x14ac:dyDescent="0.2">
      <c r="A271" s="1" t="s">
        <v>2438</v>
      </c>
      <c r="B271" s="104">
        <v>2</v>
      </c>
      <c r="C271" s="104">
        <v>2</v>
      </c>
      <c r="D271" s="1" t="s">
        <v>2168</v>
      </c>
      <c r="E271" s="4"/>
      <c r="F271" s="106">
        <f>IF(COUNTIF($A$4:$A271,$A271)=1,1,0)</f>
        <v>0</v>
      </c>
      <c r="G271" s="106" cm="1">
        <f t="array" ref="G271">IF($F271=1,IF(SUMPRODUCT(--ISNUMBER(SEARCH(","&amp;$A271&amp;",",'Parts list'!$Z$4:$Z$185)))&gt;0,1,0),0)</f>
        <v>0</v>
      </c>
    </row>
    <row r="272" spans="1:7" x14ac:dyDescent="0.2">
      <c r="A272" s="1" t="s">
        <v>2440</v>
      </c>
      <c r="B272" s="104">
        <v>1</v>
      </c>
      <c r="C272" s="104">
        <v>1</v>
      </c>
      <c r="D272" s="1" t="s">
        <v>2264</v>
      </c>
      <c r="E272" s="4" t="s">
        <v>2441</v>
      </c>
      <c r="F272" s="106">
        <f>IF(COUNTIF($A$4:$A272,$A272)=1,1,0)</f>
        <v>1</v>
      </c>
      <c r="G272" s="106" cm="1">
        <f t="array" ref="G272">IF($F272=1,IF(SUMPRODUCT(--ISNUMBER(SEARCH(","&amp;$A272&amp;",",'Parts list'!$Z$4:$Z$185)))&gt;0,1,0),0)</f>
        <v>1</v>
      </c>
    </row>
    <row r="273" spans="1:7" x14ac:dyDescent="0.2">
      <c r="A273" s="1" t="s">
        <v>2440</v>
      </c>
      <c r="B273" s="104">
        <v>2</v>
      </c>
      <c r="C273" s="104">
        <v>2</v>
      </c>
      <c r="D273" s="1" t="s">
        <v>2168</v>
      </c>
      <c r="E273" s="4"/>
      <c r="F273" s="106">
        <f>IF(COUNTIF($A$4:$A273,$A273)=1,1,0)</f>
        <v>0</v>
      </c>
      <c r="G273" s="106" cm="1">
        <f t="array" ref="G273">IF($F273=1,IF(SUMPRODUCT(--ISNUMBER(SEARCH(","&amp;$A273&amp;",",'Parts list'!$Z$4:$Z$185)))&gt;0,1,0),0)</f>
        <v>0</v>
      </c>
    </row>
    <row r="274" spans="1:7" x14ac:dyDescent="0.2">
      <c r="A274" s="1" t="s">
        <v>2442</v>
      </c>
      <c r="B274" s="104">
        <v>1</v>
      </c>
      <c r="C274" s="104">
        <v>1</v>
      </c>
      <c r="D274" s="1" t="s">
        <v>2267</v>
      </c>
      <c r="E274" s="4" t="s">
        <v>2443</v>
      </c>
      <c r="F274" s="106">
        <f>IF(COUNTIF($A$4:$A274,$A274)=1,1,0)</f>
        <v>1</v>
      </c>
      <c r="G274" s="106" cm="1">
        <f t="array" ref="G274">IF($F274=1,IF(SUMPRODUCT(--ISNUMBER(SEARCH(","&amp;$A274&amp;",",'Parts list'!$Z$4:$Z$185)))&gt;0,1,0),0)</f>
        <v>1</v>
      </c>
    </row>
    <row r="275" spans="1:7" x14ac:dyDescent="0.2">
      <c r="A275" s="1" t="s">
        <v>2442</v>
      </c>
      <c r="B275" s="104">
        <v>2</v>
      </c>
      <c r="C275" s="104">
        <v>2</v>
      </c>
      <c r="D275" s="1" t="s">
        <v>2168</v>
      </c>
      <c r="E275" s="4"/>
      <c r="F275" s="106">
        <f>IF(COUNTIF($A$4:$A275,$A275)=1,1,0)</f>
        <v>0</v>
      </c>
      <c r="G275" s="106" cm="1">
        <f t="array" ref="G275">IF($F275=1,IF(SUMPRODUCT(--ISNUMBER(SEARCH(","&amp;$A275&amp;",",'Parts list'!$Z$4:$Z$185)))&gt;0,1,0),0)</f>
        <v>0</v>
      </c>
    </row>
    <row r="276" spans="1:7" x14ac:dyDescent="0.2">
      <c r="A276" s="1" t="s">
        <v>2444</v>
      </c>
      <c r="B276" s="104">
        <v>1</v>
      </c>
      <c r="C276" s="104">
        <v>1</v>
      </c>
      <c r="D276" s="1" t="s">
        <v>2264</v>
      </c>
      <c r="E276" s="4" t="s">
        <v>2445</v>
      </c>
      <c r="F276" s="106">
        <f>IF(COUNTIF($A$4:$A276,$A276)=1,1,0)</f>
        <v>1</v>
      </c>
      <c r="G276" s="106" cm="1">
        <f t="array" ref="G276">IF($F276=1,IF(SUMPRODUCT(--ISNUMBER(SEARCH(","&amp;$A276&amp;",",'Parts list'!$Z$4:$Z$185)))&gt;0,1,0),0)</f>
        <v>1</v>
      </c>
    </row>
    <row r="277" spans="1:7" x14ac:dyDescent="0.2">
      <c r="A277" s="1" t="s">
        <v>2444</v>
      </c>
      <c r="B277" s="104">
        <v>2</v>
      </c>
      <c r="C277" s="104">
        <v>2</v>
      </c>
      <c r="D277" s="1" t="s">
        <v>2168</v>
      </c>
      <c r="E277" s="4"/>
      <c r="F277" s="106">
        <f>IF(COUNTIF($A$4:$A277,$A277)=1,1,0)</f>
        <v>0</v>
      </c>
      <c r="G277" s="106" cm="1">
        <f t="array" ref="G277">IF($F277=1,IF(SUMPRODUCT(--ISNUMBER(SEARCH(","&amp;$A277&amp;",",'Parts list'!$Z$4:$Z$185)))&gt;0,1,0),0)</f>
        <v>0</v>
      </c>
    </row>
    <row r="278" spans="1:7" x14ac:dyDescent="0.2">
      <c r="A278" s="1" t="s">
        <v>2446</v>
      </c>
      <c r="B278" s="104">
        <v>1</v>
      </c>
      <c r="C278" s="104">
        <v>1</v>
      </c>
      <c r="D278" s="1" t="s">
        <v>2267</v>
      </c>
      <c r="E278" s="4" t="s">
        <v>2447</v>
      </c>
      <c r="F278" s="106">
        <f>IF(COUNTIF($A$4:$A278,$A278)=1,1,0)</f>
        <v>1</v>
      </c>
      <c r="G278" s="106" cm="1">
        <f t="array" ref="G278">IF($F278=1,IF(SUMPRODUCT(--ISNUMBER(SEARCH(","&amp;$A278&amp;",",'Parts list'!$Z$4:$Z$185)))&gt;0,1,0),0)</f>
        <v>1</v>
      </c>
    </row>
    <row r="279" spans="1:7" x14ac:dyDescent="0.2">
      <c r="A279" s="1" t="s">
        <v>2446</v>
      </c>
      <c r="B279" s="104">
        <v>2</v>
      </c>
      <c r="C279" s="104">
        <v>2</v>
      </c>
      <c r="D279" s="1" t="s">
        <v>2168</v>
      </c>
      <c r="E279" s="4"/>
      <c r="F279" s="106">
        <f>IF(COUNTIF($A$4:$A279,$A279)=1,1,0)</f>
        <v>0</v>
      </c>
      <c r="G279" s="106" cm="1">
        <f t="array" ref="G279">IF($F279=1,IF(SUMPRODUCT(--ISNUMBER(SEARCH(","&amp;$A279&amp;",",'Parts list'!$Z$4:$Z$185)))&gt;0,1,0),0)</f>
        <v>0</v>
      </c>
    </row>
    <row r="280" spans="1:7" x14ac:dyDescent="0.2">
      <c r="A280" s="1" t="s">
        <v>2448</v>
      </c>
      <c r="B280" s="104">
        <v>1</v>
      </c>
      <c r="C280" s="104">
        <v>1</v>
      </c>
      <c r="D280" s="1" t="s">
        <v>2264</v>
      </c>
      <c r="E280" s="4" t="s">
        <v>2449</v>
      </c>
      <c r="F280" s="106">
        <f>IF(COUNTIF($A$4:$A280,$A280)=1,1,0)</f>
        <v>1</v>
      </c>
      <c r="G280" s="106" cm="1">
        <f t="array" ref="G280">IF($F280=1,IF(SUMPRODUCT(--ISNUMBER(SEARCH(","&amp;$A280&amp;",",'Parts list'!$Z$4:$Z$185)))&gt;0,1,0),0)</f>
        <v>1</v>
      </c>
    </row>
    <row r="281" spans="1:7" x14ac:dyDescent="0.2">
      <c r="A281" s="1" t="s">
        <v>2448</v>
      </c>
      <c r="B281" s="104">
        <v>2</v>
      </c>
      <c r="C281" s="104">
        <v>2</v>
      </c>
      <c r="D281" s="1" t="s">
        <v>2267</v>
      </c>
      <c r="E281" s="4"/>
      <c r="F281" s="106">
        <f>IF(COUNTIF($A$4:$A281,$A281)=1,1,0)</f>
        <v>0</v>
      </c>
      <c r="G281" s="106" cm="1">
        <f t="array" ref="G281">IF($F281=1,IF(SUMPRODUCT(--ISNUMBER(SEARCH(","&amp;$A281&amp;",",'Parts list'!$Z$4:$Z$185)))&gt;0,1,0),0)</f>
        <v>0</v>
      </c>
    </row>
    <row r="282" spans="1:7" x14ac:dyDescent="0.2">
      <c r="A282" s="1" t="s">
        <v>2450</v>
      </c>
      <c r="B282" s="104">
        <v>1</v>
      </c>
      <c r="C282" s="104">
        <v>1</v>
      </c>
      <c r="D282" s="1" t="s">
        <v>2264</v>
      </c>
      <c r="E282" s="4" t="s">
        <v>2451</v>
      </c>
      <c r="F282" s="106">
        <f>IF(COUNTIF($A$4:$A282,$A282)=1,1,0)</f>
        <v>1</v>
      </c>
      <c r="G282" s="106" cm="1">
        <f t="array" ref="G282">IF($F282=1,IF(SUMPRODUCT(--ISNUMBER(SEARCH(","&amp;$A282&amp;",",'Parts list'!$Z$4:$Z$185)))&gt;0,1,0),0)</f>
        <v>1</v>
      </c>
    </row>
    <row r="283" spans="1:7" x14ac:dyDescent="0.2">
      <c r="A283" s="1" t="s">
        <v>2450</v>
      </c>
      <c r="B283" s="104">
        <v>2</v>
      </c>
      <c r="C283" s="104">
        <v>2</v>
      </c>
      <c r="D283" s="1" t="s">
        <v>2267</v>
      </c>
      <c r="E283" s="4"/>
      <c r="F283" s="106">
        <f>IF(COUNTIF($A$4:$A283,$A283)=1,1,0)</f>
        <v>0</v>
      </c>
      <c r="G283" s="106" cm="1">
        <f t="array" ref="G283">IF($F283=1,IF(SUMPRODUCT(--ISNUMBER(SEARCH(","&amp;$A283&amp;",",'Parts list'!$Z$4:$Z$185)))&gt;0,1,0),0)</f>
        <v>0</v>
      </c>
    </row>
    <row r="284" spans="1:7" x14ac:dyDescent="0.2">
      <c r="A284" s="1" t="s">
        <v>2452</v>
      </c>
      <c r="B284" s="104">
        <v>1</v>
      </c>
      <c r="C284" s="104">
        <v>1</v>
      </c>
      <c r="D284" s="1" t="s">
        <v>2264</v>
      </c>
      <c r="E284" s="4" t="s">
        <v>2453</v>
      </c>
      <c r="F284" s="106">
        <f>IF(COUNTIF($A$4:$A284,$A284)=1,1,0)</f>
        <v>1</v>
      </c>
      <c r="G284" s="106" cm="1">
        <f t="array" ref="G284">IF($F284=1,IF(SUMPRODUCT(--ISNUMBER(SEARCH(","&amp;$A284&amp;",",'Parts list'!$Z$4:$Z$185)))&gt;0,1,0),0)</f>
        <v>1</v>
      </c>
    </row>
    <row r="285" spans="1:7" x14ac:dyDescent="0.2">
      <c r="A285" s="1" t="s">
        <v>2452</v>
      </c>
      <c r="B285" s="104">
        <v>2</v>
      </c>
      <c r="C285" s="104">
        <v>2</v>
      </c>
      <c r="D285" s="1" t="s">
        <v>2267</v>
      </c>
      <c r="E285" s="4"/>
      <c r="F285" s="106">
        <f>IF(COUNTIF($A$4:$A285,$A285)=1,1,0)</f>
        <v>0</v>
      </c>
      <c r="G285" s="106" cm="1">
        <f t="array" ref="G285">IF($F285=1,IF(SUMPRODUCT(--ISNUMBER(SEARCH(","&amp;$A285&amp;",",'Parts list'!$Z$4:$Z$185)))&gt;0,1,0),0)</f>
        <v>0</v>
      </c>
    </row>
    <row r="286" spans="1:7" x14ac:dyDescent="0.2">
      <c r="A286" s="1" t="s">
        <v>2454</v>
      </c>
      <c r="B286" s="104">
        <v>1</v>
      </c>
      <c r="C286" s="104">
        <v>1</v>
      </c>
      <c r="D286" s="1" t="s">
        <v>2264</v>
      </c>
      <c r="E286" s="4" t="s">
        <v>2455</v>
      </c>
      <c r="F286" s="106">
        <f>IF(COUNTIF($A$4:$A286,$A286)=1,1,0)</f>
        <v>1</v>
      </c>
      <c r="G286" s="106" cm="1">
        <f t="array" ref="G286">IF($F286=1,IF(SUMPRODUCT(--ISNUMBER(SEARCH(","&amp;$A286&amp;",",'Parts list'!$Z$4:$Z$185)))&gt;0,1,0),0)</f>
        <v>1</v>
      </c>
    </row>
    <row r="287" spans="1:7" x14ac:dyDescent="0.2">
      <c r="A287" s="1" t="s">
        <v>2454</v>
      </c>
      <c r="B287" s="104">
        <v>2</v>
      </c>
      <c r="C287" s="104">
        <v>2</v>
      </c>
      <c r="D287" s="1" t="s">
        <v>2267</v>
      </c>
      <c r="E287" s="4"/>
      <c r="F287" s="106">
        <f>IF(COUNTIF($A$4:$A287,$A287)=1,1,0)</f>
        <v>0</v>
      </c>
      <c r="G287" s="106" cm="1">
        <f t="array" ref="G287">IF($F287=1,IF(SUMPRODUCT(--ISNUMBER(SEARCH(","&amp;$A287&amp;",",'Parts list'!$Z$4:$Z$185)))&gt;0,1,0),0)</f>
        <v>0</v>
      </c>
    </row>
    <row r="288" spans="1:7" x14ac:dyDescent="0.2">
      <c r="A288" s="1" t="s">
        <v>2456</v>
      </c>
      <c r="B288" s="104">
        <v>1</v>
      </c>
      <c r="C288" s="104">
        <v>1</v>
      </c>
      <c r="D288" s="1" t="s">
        <v>2264</v>
      </c>
      <c r="E288" s="4" t="s">
        <v>2457</v>
      </c>
      <c r="F288" s="106">
        <f>IF(COUNTIF($A$4:$A288,$A288)=1,1,0)</f>
        <v>1</v>
      </c>
      <c r="G288" s="106" cm="1">
        <f t="array" ref="G288">IF($F288=1,IF(SUMPRODUCT(--ISNUMBER(SEARCH(","&amp;$A288&amp;",",'Parts list'!$Z$4:$Z$185)))&gt;0,1,0),0)</f>
        <v>1</v>
      </c>
    </row>
    <row r="289" spans="1:7" x14ac:dyDescent="0.2">
      <c r="A289" s="1" t="s">
        <v>2456</v>
      </c>
      <c r="B289" s="104">
        <v>2</v>
      </c>
      <c r="C289" s="104">
        <v>2</v>
      </c>
      <c r="D289" s="1" t="s">
        <v>2267</v>
      </c>
      <c r="E289" s="4"/>
      <c r="F289" s="106">
        <f>IF(COUNTIF($A$4:$A289,$A289)=1,1,0)</f>
        <v>0</v>
      </c>
      <c r="G289" s="106" cm="1">
        <f t="array" ref="G289">IF($F289=1,IF(SUMPRODUCT(--ISNUMBER(SEARCH(","&amp;$A289&amp;",",'Parts list'!$Z$4:$Z$185)))&gt;0,1,0),0)</f>
        <v>0</v>
      </c>
    </row>
    <row r="290" spans="1:7" x14ac:dyDescent="0.2">
      <c r="A290" s="1" t="s">
        <v>2458</v>
      </c>
      <c r="B290" s="104">
        <v>1</v>
      </c>
      <c r="C290" s="104">
        <v>1</v>
      </c>
      <c r="D290" s="1" t="s">
        <v>2264</v>
      </c>
      <c r="E290" s="4" t="s">
        <v>2459</v>
      </c>
      <c r="F290" s="106">
        <f>IF(COUNTIF($A$4:$A290,$A290)=1,1,0)</f>
        <v>1</v>
      </c>
      <c r="G290" s="106" cm="1">
        <f t="array" ref="G290">IF($F290=1,IF(SUMPRODUCT(--ISNUMBER(SEARCH(","&amp;$A290&amp;",",'Parts list'!$Z$4:$Z$185)))&gt;0,1,0),0)</f>
        <v>1</v>
      </c>
    </row>
    <row r="291" spans="1:7" x14ac:dyDescent="0.2">
      <c r="A291" s="1" t="s">
        <v>2458</v>
      </c>
      <c r="B291" s="104">
        <v>2</v>
      </c>
      <c r="C291" s="104">
        <v>2</v>
      </c>
      <c r="D291" s="1" t="s">
        <v>2267</v>
      </c>
      <c r="E291" s="4"/>
      <c r="F291" s="106">
        <f>IF(COUNTIF($A$4:$A291,$A291)=1,1,0)</f>
        <v>0</v>
      </c>
      <c r="G291" s="106" cm="1">
        <f t="array" ref="G291">IF($F291=1,IF(SUMPRODUCT(--ISNUMBER(SEARCH(","&amp;$A291&amp;",",'Parts list'!$Z$4:$Z$185)))&gt;0,1,0),0)</f>
        <v>0</v>
      </c>
    </row>
    <row r="292" spans="1:7" x14ac:dyDescent="0.2">
      <c r="A292" s="1" t="s">
        <v>2460</v>
      </c>
      <c r="B292" s="104">
        <v>1</v>
      </c>
      <c r="C292" s="104">
        <v>1</v>
      </c>
      <c r="D292" s="1" t="s">
        <v>2264</v>
      </c>
      <c r="E292" s="4" t="s">
        <v>2461</v>
      </c>
      <c r="F292" s="106">
        <f>IF(COUNTIF($A$4:$A292,$A292)=1,1,0)</f>
        <v>1</v>
      </c>
      <c r="G292" s="106" cm="1">
        <f t="array" ref="G292">IF($F292=1,IF(SUMPRODUCT(--ISNUMBER(SEARCH(","&amp;$A292&amp;",",'Parts list'!$Z$4:$Z$185)))&gt;0,1,0),0)</f>
        <v>1</v>
      </c>
    </row>
    <row r="293" spans="1:7" x14ac:dyDescent="0.2">
      <c r="A293" s="1" t="s">
        <v>2460</v>
      </c>
      <c r="B293" s="104">
        <v>2</v>
      </c>
      <c r="C293" s="104">
        <v>2</v>
      </c>
      <c r="D293" s="1" t="s">
        <v>2267</v>
      </c>
      <c r="E293" s="4"/>
      <c r="F293" s="106">
        <f>IF(COUNTIF($A$4:$A293,$A293)=1,1,0)</f>
        <v>0</v>
      </c>
      <c r="G293" s="106" cm="1">
        <f t="array" ref="G293">IF($F293=1,IF(SUMPRODUCT(--ISNUMBER(SEARCH(","&amp;$A293&amp;",",'Parts list'!$Z$4:$Z$185)))&gt;0,1,0),0)</f>
        <v>0</v>
      </c>
    </row>
    <row r="294" spans="1:7" x14ac:dyDescent="0.2">
      <c r="A294" s="1" t="s">
        <v>2462</v>
      </c>
      <c r="B294" s="104">
        <v>1</v>
      </c>
      <c r="C294" s="104">
        <v>1</v>
      </c>
      <c r="D294" s="1" t="s">
        <v>2264</v>
      </c>
      <c r="E294" s="4" t="s">
        <v>2463</v>
      </c>
      <c r="F294" s="106">
        <f>IF(COUNTIF($A$4:$A294,$A294)=1,1,0)</f>
        <v>1</v>
      </c>
      <c r="G294" s="106" cm="1">
        <f t="array" ref="G294">IF($F294=1,IF(SUMPRODUCT(--ISNUMBER(SEARCH(","&amp;$A294&amp;",",'Parts list'!$Z$4:$Z$185)))&gt;0,1,0),0)</f>
        <v>1</v>
      </c>
    </row>
    <row r="295" spans="1:7" x14ac:dyDescent="0.2">
      <c r="A295" s="1" t="s">
        <v>2462</v>
      </c>
      <c r="B295" s="104">
        <v>2</v>
      </c>
      <c r="C295" s="104">
        <v>2</v>
      </c>
      <c r="D295" s="1" t="s">
        <v>2267</v>
      </c>
      <c r="E295" s="4"/>
      <c r="F295" s="106">
        <f>IF(COUNTIF($A$4:$A295,$A295)=1,1,0)</f>
        <v>0</v>
      </c>
      <c r="G295" s="106" cm="1">
        <f t="array" ref="G295">IF($F295=1,IF(SUMPRODUCT(--ISNUMBER(SEARCH(","&amp;$A295&amp;",",'Parts list'!$Z$4:$Z$185)))&gt;0,1,0),0)</f>
        <v>0</v>
      </c>
    </row>
    <row r="296" spans="1:7" x14ac:dyDescent="0.2">
      <c r="A296" s="1" t="s">
        <v>201</v>
      </c>
      <c r="B296" s="104">
        <v>1</v>
      </c>
      <c r="C296" s="104" t="s">
        <v>2464</v>
      </c>
      <c r="D296" s="1" t="s">
        <v>2169</v>
      </c>
      <c r="E296" s="4" t="s">
        <v>2465</v>
      </c>
      <c r="F296" s="106">
        <f>IF(COUNTIF($A$4:$A296,$A296)=1,1,0)</f>
        <v>1</v>
      </c>
      <c r="G296" s="106" cm="1">
        <f t="array" ref="G296">IF($F296=1,IF(SUMPRODUCT(--ISNUMBER(SEARCH(","&amp;$A296&amp;",",'Parts list'!$Z$4:$Z$185)))&gt;0,1,0),0)</f>
        <v>1</v>
      </c>
    </row>
    <row r="297" spans="1:7" x14ac:dyDescent="0.2">
      <c r="A297" s="1" t="s">
        <v>201</v>
      </c>
      <c r="B297" s="104">
        <v>2</v>
      </c>
      <c r="C297" s="104" t="s">
        <v>2466</v>
      </c>
      <c r="D297" s="1" t="s">
        <v>2168</v>
      </c>
      <c r="E297" s="4" t="s">
        <v>2465</v>
      </c>
      <c r="F297" s="106">
        <f>IF(COUNTIF($A$4:$A297,$A297)=1,1,0)</f>
        <v>0</v>
      </c>
      <c r="G297" s="106" cm="1">
        <f t="array" ref="G297">IF($F297=1,IF(SUMPRODUCT(--ISNUMBER(SEARCH(","&amp;$A297&amp;",",'Parts list'!$Z$4:$Z$185)))&gt;0,1,0),0)</f>
        <v>0</v>
      </c>
    </row>
    <row r="298" spans="1:7" x14ac:dyDescent="0.2">
      <c r="A298" s="1" t="s">
        <v>2467</v>
      </c>
      <c r="B298" s="104">
        <v>1</v>
      </c>
      <c r="C298" s="104" t="s">
        <v>2466</v>
      </c>
      <c r="D298" s="1" t="s">
        <v>2221</v>
      </c>
      <c r="E298" s="4" t="s">
        <v>2468</v>
      </c>
      <c r="F298" s="106">
        <f>IF(COUNTIF($A$4:$A298,$A298)=1,1,0)</f>
        <v>1</v>
      </c>
      <c r="G298" s="106" cm="1">
        <f t="array" ref="G298">IF($F298=1,IF(SUMPRODUCT(--ISNUMBER(SEARCH(","&amp;$A298&amp;",",'Parts list'!$Z$4:$Z$185)))&gt;0,1,0),0)</f>
        <v>1</v>
      </c>
    </row>
    <row r="299" spans="1:7" x14ac:dyDescent="0.2">
      <c r="A299" s="1" t="s">
        <v>2467</v>
      </c>
      <c r="B299" s="104">
        <v>2</v>
      </c>
      <c r="C299" s="104" t="s">
        <v>2469</v>
      </c>
      <c r="D299" s="1" t="s">
        <v>2469</v>
      </c>
      <c r="E299" s="4" t="s">
        <v>2468</v>
      </c>
      <c r="F299" s="106">
        <f>IF(COUNTIF($A$4:$A299,$A299)=1,1,0)</f>
        <v>0</v>
      </c>
      <c r="G299" s="106" cm="1">
        <f t="array" ref="G299">IF($F299=1,IF(SUMPRODUCT(--ISNUMBER(SEARCH(","&amp;$A299&amp;",",'Parts list'!$Z$4:$Z$185)))&gt;0,1,0),0)</f>
        <v>0</v>
      </c>
    </row>
    <row r="300" spans="1:7" x14ac:dyDescent="0.2">
      <c r="A300" s="1" t="s">
        <v>2467</v>
      </c>
      <c r="B300" s="104">
        <v>3</v>
      </c>
      <c r="C300" s="104" t="s">
        <v>2464</v>
      </c>
      <c r="D300" s="1" t="s">
        <v>2220</v>
      </c>
      <c r="E300" s="4" t="s">
        <v>2468</v>
      </c>
      <c r="F300" s="106">
        <f>IF(COUNTIF($A$4:$A300,$A300)=1,1,0)</f>
        <v>0</v>
      </c>
      <c r="G300" s="106" cm="1">
        <f t="array" ref="G300">IF($F300=1,IF(SUMPRODUCT(--ISNUMBER(SEARCH(","&amp;$A300&amp;",",'Parts list'!$Z$4:$Z$185)))&gt;0,1,0),0)</f>
        <v>0</v>
      </c>
    </row>
    <row r="301" spans="1:7" x14ac:dyDescent="0.2">
      <c r="A301" s="1" t="s">
        <v>2470</v>
      </c>
      <c r="B301" s="104">
        <v>1</v>
      </c>
      <c r="C301" s="104" t="s">
        <v>2466</v>
      </c>
      <c r="D301" s="1" t="s">
        <v>2330</v>
      </c>
      <c r="E301" s="4" t="s">
        <v>2468</v>
      </c>
      <c r="F301" s="106">
        <f>IF(COUNTIF($A$4:$A301,$A301)=1,1,0)</f>
        <v>1</v>
      </c>
      <c r="G301" s="106" cm="1">
        <f t="array" ref="G301">IF($F301=1,IF(SUMPRODUCT(--ISNUMBER(SEARCH(","&amp;$A301&amp;",",'Parts list'!$Z$4:$Z$185)))&gt;0,1,0),0)</f>
        <v>1</v>
      </c>
    </row>
    <row r="302" spans="1:7" x14ac:dyDescent="0.2">
      <c r="A302" s="1" t="s">
        <v>2470</v>
      </c>
      <c r="B302" s="104">
        <v>2</v>
      </c>
      <c r="C302" s="104" t="s">
        <v>2469</v>
      </c>
      <c r="D302" s="1" t="s">
        <v>2469</v>
      </c>
      <c r="E302" s="4" t="s">
        <v>2468</v>
      </c>
      <c r="F302" s="106">
        <f>IF(COUNTIF($A$4:$A302,$A302)=1,1,0)</f>
        <v>0</v>
      </c>
      <c r="G302" s="106" cm="1">
        <f t="array" ref="G302">IF($F302=1,IF(SUMPRODUCT(--ISNUMBER(SEARCH(","&amp;$A302&amp;",",'Parts list'!$Z$4:$Z$185)))&gt;0,1,0),0)</f>
        <v>0</v>
      </c>
    </row>
    <row r="303" spans="1:7" x14ac:dyDescent="0.2">
      <c r="A303" s="1" t="s">
        <v>2470</v>
      </c>
      <c r="B303" s="104">
        <v>3</v>
      </c>
      <c r="C303" s="104" t="s">
        <v>2464</v>
      </c>
      <c r="D303" s="1" t="s">
        <v>2220</v>
      </c>
      <c r="E303" s="4" t="s">
        <v>2468</v>
      </c>
      <c r="F303" s="106">
        <f>IF(COUNTIF($A$4:$A303,$A303)=1,1,0)</f>
        <v>0</v>
      </c>
      <c r="G303" s="106" cm="1">
        <f t="array" ref="G303">IF($F303=1,IF(SUMPRODUCT(--ISNUMBER(SEARCH(","&amp;$A303&amp;",",'Parts list'!$Z$4:$Z$185)))&gt;0,1,0),0)</f>
        <v>0</v>
      </c>
    </row>
    <row r="304" spans="1:7" x14ac:dyDescent="0.2">
      <c r="A304" s="1" t="s">
        <v>2471</v>
      </c>
      <c r="B304" s="104">
        <v>1</v>
      </c>
      <c r="C304" s="104" t="s">
        <v>2472</v>
      </c>
      <c r="D304" s="1" t="s">
        <v>2168</v>
      </c>
      <c r="E304" s="4" t="s">
        <v>2473</v>
      </c>
      <c r="F304" s="106">
        <f>IF(COUNTIF($A$4:$A304,$A304)=1,1,0)</f>
        <v>1</v>
      </c>
      <c r="G304" s="106" cm="1">
        <f t="array" ref="G304">IF($F304=1,IF(SUMPRODUCT(--ISNUMBER(SEARCH(","&amp;$A304&amp;",",'Parts list'!$Z$4:$Z$185)))&gt;0,1,0),0)</f>
        <v>1</v>
      </c>
    </row>
    <row r="305" spans="1:7" x14ac:dyDescent="0.2">
      <c r="A305" s="1" t="s">
        <v>2471</v>
      </c>
      <c r="B305" s="104">
        <v>2</v>
      </c>
      <c r="C305" s="104" t="s">
        <v>2474</v>
      </c>
      <c r="D305" s="1" t="s">
        <v>2223</v>
      </c>
      <c r="E305" s="4" t="s">
        <v>2475</v>
      </c>
      <c r="F305" s="106">
        <f>IF(COUNTIF($A$4:$A305,$A305)=1,1,0)</f>
        <v>0</v>
      </c>
      <c r="G305" s="106" cm="1">
        <f t="array" ref="G305">IF($F305=1,IF(SUMPRODUCT(--ISNUMBER(SEARCH(","&amp;$A305&amp;",",'Parts list'!$Z$4:$Z$185)))&gt;0,1,0),0)</f>
        <v>0</v>
      </c>
    </row>
    <row r="306" spans="1:7" x14ac:dyDescent="0.2">
      <c r="A306" s="1" t="s">
        <v>2471</v>
      </c>
      <c r="B306" s="104">
        <v>3</v>
      </c>
      <c r="C306" s="104" t="s">
        <v>2476</v>
      </c>
      <c r="D306" s="1" t="s">
        <v>2280</v>
      </c>
      <c r="E306" s="4" t="s">
        <v>2477</v>
      </c>
      <c r="F306" s="106">
        <f>IF(COUNTIF($A$4:$A306,$A306)=1,1,0)</f>
        <v>0</v>
      </c>
      <c r="G306" s="106" cm="1">
        <f t="array" ref="G306">IF($F306=1,IF(SUMPRODUCT(--ISNUMBER(SEARCH(","&amp;$A306&amp;",",'Parts list'!$Z$4:$Z$185)))&gt;0,1,0),0)</f>
        <v>0</v>
      </c>
    </row>
    <row r="307" spans="1:7" x14ac:dyDescent="0.2">
      <c r="A307" s="1" t="s">
        <v>2478</v>
      </c>
      <c r="B307" s="104">
        <v>1</v>
      </c>
      <c r="C307" s="104" t="s">
        <v>2472</v>
      </c>
      <c r="D307" s="1" t="s">
        <v>2168</v>
      </c>
      <c r="E307" s="4" t="s">
        <v>2473</v>
      </c>
      <c r="F307" s="106">
        <f>IF(COUNTIF($A$4:$A307,$A307)=1,1,0)</f>
        <v>1</v>
      </c>
      <c r="G307" s="106" cm="1">
        <f t="array" ref="G307">IF($F307=1,IF(SUMPRODUCT(--ISNUMBER(SEARCH(","&amp;$A307&amp;",",'Parts list'!$Z$4:$Z$185)))&gt;0,1,0),0)</f>
        <v>1</v>
      </c>
    </row>
    <row r="308" spans="1:7" x14ac:dyDescent="0.2">
      <c r="A308" s="1" t="s">
        <v>2478</v>
      </c>
      <c r="B308" s="104">
        <v>2</v>
      </c>
      <c r="C308" s="104" t="s">
        <v>2474</v>
      </c>
      <c r="D308" s="1" t="s">
        <v>2223</v>
      </c>
      <c r="E308" s="4" t="s">
        <v>2475</v>
      </c>
      <c r="F308" s="106">
        <f>IF(COUNTIF($A$4:$A308,$A308)=1,1,0)</f>
        <v>0</v>
      </c>
      <c r="G308" s="106" cm="1">
        <f t="array" ref="G308">IF($F308=1,IF(SUMPRODUCT(--ISNUMBER(SEARCH(","&amp;$A308&amp;",",'Parts list'!$Z$4:$Z$185)))&gt;0,1,0),0)</f>
        <v>0</v>
      </c>
    </row>
    <row r="309" spans="1:7" x14ac:dyDescent="0.2">
      <c r="A309" s="1" t="s">
        <v>2478</v>
      </c>
      <c r="B309" s="104">
        <v>3</v>
      </c>
      <c r="C309" s="104" t="s">
        <v>2476</v>
      </c>
      <c r="D309" s="1" t="s">
        <v>2283</v>
      </c>
      <c r="E309" s="4" t="s">
        <v>2477</v>
      </c>
      <c r="F309" s="106">
        <f>IF(COUNTIF($A$4:$A309,$A309)=1,1,0)</f>
        <v>0</v>
      </c>
      <c r="G309" s="106" cm="1">
        <f t="array" ref="G309">IF($F309=1,IF(SUMPRODUCT(--ISNUMBER(SEARCH(","&amp;$A309&amp;",",'Parts list'!$Z$4:$Z$185)))&gt;0,1,0),0)</f>
        <v>0</v>
      </c>
    </row>
    <row r="310" spans="1:7" x14ac:dyDescent="0.2">
      <c r="A310" s="1" t="s">
        <v>2479</v>
      </c>
      <c r="B310" s="104">
        <v>1</v>
      </c>
      <c r="C310" s="104" t="s">
        <v>2472</v>
      </c>
      <c r="D310" s="1" t="s">
        <v>2168</v>
      </c>
      <c r="E310" s="4" t="s">
        <v>2473</v>
      </c>
      <c r="F310" s="106">
        <f>IF(COUNTIF($A$4:$A310,$A310)=1,1,0)</f>
        <v>1</v>
      </c>
      <c r="G310" s="106" cm="1">
        <f t="array" ref="G310">IF($F310=1,IF(SUMPRODUCT(--ISNUMBER(SEARCH(","&amp;$A310&amp;",",'Parts list'!$Z$4:$Z$185)))&gt;0,1,0),0)</f>
        <v>1</v>
      </c>
    </row>
    <row r="311" spans="1:7" x14ac:dyDescent="0.2">
      <c r="A311" s="1" t="s">
        <v>2479</v>
      </c>
      <c r="B311" s="104">
        <v>2</v>
      </c>
      <c r="C311" s="104" t="s">
        <v>2474</v>
      </c>
      <c r="D311" s="1" t="s">
        <v>2225</v>
      </c>
      <c r="E311" s="4" t="s">
        <v>2480</v>
      </c>
      <c r="F311" s="106">
        <f>IF(COUNTIF($A$4:$A311,$A311)=1,1,0)</f>
        <v>0</v>
      </c>
      <c r="G311" s="106" cm="1">
        <f t="array" ref="G311">IF($F311=1,IF(SUMPRODUCT(--ISNUMBER(SEARCH(","&amp;$A311&amp;",",'Parts list'!$Z$4:$Z$185)))&gt;0,1,0),0)</f>
        <v>0</v>
      </c>
    </row>
    <row r="312" spans="1:7" x14ac:dyDescent="0.2">
      <c r="A312" s="1" t="s">
        <v>2479</v>
      </c>
      <c r="B312" s="104">
        <v>3</v>
      </c>
      <c r="C312" s="104" t="s">
        <v>2476</v>
      </c>
      <c r="D312" s="1" t="s">
        <v>2286</v>
      </c>
      <c r="E312" s="4" t="s">
        <v>2477</v>
      </c>
      <c r="F312" s="106">
        <f>IF(COUNTIF($A$4:$A312,$A312)=1,1,0)</f>
        <v>0</v>
      </c>
      <c r="G312" s="106" cm="1">
        <f t="array" ref="G312">IF($F312=1,IF(SUMPRODUCT(--ISNUMBER(SEARCH(","&amp;$A312&amp;",",'Parts list'!$Z$4:$Z$185)))&gt;0,1,0),0)</f>
        <v>0</v>
      </c>
    </row>
    <row r="313" spans="1:7" x14ac:dyDescent="0.2">
      <c r="A313" s="1" t="s">
        <v>2481</v>
      </c>
      <c r="B313" s="104">
        <v>1</v>
      </c>
      <c r="C313" s="104" t="s">
        <v>2472</v>
      </c>
      <c r="D313" s="1" t="s">
        <v>2168</v>
      </c>
      <c r="E313" s="4" t="s">
        <v>2473</v>
      </c>
      <c r="F313" s="106">
        <f>IF(COUNTIF($A$4:$A313,$A313)=1,1,0)</f>
        <v>1</v>
      </c>
      <c r="G313" s="106" cm="1">
        <f t="array" ref="G313">IF($F313=1,IF(SUMPRODUCT(--ISNUMBER(SEARCH(","&amp;$A313&amp;",",'Parts list'!$Z$4:$Z$185)))&gt;0,1,0),0)</f>
        <v>1</v>
      </c>
    </row>
    <row r="314" spans="1:7" x14ac:dyDescent="0.2">
      <c r="A314" s="1" t="s">
        <v>2481</v>
      </c>
      <c r="B314" s="104">
        <v>2</v>
      </c>
      <c r="C314" s="104" t="s">
        <v>2474</v>
      </c>
      <c r="D314" s="1" t="s">
        <v>2225</v>
      </c>
      <c r="E314" s="4" t="s">
        <v>2480</v>
      </c>
      <c r="F314" s="106">
        <f>IF(COUNTIF($A$4:$A314,$A314)=1,1,0)</f>
        <v>0</v>
      </c>
      <c r="G314" s="106" cm="1">
        <f t="array" ref="G314">IF($F314=1,IF(SUMPRODUCT(--ISNUMBER(SEARCH(","&amp;$A314&amp;",",'Parts list'!$Z$4:$Z$185)))&gt;0,1,0),0)</f>
        <v>0</v>
      </c>
    </row>
    <row r="315" spans="1:7" x14ac:dyDescent="0.2">
      <c r="A315" s="1" t="s">
        <v>2481</v>
      </c>
      <c r="B315" s="104">
        <v>3</v>
      </c>
      <c r="C315" s="104" t="s">
        <v>2476</v>
      </c>
      <c r="D315" s="1" t="s">
        <v>2289</v>
      </c>
      <c r="E315" s="4" t="s">
        <v>2477</v>
      </c>
      <c r="F315" s="106">
        <f>IF(COUNTIF($A$4:$A315,$A315)=1,1,0)</f>
        <v>0</v>
      </c>
      <c r="G315" s="106" cm="1">
        <f t="array" ref="G315">IF($F315=1,IF(SUMPRODUCT(--ISNUMBER(SEARCH(","&amp;$A315&amp;",",'Parts list'!$Z$4:$Z$185)))&gt;0,1,0),0)</f>
        <v>0</v>
      </c>
    </row>
    <row r="316" spans="1:7" x14ac:dyDescent="0.2">
      <c r="A316" s="1" t="s">
        <v>2482</v>
      </c>
      <c r="B316" s="104">
        <v>1</v>
      </c>
      <c r="C316" s="104" t="s">
        <v>2464</v>
      </c>
      <c r="D316" s="1" t="s">
        <v>2292</v>
      </c>
      <c r="E316" s="4" t="s">
        <v>2483</v>
      </c>
      <c r="F316" s="106">
        <f>IF(COUNTIF($A$4:$A316,$A316)=1,1,0)</f>
        <v>1</v>
      </c>
      <c r="G316" s="106" cm="1">
        <f t="array" ref="G316">IF($F316=1,IF(SUMPRODUCT(--ISNUMBER(SEARCH(","&amp;$A316&amp;",",'Parts list'!$Z$4:$Z$185)))&gt;0,1,0),0)</f>
        <v>1</v>
      </c>
    </row>
    <row r="317" spans="1:7" x14ac:dyDescent="0.2">
      <c r="A317" s="1" t="s">
        <v>2482</v>
      </c>
      <c r="B317" s="104">
        <v>2</v>
      </c>
      <c r="C317" s="104" t="s">
        <v>2466</v>
      </c>
      <c r="D317" s="1" t="s">
        <v>2264</v>
      </c>
      <c r="E317" s="4"/>
      <c r="F317" s="106">
        <f>IF(COUNTIF($A$4:$A317,$A317)=1,1,0)</f>
        <v>0</v>
      </c>
      <c r="G317" s="106" cm="1">
        <f t="array" ref="G317">IF($F317=1,IF(SUMPRODUCT(--ISNUMBER(SEARCH(","&amp;$A317&amp;",",'Parts list'!$Z$4:$Z$185)))&gt;0,1,0),0)</f>
        <v>0</v>
      </c>
    </row>
    <row r="318" spans="1:7" x14ac:dyDescent="0.2">
      <c r="A318" s="1" t="s">
        <v>2484</v>
      </c>
      <c r="B318" s="104">
        <v>1</v>
      </c>
      <c r="C318" s="104" t="s">
        <v>2464</v>
      </c>
      <c r="D318" s="1" t="s">
        <v>2267</v>
      </c>
      <c r="E318" s="4" t="s">
        <v>2485</v>
      </c>
      <c r="F318" s="106">
        <f>IF(COUNTIF($A$4:$A318,$A318)=1,1,0)</f>
        <v>1</v>
      </c>
      <c r="G318" s="106" cm="1">
        <f t="array" ref="G318">IF($F318=1,IF(SUMPRODUCT(--ISNUMBER(SEARCH(","&amp;$A318&amp;",",'Parts list'!$Z$4:$Z$185)))&gt;0,1,0),0)</f>
        <v>1</v>
      </c>
    </row>
    <row r="319" spans="1:7" x14ac:dyDescent="0.2">
      <c r="A319" s="1" t="s">
        <v>2484</v>
      </c>
      <c r="B319" s="104">
        <v>2</v>
      </c>
      <c r="C319" s="104" t="s">
        <v>2466</v>
      </c>
      <c r="D319" s="1" t="s">
        <v>2295</v>
      </c>
      <c r="E319" s="4"/>
      <c r="F319" s="106">
        <f>IF(COUNTIF($A$4:$A319,$A319)=1,1,0)</f>
        <v>0</v>
      </c>
      <c r="G319" s="106" cm="1">
        <f t="array" ref="G319">IF($F319=1,IF(SUMPRODUCT(--ISNUMBER(SEARCH(","&amp;$A319&amp;",",'Parts list'!$Z$4:$Z$185)))&gt;0,1,0),0)</f>
        <v>0</v>
      </c>
    </row>
    <row r="320" spans="1:7" x14ac:dyDescent="0.2">
      <c r="A320" s="1" t="s">
        <v>2486</v>
      </c>
      <c r="B320" s="104">
        <v>1</v>
      </c>
      <c r="C320" s="104" t="s">
        <v>2466</v>
      </c>
      <c r="D320" s="1" t="s">
        <v>2168</v>
      </c>
      <c r="E320" s="4" t="s">
        <v>2487</v>
      </c>
      <c r="F320" s="106">
        <f>IF(COUNTIF($A$4:$A320,$A320)=1,1,0)</f>
        <v>1</v>
      </c>
      <c r="G320" s="106" cm="1">
        <f t="array" ref="G320">IF($F320=1,IF(SUMPRODUCT(--ISNUMBER(SEARCH(","&amp;$A320&amp;",",'Parts list'!$Z$4:$Z$185)))&gt;0,1,0),0)</f>
        <v>1</v>
      </c>
    </row>
    <row r="321" spans="1:7" x14ac:dyDescent="0.2">
      <c r="A321" s="1" t="s">
        <v>2486</v>
      </c>
      <c r="B321" s="104">
        <v>2</v>
      </c>
      <c r="C321" s="104" t="s">
        <v>2469</v>
      </c>
      <c r="D321" s="1" t="s">
        <v>2469</v>
      </c>
      <c r="E321" s="4" t="s">
        <v>2488</v>
      </c>
      <c r="F321" s="106">
        <f>IF(COUNTIF($A$4:$A321,$A321)=1,1,0)</f>
        <v>0</v>
      </c>
      <c r="G321" s="106" cm="1">
        <f t="array" ref="G321">IF($F321=1,IF(SUMPRODUCT(--ISNUMBER(SEARCH(","&amp;$A321&amp;",",'Parts list'!$Z$4:$Z$185)))&gt;0,1,0),0)</f>
        <v>0</v>
      </c>
    </row>
    <row r="322" spans="1:7" x14ac:dyDescent="0.2">
      <c r="A322" s="1" t="s">
        <v>2486</v>
      </c>
      <c r="B322" s="104">
        <v>3</v>
      </c>
      <c r="C322" s="104" t="s">
        <v>2464</v>
      </c>
      <c r="D322" s="1" t="s">
        <v>2292</v>
      </c>
      <c r="E322" s="4" t="s">
        <v>2489</v>
      </c>
      <c r="F322" s="106">
        <f>IF(COUNTIF($A$4:$A322,$A322)=1,1,0)</f>
        <v>0</v>
      </c>
      <c r="G322" s="106" cm="1">
        <f t="array" ref="G322">IF($F322=1,IF(SUMPRODUCT(--ISNUMBER(SEARCH(","&amp;$A322&amp;",",'Parts list'!$Z$4:$Z$185)))&gt;0,1,0),0)</f>
        <v>0</v>
      </c>
    </row>
    <row r="323" spans="1:7" x14ac:dyDescent="0.2">
      <c r="A323" s="1" t="s">
        <v>2490</v>
      </c>
      <c r="B323" s="104">
        <v>1</v>
      </c>
      <c r="C323" s="104" t="s">
        <v>2466</v>
      </c>
      <c r="D323" s="1" t="s">
        <v>2295</v>
      </c>
      <c r="E323" s="4" t="s">
        <v>2491</v>
      </c>
      <c r="F323" s="106">
        <f>IF(COUNTIF($A$4:$A323,$A323)=1,1,0)</f>
        <v>1</v>
      </c>
      <c r="G323" s="106" cm="1">
        <f t="array" ref="G323">IF($F323=1,IF(SUMPRODUCT(--ISNUMBER(SEARCH(","&amp;$A323&amp;",",'Parts list'!$Z$4:$Z$185)))&gt;0,1,0),0)</f>
        <v>1</v>
      </c>
    </row>
    <row r="324" spans="1:7" x14ac:dyDescent="0.2">
      <c r="A324" s="1" t="s">
        <v>2490</v>
      </c>
      <c r="B324" s="104">
        <v>2</v>
      </c>
      <c r="C324" s="104" t="s">
        <v>2469</v>
      </c>
      <c r="D324" s="1" t="s">
        <v>2469</v>
      </c>
      <c r="E324" s="4" t="s">
        <v>2488</v>
      </c>
      <c r="F324" s="106">
        <f>IF(COUNTIF($A$4:$A324,$A324)=1,1,0)</f>
        <v>0</v>
      </c>
      <c r="G324" s="106" cm="1">
        <f t="array" ref="G324">IF($F324=1,IF(SUMPRODUCT(--ISNUMBER(SEARCH(","&amp;$A324&amp;",",'Parts list'!$Z$4:$Z$185)))&gt;0,1,0),0)</f>
        <v>0</v>
      </c>
    </row>
    <row r="325" spans="1:7" x14ac:dyDescent="0.2">
      <c r="A325" s="1" t="s">
        <v>2490</v>
      </c>
      <c r="B325" s="104">
        <v>3</v>
      </c>
      <c r="C325" s="104" t="s">
        <v>2464</v>
      </c>
      <c r="D325" s="1" t="s">
        <v>2168</v>
      </c>
      <c r="E325" s="4" t="s">
        <v>2492</v>
      </c>
      <c r="F325" s="106">
        <f>IF(COUNTIF($A$4:$A325,$A325)=1,1,0)</f>
        <v>0</v>
      </c>
      <c r="G325" s="106" cm="1">
        <f t="array" ref="G325">IF($F325=1,IF(SUMPRODUCT(--ISNUMBER(SEARCH(","&amp;$A325&amp;",",'Parts list'!$Z$4:$Z$185)))&gt;0,1,0),0)</f>
        <v>0</v>
      </c>
    </row>
    <row r="326" spans="1:7" x14ac:dyDescent="0.2">
      <c r="A326" s="1" t="s">
        <v>2493</v>
      </c>
      <c r="B326" s="104">
        <v>1</v>
      </c>
      <c r="C326" s="104" t="s">
        <v>2472</v>
      </c>
      <c r="D326" s="1" t="s">
        <v>2168</v>
      </c>
      <c r="E326" s="4" t="s">
        <v>2494</v>
      </c>
      <c r="F326" s="106">
        <f>IF(COUNTIF($A$4:$A326,$A326)=1,1,0)</f>
        <v>1</v>
      </c>
      <c r="G326" s="106" cm="1">
        <f t="array" ref="G326">IF($F326=1,IF(SUMPRODUCT(--ISNUMBER(SEARCH(","&amp;$A326&amp;",",'Parts list'!$Z$4:$Z$185)))&gt;0,1,0),0)</f>
        <v>1</v>
      </c>
    </row>
    <row r="327" spans="1:7" x14ac:dyDescent="0.2">
      <c r="A327" s="1" t="s">
        <v>2493</v>
      </c>
      <c r="B327" s="104">
        <v>2</v>
      </c>
      <c r="C327" s="104" t="s">
        <v>2474</v>
      </c>
      <c r="D327" s="1" t="s">
        <v>2375</v>
      </c>
      <c r="E327" s="4" t="s">
        <v>2495</v>
      </c>
      <c r="F327" s="106">
        <f>IF(COUNTIF($A$4:$A327,$A327)=1,1,0)</f>
        <v>0</v>
      </c>
      <c r="G327" s="106" cm="1">
        <f t="array" ref="G327">IF($F327=1,IF(SUMPRODUCT(--ISNUMBER(SEARCH(","&amp;$A327&amp;",",'Parts list'!$Z$4:$Z$185)))&gt;0,1,0),0)</f>
        <v>0</v>
      </c>
    </row>
    <row r="328" spans="1:7" x14ac:dyDescent="0.2">
      <c r="A328" s="1" t="s">
        <v>2493</v>
      </c>
      <c r="B328" s="104">
        <v>3</v>
      </c>
      <c r="C328" s="104" t="s">
        <v>2476</v>
      </c>
      <c r="D328" s="1" t="s">
        <v>2374</v>
      </c>
      <c r="E328" s="4" t="s">
        <v>2496</v>
      </c>
      <c r="F328" s="106">
        <f>IF(COUNTIF($A$4:$A328,$A328)=1,1,0)</f>
        <v>0</v>
      </c>
      <c r="G328" s="106" cm="1">
        <f t="array" ref="G328">IF($F328=1,IF(SUMPRODUCT(--ISNUMBER(SEARCH(","&amp;$A328&amp;",",'Parts list'!$Z$4:$Z$185)))&gt;0,1,0),0)</f>
        <v>0</v>
      </c>
    </row>
    <row r="329" spans="1:7" x14ac:dyDescent="0.2">
      <c r="A329" s="1" t="s">
        <v>2497</v>
      </c>
      <c r="B329" s="104">
        <v>1</v>
      </c>
      <c r="C329" s="104" t="s">
        <v>2472</v>
      </c>
      <c r="D329" s="1" t="s">
        <v>2498</v>
      </c>
      <c r="E329" s="4" t="s">
        <v>2499</v>
      </c>
      <c r="F329" s="106">
        <f>IF(COUNTIF($A$4:$A329,$A329)=1,1,0)</f>
        <v>1</v>
      </c>
      <c r="G329" s="106" cm="1">
        <f t="array" ref="G329">IF($F329=1,IF(SUMPRODUCT(--ISNUMBER(SEARCH(","&amp;$A329&amp;",",'Parts list'!$Z$4:$Z$185)))&gt;0,1,0),0)</f>
        <v>1</v>
      </c>
    </row>
    <row r="330" spans="1:7" x14ac:dyDescent="0.2">
      <c r="A330" s="1" t="s">
        <v>2497</v>
      </c>
      <c r="B330" s="104">
        <v>2</v>
      </c>
      <c r="C330" s="104" t="s">
        <v>2474</v>
      </c>
      <c r="D330" s="1" t="s">
        <v>2469</v>
      </c>
      <c r="E330" s="4" t="s">
        <v>2500</v>
      </c>
      <c r="F330" s="106">
        <f>IF(COUNTIF($A$4:$A330,$A330)=1,1,0)</f>
        <v>0</v>
      </c>
      <c r="G330" s="106" cm="1">
        <f t="array" ref="G330">IF($F330=1,IF(SUMPRODUCT(--ISNUMBER(SEARCH(","&amp;$A330&amp;",",'Parts list'!$Z$4:$Z$185)))&gt;0,1,0),0)</f>
        <v>0</v>
      </c>
    </row>
    <row r="331" spans="1:7" x14ac:dyDescent="0.2">
      <c r="A331" s="1" t="s">
        <v>2497</v>
      </c>
      <c r="B331" s="104">
        <v>3</v>
      </c>
      <c r="C331" s="104" t="s">
        <v>2476</v>
      </c>
      <c r="D331" s="1" t="s">
        <v>2501</v>
      </c>
      <c r="E331" s="4" t="s">
        <v>2502</v>
      </c>
      <c r="F331" s="106">
        <f>IF(COUNTIF($A$4:$A331,$A331)=1,1,0)</f>
        <v>0</v>
      </c>
      <c r="G331" s="106" cm="1">
        <f t="array" ref="G331">IF($F331=1,IF(SUMPRODUCT(--ISNUMBER(SEARCH(","&amp;$A331&amp;",",'Parts list'!$Z$4:$Z$185)))&gt;0,1,0),0)</f>
        <v>0</v>
      </c>
    </row>
    <row r="332" spans="1:7" x14ac:dyDescent="0.2">
      <c r="A332" s="1" t="s">
        <v>2503</v>
      </c>
      <c r="B332" s="104">
        <v>1</v>
      </c>
      <c r="C332" s="104">
        <v>1</v>
      </c>
      <c r="D332" s="1" t="s">
        <v>2504</v>
      </c>
      <c r="E332" s="4" t="s">
        <v>2505</v>
      </c>
      <c r="F332" s="106">
        <f>IF(COUNTIF($A$4:$A332,$A332)=1,1,0)</f>
        <v>1</v>
      </c>
      <c r="G332" s="106" cm="1">
        <f t="array" ref="G332">IF($F332=1,IF(SUMPRODUCT(--ISNUMBER(SEARCH(","&amp;$A332&amp;",",'Parts list'!$Z$4:$Z$185)))&gt;0,1,0),0)</f>
        <v>1</v>
      </c>
    </row>
    <row r="333" spans="1:7" x14ac:dyDescent="0.2">
      <c r="A333" s="1" t="s">
        <v>2503</v>
      </c>
      <c r="B333" s="104">
        <v>2</v>
      </c>
      <c r="C333" s="104">
        <v>2</v>
      </c>
      <c r="D333" s="1" t="s">
        <v>2168</v>
      </c>
      <c r="E333" s="4"/>
      <c r="F333" s="106">
        <f>IF(COUNTIF($A$4:$A333,$A333)=1,1,0)</f>
        <v>0</v>
      </c>
      <c r="G333" s="106" cm="1">
        <f t="array" ref="G333">IF($F333=1,IF(SUMPRODUCT(--ISNUMBER(SEARCH(","&amp;$A333&amp;",",'Parts list'!$Z$4:$Z$185)))&gt;0,1,0),0)</f>
        <v>0</v>
      </c>
    </row>
    <row r="334" spans="1:7" x14ac:dyDescent="0.2">
      <c r="A334" s="1" t="s">
        <v>2506</v>
      </c>
      <c r="B334" s="104">
        <v>1</v>
      </c>
      <c r="C334" s="104">
        <v>1</v>
      </c>
      <c r="D334" s="1" t="s">
        <v>2507</v>
      </c>
      <c r="E334" s="4" t="s">
        <v>2505</v>
      </c>
      <c r="F334" s="106">
        <f>IF(COUNTIF($A$4:$A334,$A334)=1,1,0)</f>
        <v>1</v>
      </c>
      <c r="G334" s="106" cm="1">
        <f t="array" ref="G334">IF($F334=1,IF(SUMPRODUCT(--ISNUMBER(SEARCH(","&amp;$A334&amp;",",'Parts list'!$Z$4:$Z$185)))&gt;0,1,0),0)</f>
        <v>1</v>
      </c>
    </row>
    <row r="335" spans="1:7" x14ac:dyDescent="0.2">
      <c r="A335" s="1" t="s">
        <v>2506</v>
      </c>
      <c r="B335" s="104">
        <v>2</v>
      </c>
      <c r="C335" s="104">
        <v>2</v>
      </c>
      <c r="D335" s="1" t="s">
        <v>2168</v>
      </c>
      <c r="E335" s="4"/>
      <c r="F335" s="106">
        <f>IF(COUNTIF($A$4:$A335,$A335)=1,1,0)</f>
        <v>0</v>
      </c>
      <c r="G335" s="106" cm="1">
        <f t="array" ref="G335">IF($F335=1,IF(SUMPRODUCT(--ISNUMBER(SEARCH(","&amp;$A335&amp;",",'Parts list'!$Z$4:$Z$185)))&gt;0,1,0),0)</f>
        <v>0</v>
      </c>
    </row>
    <row r="336" spans="1:7" x14ac:dyDescent="0.2">
      <c r="A336" s="1" t="s">
        <v>2508</v>
      </c>
      <c r="B336" s="104">
        <v>1</v>
      </c>
      <c r="C336" s="104">
        <v>1</v>
      </c>
      <c r="D336" s="1" t="s">
        <v>2509</v>
      </c>
      <c r="E336" s="4" t="s">
        <v>2505</v>
      </c>
      <c r="F336" s="106">
        <f>IF(COUNTIF($A$4:$A336,$A336)=1,1,0)</f>
        <v>1</v>
      </c>
      <c r="G336" s="106" cm="1">
        <f t="array" ref="G336">IF($F336=1,IF(SUMPRODUCT(--ISNUMBER(SEARCH(","&amp;$A336&amp;",",'Parts list'!$Z$4:$Z$185)))&gt;0,1,0),0)</f>
        <v>1</v>
      </c>
    </row>
    <row r="337" spans="1:7" x14ac:dyDescent="0.2">
      <c r="A337" s="1" t="s">
        <v>2508</v>
      </c>
      <c r="B337" s="104">
        <v>2</v>
      </c>
      <c r="C337" s="104">
        <v>2</v>
      </c>
      <c r="D337" s="1" t="s">
        <v>2168</v>
      </c>
      <c r="E337" s="4"/>
      <c r="F337" s="106">
        <f>IF(COUNTIF($A$4:$A337,$A337)=1,1,0)</f>
        <v>0</v>
      </c>
      <c r="G337" s="106" cm="1">
        <f t="array" ref="G337">IF($F337=1,IF(SUMPRODUCT(--ISNUMBER(SEARCH(","&amp;$A337&amp;",",'Parts list'!$Z$4:$Z$185)))&gt;0,1,0),0)</f>
        <v>0</v>
      </c>
    </row>
    <row r="338" spans="1:7" x14ac:dyDescent="0.2">
      <c r="A338" s="1" t="s">
        <v>2510</v>
      </c>
      <c r="B338" s="104">
        <v>1</v>
      </c>
      <c r="C338" s="104">
        <v>1</v>
      </c>
      <c r="D338" s="1" t="s">
        <v>2511</v>
      </c>
      <c r="E338" s="4" t="s">
        <v>2505</v>
      </c>
      <c r="F338" s="106">
        <f>IF(COUNTIF($A$4:$A338,$A338)=1,1,0)</f>
        <v>1</v>
      </c>
      <c r="G338" s="106" cm="1">
        <f t="array" ref="G338">IF($F338=1,IF(SUMPRODUCT(--ISNUMBER(SEARCH(","&amp;$A338&amp;",",'Parts list'!$Z$4:$Z$185)))&gt;0,1,0),0)</f>
        <v>1</v>
      </c>
    </row>
    <row r="339" spans="1:7" x14ac:dyDescent="0.2">
      <c r="A339" s="1" t="s">
        <v>2510</v>
      </c>
      <c r="B339" s="104">
        <v>2</v>
      </c>
      <c r="C339" s="104">
        <v>2</v>
      </c>
      <c r="D339" s="1" t="s">
        <v>2168</v>
      </c>
      <c r="E339" s="4"/>
      <c r="F339" s="106">
        <f>IF(COUNTIF($A$4:$A339,$A339)=1,1,0)</f>
        <v>0</v>
      </c>
      <c r="G339" s="106" cm="1">
        <f t="array" ref="G339">IF($F339=1,IF(SUMPRODUCT(--ISNUMBER(SEARCH(","&amp;$A339&amp;",",'Parts list'!$Z$4:$Z$185)))&gt;0,1,0),0)</f>
        <v>0</v>
      </c>
    </row>
    <row r="340" spans="1:7" ht="27.75" customHeight="1" x14ac:dyDescent="0.2">
      <c r="A340" s="167" t="s">
        <v>1459</v>
      </c>
      <c r="B340" s="104">
        <v>1</v>
      </c>
      <c r="C340" s="104" t="s">
        <v>2464</v>
      </c>
      <c r="D340" s="1" t="s">
        <v>2168</v>
      </c>
      <c r="E340" s="4" t="s">
        <v>2512</v>
      </c>
      <c r="F340" s="106">
        <f>IF(COUNTIF($A$4:$A340,$A340)=1,1,0)</f>
        <v>1</v>
      </c>
      <c r="G340" s="106" cm="1">
        <f t="array" ref="G340">IF($F340=1,IF(SUMPRODUCT(--ISNUMBER(SEARCH(","&amp;$A340&amp;",",'Parts list'!$Z$4:$Z$185)))&gt;0,1,0),0)</f>
        <v>0</v>
      </c>
    </row>
    <row r="341" spans="1:7" x14ac:dyDescent="0.2">
      <c r="A341" s="1" t="s">
        <v>1459</v>
      </c>
      <c r="B341" s="104">
        <v>2</v>
      </c>
      <c r="C341" s="104" t="s">
        <v>2466</v>
      </c>
      <c r="D341" s="1" t="s">
        <v>2513</v>
      </c>
      <c r="E341" s="4" t="s">
        <v>2514</v>
      </c>
      <c r="F341" s="106">
        <f>IF(COUNTIF($A$4:$A341,$A341)=1,1,0)</f>
        <v>1</v>
      </c>
      <c r="G341" s="106" cm="1">
        <f t="array" ref="G341">IF($F341=1,IF(SUMPRODUCT(--ISNUMBER(SEARCH(","&amp;$A341&amp;",",'Parts list'!$Z$4:$Z$185)))&gt;0,1,0),0)</f>
        <v>1</v>
      </c>
    </row>
    <row r="342" spans="1:7" ht="27.75" customHeight="1" x14ac:dyDescent="0.2">
      <c r="A342" s="1" t="s">
        <v>1468</v>
      </c>
      <c r="B342" s="104">
        <v>1</v>
      </c>
      <c r="C342" s="104" t="s">
        <v>2464</v>
      </c>
      <c r="D342" s="1" t="s">
        <v>2168</v>
      </c>
      <c r="E342" s="4" t="s">
        <v>2512</v>
      </c>
      <c r="F342" s="106">
        <f>IF(COUNTIF($A$4:$A342,$A342)=1,1,0)</f>
        <v>1</v>
      </c>
      <c r="G342" s="106" cm="1">
        <f t="array" ref="G342">IF($F342=1,IF(SUMPRODUCT(--ISNUMBER(SEARCH(","&amp;$A342&amp;",",'Parts list'!$Z$4:$Z$185)))&gt;0,1,0),0)</f>
        <v>1</v>
      </c>
    </row>
    <row r="343" spans="1:7" x14ac:dyDescent="0.2">
      <c r="A343" s="1" t="s">
        <v>1468</v>
      </c>
      <c r="B343" s="104">
        <v>2</v>
      </c>
      <c r="C343" s="104" t="s">
        <v>2466</v>
      </c>
      <c r="D343" s="1" t="s">
        <v>2515</v>
      </c>
      <c r="E343" s="4" t="s">
        <v>2514</v>
      </c>
      <c r="F343" s="106">
        <f>IF(COUNTIF($A$4:$A343,$A343)=1,1,0)</f>
        <v>0</v>
      </c>
      <c r="G343" s="106" cm="1">
        <f t="array" ref="G343">IF($F343=1,IF(SUMPRODUCT(--ISNUMBER(SEARCH(","&amp;$A343&amp;",",'Parts list'!$Z$4:$Z$185)))&gt;0,1,0),0)</f>
        <v>0</v>
      </c>
    </row>
    <row r="344" spans="1:7" x14ac:dyDescent="0.2">
      <c r="A344" s="1" t="s">
        <v>353</v>
      </c>
      <c r="B344" s="104">
        <v>1</v>
      </c>
      <c r="C344" s="104">
        <v>1</v>
      </c>
      <c r="D344" s="1" t="s">
        <v>2208</v>
      </c>
      <c r="E344" s="4" t="s">
        <v>2516</v>
      </c>
      <c r="F344" s="106">
        <f>IF(COUNTIF($A$4:$A344,$A344)=1,1,0)</f>
        <v>1</v>
      </c>
      <c r="G344" s="106" cm="1">
        <f t="array" ref="G344">IF($F344=1,IF(SUMPRODUCT(--ISNUMBER(SEARCH(","&amp;$A344&amp;",",'Parts list'!$Z$4:$Z$185)))&gt;0,1,0),0)</f>
        <v>1</v>
      </c>
    </row>
    <row r="345" spans="1:7" x14ac:dyDescent="0.2">
      <c r="A345" s="1" t="s">
        <v>353</v>
      </c>
      <c r="B345" s="104">
        <v>2</v>
      </c>
      <c r="C345" s="104">
        <v>2</v>
      </c>
      <c r="D345" s="1" t="s">
        <v>2202</v>
      </c>
      <c r="E345" s="4" t="s">
        <v>2516</v>
      </c>
      <c r="F345" s="106">
        <f>IF(COUNTIF($A$4:$A345,$A345)=1,1,0)</f>
        <v>0</v>
      </c>
      <c r="G345" s="106" cm="1">
        <f t="array" ref="G345">IF($F345=1,IF(SUMPRODUCT(--ISNUMBER(SEARCH(","&amp;$A345&amp;",",'Parts list'!$Z$4:$Z$185)))&gt;0,1,0),0)</f>
        <v>0</v>
      </c>
    </row>
    <row r="346" spans="1:7" x14ac:dyDescent="0.2">
      <c r="A346" s="1" t="s">
        <v>2517</v>
      </c>
      <c r="B346" s="104">
        <v>1</v>
      </c>
      <c r="C346" s="104">
        <v>1</v>
      </c>
      <c r="D346" s="1" t="s">
        <v>2208</v>
      </c>
      <c r="E346" s="4" t="s">
        <v>2518</v>
      </c>
      <c r="F346" s="106">
        <f>IF(COUNTIF($A$4:$A346,$A346)=1,1,0)</f>
        <v>1</v>
      </c>
      <c r="G346" s="106" cm="1">
        <f t="array" ref="G346">IF($F346=1,IF(SUMPRODUCT(--ISNUMBER(SEARCH(","&amp;$A346&amp;",",'Parts list'!$Z$4:$Z$185)))&gt;0,1,0),0)</f>
        <v>1</v>
      </c>
    </row>
    <row r="347" spans="1:7" x14ac:dyDescent="0.2">
      <c r="A347" s="1" t="s">
        <v>2517</v>
      </c>
      <c r="B347" s="104">
        <v>2</v>
      </c>
      <c r="C347" s="104">
        <v>2</v>
      </c>
      <c r="D347" s="1" t="s">
        <v>2234</v>
      </c>
      <c r="E347" s="4"/>
      <c r="F347" s="106">
        <f>IF(COUNTIF($A$4:$A347,$A347)=1,1,0)</f>
        <v>0</v>
      </c>
      <c r="G347" s="106" cm="1">
        <f t="array" ref="G347">IF($F347=1,IF(SUMPRODUCT(--ISNUMBER(SEARCH(","&amp;$A347&amp;",",'Parts list'!$Z$4:$Z$185)))&gt;0,1,0),0)</f>
        <v>0</v>
      </c>
    </row>
    <row r="348" spans="1:7" x14ac:dyDescent="0.2">
      <c r="A348" s="1" t="s">
        <v>2519</v>
      </c>
      <c r="B348" s="104">
        <v>1</v>
      </c>
      <c r="C348" s="104">
        <v>1</v>
      </c>
      <c r="D348" s="1" t="s">
        <v>2221</v>
      </c>
      <c r="E348" s="4" t="s">
        <v>2520</v>
      </c>
      <c r="F348" s="106">
        <f>IF(COUNTIF($A$4:$A348,$A348)=1,1,0)</f>
        <v>1</v>
      </c>
      <c r="G348" s="106" cm="1">
        <f t="array" ref="G348">IF($F348=1,IF(SUMPRODUCT(--ISNUMBER(SEARCH(","&amp;$A348&amp;",",'Parts list'!$Z$4:$Z$185)))&gt;0,1,0),0)</f>
        <v>1</v>
      </c>
    </row>
    <row r="349" spans="1:7" x14ac:dyDescent="0.2">
      <c r="A349" s="1" t="s">
        <v>2519</v>
      </c>
      <c r="B349" s="104">
        <v>2</v>
      </c>
      <c r="C349" s="104">
        <v>2</v>
      </c>
      <c r="D349" s="1" t="s">
        <v>2231</v>
      </c>
      <c r="E349" s="4"/>
      <c r="F349" s="106">
        <f>IF(COUNTIF($A$4:$A349,$A349)=1,1,0)</f>
        <v>0</v>
      </c>
      <c r="G349" s="106" cm="1">
        <f t="array" ref="G349">IF($F349=1,IF(SUMPRODUCT(--ISNUMBER(SEARCH(","&amp;$A349&amp;",",'Parts list'!$Z$4:$Z$185)))&gt;0,1,0),0)</f>
        <v>0</v>
      </c>
    </row>
    <row r="350" spans="1:7" x14ac:dyDescent="0.2">
      <c r="A350" s="1" t="s">
        <v>846</v>
      </c>
      <c r="B350" s="104">
        <v>1</v>
      </c>
      <c r="C350" s="104">
        <v>1</v>
      </c>
      <c r="D350" s="1" t="s">
        <v>2330</v>
      </c>
      <c r="E350" s="4"/>
      <c r="F350" s="106">
        <f>IF(COUNTIF($A$4:$A350,$A350)=1,1,0)</f>
        <v>1</v>
      </c>
      <c r="G350" s="106" cm="1">
        <f t="array" ref="G350">IF($F350=1,IF(SUMPRODUCT(--ISNUMBER(SEARCH(","&amp;$A350&amp;",",'Parts list'!$Z$4:$Z$185)))&gt;0,1,0),0)</f>
        <v>1</v>
      </c>
    </row>
    <row r="351" spans="1:7" x14ac:dyDescent="0.2">
      <c r="A351" s="1" t="s">
        <v>846</v>
      </c>
      <c r="B351" s="104">
        <v>2</v>
      </c>
      <c r="C351" s="104">
        <v>2</v>
      </c>
      <c r="D351" s="1" t="s">
        <v>2331</v>
      </c>
      <c r="E351" s="4"/>
      <c r="F351" s="106">
        <f>IF(COUNTIF($A$4:$A351,$A351)=1,1,0)</f>
        <v>0</v>
      </c>
      <c r="G351" s="106" cm="1">
        <f t="array" ref="G351">IF($F351=1,IF(SUMPRODUCT(--ISNUMBER(SEARCH(","&amp;$A351&amp;",",'Parts list'!$Z$4:$Z$185)))&gt;0,1,0),0)</f>
        <v>0</v>
      </c>
    </row>
    <row r="352" spans="1:7" x14ac:dyDescent="0.2">
      <c r="A352" s="1" t="s">
        <v>214</v>
      </c>
      <c r="B352" s="104" t="s">
        <v>2521</v>
      </c>
      <c r="C352" s="104" t="s">
        <v>2522</v>
      </c>
      <c r="D352" s="1" t="s">
        <v>2168</v>
      </c>
      <c r="E352" s="4" t="s">
        <v>2523</v>
      </c>
      <c r="F352" s="106">
        <f>IF(COUNTIF($A$4:$A352,$A352)=1,1,0)</f>
        <v>1</v>
      </c>
      <c r="G352" s="106" cm="1">
        <f t="array" ref="G352">IF($F352=1,IF(SUMPRODUCT(--ISNUMBER(SEARCH(","&amp;$A352&amp;",",'Parts list'!$Z$4:$Z$185)))&gt;0,1,0),0)</f>
        <v>1</v>
      </c>
    </row>
    <row r="353" spans="1:7" x14ac:dyDescent="0.2">
      <c r="A353" s="1" t="s">
        <v>214</v>
      </c>
      <c r="B353" s="104" t="s">
        <v>2524</v>
      </c>
      <c r="C353" s="104" t="s">
        <v>2525</v>
      </c>
      <c r="D353" s="1" t="s">
        <v>2169</v>
      </c>
      <c r="E353" s="4" t="s">
        <v>2523</v>
      </c>
      <c r="F353" s="106">
        <f>IF(COUNTIF($A$4:$A353,$A353)=1,1,0)</f>
        <v>0</v>
      </c>
      <c r="G353" s="106" cm="1">
        <f t="array" ref="G353">IF($F353=1,IF(SUMPRODUCT(--ISNUMBER(SEARCH(","&amp;$A353&amp;",",'Parts list'!$Z$4:$Z$185)))&gt;0,1,0),0)</f>
        <v>0</v>
      </c>
    </row>
    <row r="354" spans="1:7" x14ac:dyDescent="0.2">
      <c r="A354" s="1" t="s">
        <v>214</v>
      </c>
      <c r="B354" s="104" t="s">
        <v>2526</v>
      </c>
      <c r="C354" s="104" t="s">
        <v>2527</v>
      </c>
      <c r="D354" s="1" t="s">
        <v>2527</v>
      </c>
      <c r="E354" s="4" t="s">
        <v>2523</v>
      </c>
      <c r="F354" s="106">
        <f>IF(COUNTIF($A$4:$A354,$A354)=1,1,0)</f>
        <v>0</v>
      </c>
      <c r="G354" s="106" cm="1">
        <f t="array" ref="G354">IF($F354=1,IF(SUMPRODUCT(--ISNUMBER(SEARCH(","&amp;$A354&amp;",",'Parts list'!$Z$4:$Z$185)))&gt;0,1,0),0)</f>
        <v>0</v>
      </c>
    </row>
    <row r="355" spans="1:7" x14ac:dyDescent="0.2">
      <c r="A355" s="1" t="s">
        <v>214</v>
      </c>
      <c r="B355" s="104" t="s">
        <v>2528</v>
      </c>
      <c r="C355" s="104" t="s">
        <v>2529</v>
      </c>
      <c r="D355" s="1" t="s">
        <v>2530</v>
      </c>
      <c r="E355" s="4" t="s">
        <v>2523</v>
      </c>
      <c r="F355" s="106">
        <f>IF(COUNTIF($A$4:$A355,$A355)=1,1,0)</f>
        <v>0</v>
      </c>
      <c r="G355" s="106" cm="1">
        <f t="array" ref="G355">IF($F355=1,IF(SUMPRODUCT(--ISNUMBER(SEARCH(","&amp;$A355&amp;",",'Parts list'!$Z$4:$Z$185)))&gt;0,1,0),0)</f>
        <v>0</v>
      </c>
    </row>
    <row r="356" spans="1:7" x14ac:dyDescent="0.2">
      <c r="A356" s="1" t="s">
        <v>214</v>
      </c>
      <c r="B356" s="104" t="s">
        <v>2531</v>
      </c>
      <c r="C356" s="104" t="s">
        <v>2532</v>
      </c>
      <c r="D356" s="1" t="s">
        <v>2533</v>
      </c>
      <c r="E356" s="4" t="s">
        <v>2523</v>
      </c>
      <c r="F356" s="106">
        <f>IF(COUNTIF($A$4:$A356,$A356)=1,1,0)</f>
        <v>0</v>
      </c>
      <c r="G356" s="106" cm="1">
        <f t="array" ref="G356">IF($F356=1,IF(SUMPRODUCT(--ISNUMBER(SEARCH(","&amp;$A356&amp;",",'Parts list'!$Z$4:$Z$185)))&gt;0,1,0),0)</f>
        <v>0</v>
      </c>
    </row>
    <row r="357" spans="1:7" x14ac:dyDescent="0.2">
      <c r="A357" s="1" t="s">
        <v>214</v>
      </c>
      <c r="B357" s="104" t="s">
        <v>2534</v>
      </c>
      <c r="C357" s="104" t="s">
        <v>2535</v>
      </c>
      <c r="D357" s="1" t="s">
        <v>2469</v>
      </c>
      <c r="E357" s="4" t="s">
        <v>2523</v>
      </c>
      <c r="F357" s="106">
        <f>IF(COUNTIF($A$4:$A357,$A357)=1,1,0)</f>
        <v>0</v>
      </c>
      <c r="G357" s="106" cm="1">
        <f t="array" ref="G357">IF($F357=1,IF(SUMPRODUCT(--ISNUMBER(SEARCH(","&amp;$A357&amp;",",'Parts list'!$Z$4:$Z$185)))&gt;0,1,0),0)</f>
        <v>0</v>
      </c>
    </row>
    <row r="358" spans="1:7" x14ac:dyDescent="0.2">
      <c r="A358" s="1" t="s">
        <v>214</v>
      </c>
      <c r="B358" s="104" t="s">
        <v>2536</v>
      </c>
      <c r="C358" s="104" t="s">
        <v>2537</v>
      </c>
      <c r="D358" s="1" t="s">
        <v>2168</v>
      </c>
      <c r="E358" s="4" t="s">
        <v>2523</v>
      </c>
      <c r="F358" s="106">
        <f>IF(COUNTIF($A$4:$A358,$A358)=1,1,0)</f>
        <v>0</v>
      </c>
      <c r="G358" s="106" cm="1">
        <f t="array" ref="G358">IF($F358=1,IF(SUMPRODUCT(--ISNUMBER(SEARCH(","&amp;$A358&amp;",",'Parts list'!$Z$4:$Z$185)))&gt;0,1,0),0)</f>
        <v>0</v>
      </c>
    </row>
    <row r="359" spans="1:7" x14ac:dyDescent="0.2">
      <c r="A359" s="1" t="s">
        <v>214</v>
      </c>
      <c r="B359" s="104" t="s">
        <v>2538</v>
      </c>
      <c r="C359" s="104" t="s">
        <v>2539</v>
      </c>
      <c r="D359" s="1" t="s">
        <v>2169</v>
      </c>
      <c r="E359" s="4" t="s">
        <v>2523</v>
      </c>
      <c r="F359" s="106">
        <f>IF(COUNTIF($A$4:$A359,$A359)=1,1,0)</f>
        <v>0</v>
      </c>
      <c r="G359" s="106" cm="1">
        <f t="array" ref="G359">IF($F359=1,IF(SUMPRODUCT(--ISNUMBER(SEARCH(","&amp;$A359&amp;",",'Parts list'!$Z$4:$Z$185)))&gt;0,1,0),0)</f>
        <v>0</v>
      </c>
    </row>
    <row r="360" spans="1:7" x14ac:dyDescent="0.2">
      <c r="A360" s="1" t="s">
        <v>214</v>
      </c>
      <c r="B360" s="104" t="s">
        <v>2540</v>
      </c>
      <c r="C360" s="104" t="s">
        <v>2541</v>
      </c>
      <c r="D360" s="1" t="s">
        <v>2541</v>
      </c>
      <c r="E360" s="4" t="s">
        <v>2523</v>
      </c>
      <c r="F360" s="106">
        <f>IF(COUNTIF($A$4:$A360,$A360)=1,1,0)</f>
        <v>0</v>
      </c>
      <c r="G360" s="106" cm="1">
        <f t="array" ref="G360">IF($F360=1,IF(SUMPRODUCT(--ISNUMBER(SEARCH(","&amp;$A360&amp;",",'Parts list'!$Z$4:$Z$185)))&gt;0,1,0),0)</f>
        <v>0</v>
      </c>
    </row>
    <row r="361" spans="1:7" x14ac:dyDescent="0.2">
      <c r="A361" s="1" t="s">
        <v>214</v>
      </c>
      <c r="B361" s="104" t="s">
        <v>2542</v>
      </c>
      <c r="C361" s="104" t="s">
        <v>2543</v>
      </c>
      <c r="D361" s="1" t="s">
        <v>2530</v>
      </c>
      <c r="E361" s="4" t="s">
        <v>2523</v>
      </c>
      <c r="F361" s="106">
        <f>IF(COUNTIF($A$4:$A361,$A361)=1,1,0)</f>
        <v>0</v>
      </c>
      <c r="G361" s="106" cm="1">
        <f t="array" ref="G361">IF($F361=1,IF(SUMPRODUCT(--ISNUMBER(SEARCH(","&amp;$A361&amp;",",'Parts list'!$Z$4:$Z$185)))&gt;0,1,0),0)</f>
        <v>0</v>
      </c>
    </row>
    <row r="362" spans="1:7" x14ac:dyDescent="0.2">
      <c r="A362" s="1" t="s">
        <v>214</v>
      </c>
      <c r="B362" s="104" t="s">
        <v>2544</v>
      </c>
      <c r="C362" s="104" t="s">
        <v>2545</v>
      </c>
      <c r="D362" s="1" t="s">
        <v>2533</v>
      </c>
      <c r="E362" s="4" t="s">
        <v>2523</v>
      </c>
      <c r="F362" s="106">
        <f>IF(COUNTIF($A$4:$A362,$A362)=1,1,0)</f>
        <v>0</v>
      </c>
      <c r="G362" s="106" cm="1">
        <f t="array" ref="G362">IF($F362=1,IF(SUMPRODUCT(--ISNUMBER(SEARCH(","&amp;$A362&amp;",",'Parts list'!$Z$4:$Z$185)))&gt;0,1,0),0)</f>
        <v>0</v>
      </c>
    </row>
    <row r="363" spans="1:7" x14ac:dyDescent="0.2">
      <c r="A363" s="1" t="s">
        <v>214</v>
      </c>
      <c r="B363" s="104" t="s">
        <v>2546</v>
      </c>
      <c r="C363" s="104" t="s">
        <v>2547</v>
      </c>
      <c r="D363" s="1" t="s">
        <v>2469</v>
      </c>
      <c r="E363" s="4" t="s">
        <v>2523</v>
      </c>
      <c r="F363" s="106">
        <f>IF(COUNTIF($A$4:$A363,$A363)=1,1,0)</f>
        <v>0</v>
      </c>
      <c r="G363" s="106" cm="1">
        <f t="array" ref="G363">IF($F363=1,IF(SUMPRODUCT(--ISNUMBER(SEARCH(","&amp;$A363&amp;",",'Parts list'!$Z$4:$Z$185)))&gt;0,1,0),0)</f>
        <v>0</v>
      </c>
    </row>
    <row r="364" spans="1:7" x14ac:dyDescent="0.2">
      <c r="A364" s="1" t="s">
        <v>214</v>
      </c>
      <c r="B364" s="104" t="s">
        <v>2548</v>
      </c>
      <c r="C364" s="104" t="s">
        <v>2549</v>
      </c>
      <c r="D364" s="1" t="s">
        <v>2167</v>
      </c>
      <c r="E364" s="4" t="s">
        <v>2523</v>
      </c>
      <c r="F364" s="106">
        <f>IF(COUNTIF($A$4:$A364,$A364)=1,1,0)</f>
        <v>0</v>
      </c>
      <c r="G364" s="106" cm="1">
        <f t="array" ref="G364">IF($F364=1,IF(SUMPRODUCT(--ISNUMBER(SEARCH(","&amp;$A364&amp;",",'Parts list'!$Z$4:$Z$185)))&gt;0,1,0),0)</f>
        <v>0</v>
      </c>
    </row>
    <row r="365" spans="1:7" x14ac:dyDescent="0.2">
      <c r="A365" s="1" t="s">
        <v>214</v>
      </c>
      <c r="B365" s="104" t="s">
        <v>2550</v>
      </c>
      <c r="C365" s="104" t="s">
        <v>2549</v>
      </c>
      <c r="D365" s="1" t="s">
        <v>2167</v>
      </c>
      <c r="E365" s="4" t="s">
        <v>2523</v>
      </c>
      <c r="F365" s="106">
        <f>IF(COUNTIF($A$4:$A365,$A365)=1,1,0)</f>
        <v>0</v>
      </c>
      <c r="G365" s="106" cm="1">
        <f t="array" ref="G365">IF($F365=1,IF(SUMPRODUCT(--ISNUMBER(SEARCH(","&amp;$A365&amp;",",'Parts list'!$Z$4:$Z$185)))&gt;0,1,0),0)</f>
        <v>0</v>
      </c>
    </row>
    <row r="366" spans="1:7" x14ac:dyDescent="0.2">
      <c r="A366" s="1" t="s">
        <v>214</v>
      </c>
      <c r="B366" s="104" t="s">
        <v>2551</v>
      </c>
      <c r="C366" s="104" t="s">
        <v>2549</v>
      </c>
      <c r="D366" s="1" t="s">
        <v>2167</v>
      </c>
      <c r="E366" s="4" t="s">
        <v>2523</v>
      </c>
      <c r="F366" s="106">
        <f>IF(COUNTIF($A$4:$A366,$A366)=1,1,0)</f>
        <v>0</v>
      </c>
      <c r="G366" s="106" cm="1">
        <f t="array" ref="G366">IF($F366=1,IF(SUMPRODUCT(--ISNUMBER(SEARCH(","&amp;$A366&amp;",",'Parts list'!$Z$4:$Z$185)))&gt;0,1,0),0)</f>
        <v>0</v>
      </c>
    </row>
    <row r="367" spans="1:7" x14ac:dyDescent="0.2">
      <c r="A367" s="1" t="s">
        <v>214</v>
      </c>
      <c r="B367" s="104" t="s">
        <v>2552</v>
      </c>
      <c r="C367" s="104" t="s">
        <v>2549</v>
      </c>
      <c r="D367" s="1" t="s">
        <v>2167</v>
      </c>
      <c r="E367" s="4" t="s">
        <v>2523</v>
      </c>
      <c r="F367" s="106">
        <f>IF(COUNTIF($A$4:$A367,$A367)=1,1,0)</f>
        <v>0</v>
      </c>
      <c r="G367" s="106" cm="1">
        <f t="array" ref="G367">IF($F367=1,IF(SUMPRODUCT(--ISNUMBER(SEARCH(","&amp;$A367&amp;",",'Parts list'!$Z$4:$Z$185)))&gt;0,1,0),0)</f>
        <v>0</v>
      </c>
    </row>
    <row r="368" spans="1:7" x14ac:dyDescent="0.2">
      <c r="A368" s="1" t="s">
        <v>362</v>
      </c>
      <c r="B368" s="104">
        <v>1</v>
      </c>
      <c r="C368" s="104" t="s">
        <v>2553</v>
      </c>
      <c r="D368" s="1" t="s">
        <v>2554</v>
      </c>
      <c r="E368" s="4" t="s">
        <v>2555</v>
      </c>
      <c r="F368" s="106">
        <f>IF(COUNTIF($A$4:$A368,$A368)=1,1,0)</f>
        <v>1</v>
      </c>
      <c r="G368" s="106" cm="1">
        <f t="array" ref="G368">IF($F368=1,IF(SUMPRODUCT(--ISNUMBER(SEARCH(","&amp;$A368&amp;",",'Parts list'!$Z$4:$Z$185)))&gt;0,1,0),0)</f>
        <v>1</v>
      </c>
    </row>
    <row r="369" spans="1:7" x14ac:dyDescent="0.2">
      <c r="A369" s="1" t="s">
        <v>362</v>
      </c>
      <c r="B369" s="104">
        <v>2</v>
      </c>
      <c r="C369" s="104" t="s">
        <v>2556</v>
      </c>
      <c r="D369" s="1" t="s">
        <v>2556</v>
      </c>
      <c r="E369" s="4"/>
      <c r="F369" s="106">
        <f>IF(COUNTIF($A$4:$A369,$A369)=1,1,0)</f>
        <v>0</v>
      </c>
      <c r="G369" s="106" cm="1">
        <f t="array" ref="G369">IF($F369=1,IF(SUMPRODUCT(--ISNUMBER(SEARCH(","&amp;$A369&amp;",",'Parts list'!$Z$4:$Z$185)))&gt;0,1,0),0)</f>
        <v>0</v>
      </c>
    </row>
    <row r="370" spans="1:7" x14ac:dyDescent="0.2">
      <c r="A370" s="1" t="s">
        <v>362</v>
      </c>
      <c r="B370" s="104">
        <v>3</v>
      </c>
      <c r="C370" s="104" t="s">
        <v>2557</v>
      </c>
      <c r="D370" s="1" t="s">
        <v>2557</v>
      </c>
      <c r="E370" s="4"/>
      <c r="F370" s="106">
        <f>IF(COUNTIF($A$4:$A370,$A370)=1,1,0)</f>
        <v>0</v>
      </c>
      <c r="G370" s="106" cm="1">
        <f t="array" ref="G370">IF($F370=1,IF(SUMPRODUCT(--ISNUMBER(SEARCH(","&amp;$A370&amp;",",'Parts list'!$Z$4:$Z$185)))&gt;0,1,0),0)</f>
        <v>0</v>
      </c>
    </row>
    <row r="371" spans="1:7" x14ac:dyDescent="0.2">
      <c r="A371" s="1" t="s">
        <v>362</v>
      </c>
      <c r="B371" s="104">
        <v>4</v>
      </c>
      <c r="C371" s="104" t="s">
        <v>2199</v>
      </c>
      <c r="D371" s="1" t="s">
        <v>2199</v>
      </c>
      <c r="E371" s="4"/>
      <c r="F371" s="106">
        <f>IF(COUNTIF($A$4:$A371,$A371)=1,1,0)</f>
        <v>0</v>
      </c>
      <c r="G371" s="106" cm="1">
        <f t="array" ref="G371">IF($F371=1,IF(SUMPRODUCT(--ISNUMBER(SEARCH(","&amp;$A371&amp;",",'Parts list'!$Z$4:$Z$185)))&gt;0,1,0),0)</f>
        <v>0</v>
      </c>
    </row>
    <row r="372" spans="1:7" x14ac:dyDescent="0.2">
      <c r="A372" s="1" t="s">
        <v>362</v>
      </c>
      <c r="B372" s="104">
        <v>5</v>
      </c>
      <c r="C372" s="104" t="s">
        <v>2168</v>
      </c>
      <c r="D372" s="1" t="s">
        <v>2168</v>
      </c>
      <c r="E372" s="4"/>
      <c r="F372" s="106">
        <f>IF(COUNTIF($A$4:$A372,$A372)=1,1,0)</f>
        <v>0</v>
      </c>
      <c r="G372" s="106" cm="1">
        <f t="array" ref="G372">IF($F372=1,IF(SUMPRODUCT(--ISNUMBER(SEARCH(","&amp;$A372&amp;",",'Parts list'!$Z$4:$Z$185)))&gt;0,1,0),0)</f>
        <v>0</v>
      </c>
    </row>
    <row r="373" spans="1:7" x14ac:dyDescent="0.2">
      <c r="A373" s="1" t="s">
        <v>362</v>
      </c>
      <c r="B373" s="104">
        <v>6</v>
      </c>
      <c r="C373" s="104" t="s">
        <v>2558</v>
      </c>
      <c r="D373" s="1" t="s">
        <v>2558</v>
      </c>
      <c r="E373" s="4"/>
      <c r="F373" s="106">
        <f>IF(COUNTIF($A$4:$A373,$A373)=1,1,0)</f>
        <v>0</v>
      </c>
      <c r="G373" s="106" cm="1">
        <f t="array" ref="G373">IF($F373=1,IF(SUMPRODUCT(--ISNUMBER(SEARCH(","&amp;$A373&amp;",",'Parts list'!$Z$4:$Z$185)))&gt;0,1,0),0)</f>
        <v>0</v>
      </c>
    </row>
    <row r="374" spans="1:7" x14ac:dyDescent="0.2">
      <c r="A374" s="1" t="s">
        <v>362</v>
      </c>
      <c r="B374" s="104">
        <v>7</v>
      </c>
      <c r="C374" s="104" t="s">
        <v>2559</v>
      </c>
      <c r="D374" s="1" t="s">
        <v>2559</v>
      </c>
      <c r="E374" s="4"/>
      <c r="F374" s="106">
        <f>IF(COUNTIF($A$4:$A374,$A374)=1,1,0)</f>
        <v>0</v>
      </c>
      <c r="G374" s="106" cm="1">
        <f t="array" ref="G374">IF($F374=1,IF(SUMPRODUCT(--ISNUMBER(SEARCH(","&amp;$A374&amp;",",'Parts list'!$Z$4:$Z$185)))&gt;0,1,0),0)</f>
        <v>0</v>
      </c>
    </row>
    <row r="375" spans="1:7" x14ac:dyDescent="0.2">
      <c r="A375" s="1" t="s">
        <v>362</v>
      </c>
      <c r="B375" s="104">
        <v>8</v>
      </c>
      <c r="C375" s="104" t="s">
        <v>2560</v>
      </c>
      <c r="D375" s="1" t="s">
        <v>2560</v>
      </c>
      <c r="E375" s="4"/>
      <c r="F375" s="106">
        <f>IF(COUNTIF($A$4:$A375,$A375)=1,1,0)</f>
        <v>0</v>
      </c>
      <c r="G375" s="106" cm="1">
        <f t="array" ref="G375">IF($F375=1,IF(SUMPRODUCT(--ISNUMBER(SEARCH(","&amp;$A375&amp;",",'Parts list'!$Z$4:$Z$185)))&gt;0,1,0),0)</f>
        <v>0</v>
      </c>
    </row>
    <row r="376" spans="1:7" x14ac:dyDescent="0.2">
      <c r="A376" s="1" t="s">
        <v>370</v>
      </c>
      <c r="B376" s="104">
        <v>1</v>
      </c>
      <c r="C376" s="104" t="s">
        <v>2561</v>
      </c>
      <c r="D376" s="1" t="s">
        <v>2208</v>
      </c>
      <c r="E376" s="4" t="s">
        <v>2562</v>
      </c>
      <c r="F376" s="106">
        <f>IF(COUNTIF($A$4:$A376,$A376)=1,1,0)</f>
        <v>1</v>
      </c>
      <c r="G376" s="106" cm="1">
        <f t="array" ref="G376">IF($F376=1,IF(SUMPRODUCT(--ISNUMBER(SEARCH(","&amp;$A376&amp;",",'Parts list'!$Z$4:$Z$185)))&gt;0,1,0),0)</f>
        <v>1</v>
      </c>
    </row>
    <row r="377" spans="1:7" x14ac:dyDescent="0.2">
      <c r="A377" s="1" t="s">
        <v>370</v>
      </c>
      <c r="B377" s="104">
        <v>2</v>
      </c>
      <c r="C377" s="104" t="s">
        <v>2563</v>
      </c>
      <c r="D377" s="1" t="s">
        <v>2564</v>
      </c>
      <c r="E377" s="4"/>
      <c r="F377" s="106">
        <f>IF(COUNTIF($A$4:$A377,$A377)=1,1,0)</f>
        <v>0</v>
      </c>
      <c r="G377" s="106" cm="1">
        <f t="array" ref="G377">IF($F377=1,IF(SUMPRODUCT(--ISNUMBER(SEARCH(","&amp;$A377&amp;",",'Parts list'!$Z$4:$Z$185)))&gt;0,1,0),0)</f>
        <v>0</v>
      </c>
    </row>
    <row r="378" spans="1:7" x14ac:dyDescent="0.2">
      <c r="A378" s="1" t="s">
        <v>370</v>
      </c>
      <c r="B378" s="104">
        <v>3</v>
      </c>
      <c r="C378" s="104" t="s">
        <v>2565</v>
      </c>
      <c r="D378" s="1" t="s">
        <v>2566</v>
      </c>
      <c r="E378" s="4"/>
      <c r="F378" s="106">
        <f>IF(COUNTIF($A$4:$A378,$A378)=1,1,0)</f>
        <v>0</v>
      </c>
      <c r="G378" s="106" cm="1">
        <f t="array" ref="G378">IF($F378=1,IF(SUMPRODUCT(--ISNUMBER(SEARCH(","&amp;$A378&amp;",",'Parts list'!$Z$4:$Z$185)))&gt;0,1,0),0)</f>
        <v>0</v>
      </c>
    </row>
    <row r="379" spans="1:7" x14ac:dyDescent="0.2">
      <c r="A379" s="1" t="s">
        <v>370</v>
      </c>
      <c r="B379" s="104">
        <v>4</v>
      </c>
      <c r="C379" s="104" t="s">
        <v>2199</v>
      </c>
      <c r="D379" s="1" t="s">
        <v>2567</v>
      </c>
      <c r="E379" s="4"/>
      <c r="F379" s="106">
        <f>IF(COUNTIF($A$4:$A379,$A379)=1,1,0)</f>
        <v>0</v>
      </c>
      <c r="G379" s="106" cm="1">
        <f t="array" ref="G379">IF($F379=1,IF(SUMPRODUCT(--ISNUMBER(SEARCH(","&amp;$A379&amp;",",'Parts list'!$Z$4:$Z$185)))&gt;0,1,0),0)</f>
        <v>0</v>
      </c>
    </row>
    <row r="380" spans="1:7" x14ac:dyDescent="0.2">
      <c r="A380" s="1" t="s">
        <v>370</v>
      </c>
      <c r="B380" s="104">
        <v>5</v>
      </c>
      <c r="C380" s="104" t="s">
        <v>2168</v>
      </c>
      <c r="D380" s="1" t="s">
        <v>2168</v>
      </c>
      <c r="E380" s="4"/>
      <c r="F380" s="106">
        <f>IF(COUNTIF($A$4:$A380,$A380)=1,1,0)</f>
        <v>0</v>
      </c>
      <c r="G380" s="106" cm="1">
        <f t="array" ref="G380">IF($F380=1,IF(SUMPRODUCT(--ISNUMBER(SEARCH(","&amp;$A380&amp;",",'Parts list'!$Z$4:$Z$185)))&gt;0,1,0),0)</f>
        <v>0</v>
      </c>
    </row>
    <row r="381" spans="1:7" ht="27.75" customHeight="1" x14ac:dyDescent="0.2">
      <c r="A381" s="1" t="s">
        <v>1476</v>
      </c>
      <c r="B381" s="104">
        <v>1</v>
      </c>
      <c r="C381" s="104" t="s">
        <v>2168</v>
      </c>
      <c r="D381" s="1" t="s">
        <v>2168</v>
      </c>
      <c r="E381" s="4" t="s">
        <v>2568</v>
      </c>
      <c r="F381" s="106">
        <f>IF(COUNTIF($A$4:$A381,$A381)=1,1,0)</f>
        <v>1</v>
      </c>
      <c r="G381" s="106" cm="1">
        <f t="array" ref="G381">IF($F381=1,IF(SUMPRODUCT(--ISNUMBER(SEARCH(","&amp;$A381&amp;",",'Parts list'!$Z$4:$Z$185)))&gt;0,1,0),0)</f>
        <v>1</v>
      </c>
    </row>
    <row r="382" spans="1:7" x14ac:dyDescent="0.2">
      <c r="A382" s="1" t="s">
        <v>1476</v>
      </c>
      <c r="B382" s="104">
        <v>2</v>
      </c>
      <c r="C382" s="104" t="s">
        <v>2569</v>
      </c>
      <c r="D382" s="1" t="s">
        <v>2511</v>
      </c>
      <c r="E382" s="4" t="s">
        <v>2570</v>
      </c>
      <c r="F382" s="106">
        <f>IF(COUNTIF($A$4:$A382,$A382)=1,1,0)</f>
        <v>0</v>
      </c>
      <c r="G382" s="106" cm="1">
        <f t="array" ref="G382">IF($F382=1,IF(SUMPRODUCT(--ISNUMBER(SEARCH(","&amp;$A382&amp;",",'Parts list'!$Z$4:$Z$185)))&gt;0,1,0),0)</f>
        <v>0</v>
      </c>
    </row>
    <row r="383" spans="1:7" x14ac:dyDescent="0.2">
      <c r="A383" s="1" t="s">
        <v>1476</v>
      </c>
      <c r="B383" s="104">
        <v>3</v>
      </c>
      <c r="C383" s="104" t="s">
        <v>2569</v>
      </c>
      <c r="D383" s="1" t="s">
        <v>2511</v>
      </c>
      <c r="E383" s="4" t="s">
        <v>2570</v>
      </c>
      <c r="F383" s="106">
        <f>IF(COUNTIF($A$4:$A383,$A383)=1,1,0)</f>
        <v>0</v>
      </c>
      <c r="G383" s="106" cm="1">
        <f t="array" ref="G383">IF($F383=1,IF(SUMPRODUCT(--ISNUMBER(SEARCH(","&amp;$A383&amp;",",'Parts list'!$Z$4:$Z$185)))&gt;0,1,0),0)</f>
        <v>0</v>
      </c>
    </row>
    <row r="384" spans="1:7" x14ac:dyDescent="0.2">
      <c r="A384" s="1" t="s">
        <v>1476</v>
      </c>
      <c r="B384" s="104">
        <v>4</v>
      </c>
      <c r="C384" s="104" t="s">
        <v>2571</v>
      </c>
      <c r="D384" s="1" t="s">
        <v>2507</v>
      </c>
      <c r="E384" s="4" t="s">
        <v>2572</v>
      </c>
      <c r="F384" s="106">
        <f>IF(COUNTIF($A$4:$A384,$A384)=1,1,0)</f>
        <v>0</v>
      </c>
      <c r="G384" s="106" cm="1">
        <f t="array" ref="G384">IF($F384=1,IF(SUMPRODUCT(--ISNUMBER(SEARCH(","&amp;$A384&amp;",",'Parts list'!$Z$4:$Z$185)))&gt;0,1,0),0)</f>
        <v>0</v>
      </c>
    </row>
    <row r="385" spans="1:7" x14ac:dyDescent="0.2">
      <c r="A385" s="1" t="s">
        <v>1476</v>
      </c>
      <c r="B385" s="104">
        <v>5</v>
      </c>
      <c r="C385" s="104" t="s">
        <v>2571</v>
      </c>
      <c r="D385" s="1" t="s">
        <v>2507</v>
      </c>
      <c r="E385" s="4" t="s">
        <v>2572</v>
      </c>
      <c r="F385" s="106">
        <f>IF(COUNTIF($A$4:$A385,$A385)=1,1,0)</f>
        <v>0</v>
      </c>
      <c r="G385" s="106" cm="1">
        <f t="array" ref="G385">IF($F385=1,IF(SUMPRODUCT(--ISNUMBER(SEARCH(","&amp;$A385&amp;",",'Parts list'!$Z$4:$Z$185)))&gt;0,1,0),0)</f>
        <v>0</v>
      </c>
    </row>
    <row r="386" spans="1:7" x14ac:dyDescent="0.2">
      <c r="A386" s="1" t="s">
        <v>1476</v>
      </c>
      <c r="B386" s="104">
        <v>6</v>
      </c>
      <c r="C386" s="104" t="s">
        <v>2573</v>
      </c>
      <c r="D386" s="1" t="s">
        <v>2509</v>
      </c>
      <c r="E386" s="4" t="s">
        <v>2574</v>
      </c>
      <c r="F386" s="106">
        <f>IF(COUNTIF($A$4:$A386,$A386)=1,1,0)</f>
        <v>0</v>
      </c>
      <c r="G386" s="106" cm="1">
        <f t="array" ref="G386">IF($F386=1,IF(SUMPRODUCT(--ISNUMBER(SEARCH(","&amp;$A386&amp;",",'Parts list'!$Z$4:$Z$185)))&gt;0,1,0),0)</f>
        <v>0</v>
      </c>
    </row>
    <row r="387" spans="1:7" x14ac:dyDescent="0.2">
      <c r="A387" s="1" t="s">
        <v>1476</v>
      </c>
      <c r="B387" s="104">
        <v>7</v>
      </c>
      <c r="C387" s="104" t="s">
        <v>2575</v>
      </c>
      <c r="D387" s="1" t="s">
        <v>2504</v>
      </c>
      <c r="E387" s="4" t="s">
        <v>2576</v>
      </c>
      <c r="F387" s="106">
        <f>IF(COUNTIF($A$4:$A387,$A387)=1,1,0)</f>
        <v>0</v>
      </c>
      <c r="G387" s="106" cm="1">
        <f t="array" ref="G387">IF($F387=1,IF(SUMPRODUCT(--ISNUMBER(SEARCH(","&amp;$A387&amp;",",'Parts list'!$Z$4:$Z$185)))&gt;0,1,0),0)</f>
        <v>0</v>
      </c>
    </row>
    <row r="388" spans="1:7" x14ac:dyDescent="0.2">
      <c r="A388" s="1" t="s">
        <v>1476</v>
      </c>
      <c r="B388" s="104">
        <v>8</v>
      </c>
      <c r="C388" s="104" t="s">
        <v>2575</v>
      </c>
      <c r="D388" s="1" t="s">
        <v>2504</v>
      </c>
      <c r="E388" s="4" t="s">
        <v>2576</v>
      </c>
      <c r="F388" s="106">
        <f>IF(COUNTIF($A$4:$A388,$A388)=1,1,0)</f>
        <v>0</v>
      </c>
      <c r="G388" s="106" cm="1">
        <f t="array" ref="G388">IF($F388=1,IF(SUMPRODUCT(--ISNUMBER(SEARCH(","&amp;$A388&amp;",",'Parts list'!$Z$4:$Z$185)))&gt;0,1,0),0)</f>
        <v>0</v>
      </c>
    </row>
    <row r="389" spans="1:7" ht="27.75" customHeight="1" x14ac:dyDescent="0.2">
      <c r="A389" s="1" t="s">
        <v>1476</v>
      </c>
      <c r="B389" s="104">
        <v>9</v>
      </c>
      <c r="C389" s="104" t="s">
        <v>2577</v>
      </c>
      <c r="D389" s="1" t="s">
        <v>2469</v>
      </c>
      <c r="E389" s="4" t="s">
        <v>2578</v>
      </c>
      <c r="F389" s="106">
        <f>IF(COUNTIF($A$4:$A389,$A389)=1,1,0)</f>
        <v>0</v>
      </c>
      <c r="G389" s="106" cm="1">
        <f t="array" ref="G389">IF($F389=1,IF(SUMPRODUCT(--ISNUMBER(SEARCH(","&amp;$A389&amp;",",'Parts list'!$Z$4:$Z$185)))&gt;0,1,0),0)</f>
        <v>0</v>
      </c>
    </row>
    <row r="390" spans="1:7" ht="27.75" customHeight="1" x14ac:dyDescent="0.2">
      <c r="A390" s="1" t="s">
        <v>1476</v>
      </c>
      <c r="B390" s="104">
        <v>10</v>
      </c>
      <c r="C390" s="104" t="s">
        <v>2579</v>
      </c>
      <c r="D390" s="1" t="s">
        <v>2469</v>
      </c>
      <c r="E390" s="4" t="s">
        <v>2578</v>
      </c>
      <c r="F390" s="106">
        <f>IF(COUNTIF($A$4:$A390,$A390)=1,1,0)</f>
        <v>0</v>
      </c>
      <c r="G390" s="106" cm="1">
        <f t="array" ref="G390">IF($F390=1,IF(SUMPRODUCT(--ISNUMBER(SEARCH(","&amp;$A390&amp;",",'Parts list'!$Z$4:$Z$185)))&gt;0,1,0),0)</f>
        <v>0</v>
      </c>
    </row>
    <row r="391" spans="1:7" ht="40.5" customHeight="1" x14ac:dyDescent="0.2">
      <c r="A391" s="1" t="s">
        <v>1476</v>
      </c>
      <c r="B391" s="104">
        <v>11</v>
      </c>
      <c r="C391" s="104" t="s">
        <v>2580</v>
      </c>
      <c r="D391" s="1" t="s">
        <v>2469</v>
      </c>
      <c r="E391" s="4" t="s">
        <v>2581</v>
      </c>
      <c r="F391" s="106">
        <f>IF(COUNTIF($A$4:$A391,$A391)=1,1,0)</f>
        <v>0</v>
      </c>
      <c r="G391" s="106" cm="1">
        <f t="array" ref="G391">IF($F391=1,IF(SUMPRODUCT(--ISNUMBER(SEARCH(","&amp;$A391&amp;",",'Parts list'!$Z$4:$Z$185)))&gt;0,1,0),0)</f>
        <v>0</v>
      </c>
    </row>
    <row r="392" spans="1:7" ht="40.5" customHeight="1" x14ac:dyDescent="0.2">
      <c r="A392" s="1" t="s">
        <v>1476</v>
      </c>
      <c r="B392" s="104">
        <v>12</v>
      </c>
      <c r="C392" s="104" t="s">
        <v>2580</v>
      </c>
      <c r="D392" s="1" t="s">
        <v>2469</v>
      </c>
      <c r="E392" s="4" t="s">
        <v>2581</v>
      </c>
      <c r="F392" s="106">
        <f>IF(COUNTIF($A$4:$A392,$A392)=1,1,0)</f>
        <v>0</v>
      </c>
      <c r="G392" s="106" cm="1">
        <f t="array" ref="G392">IF($F392=1,IF(SUMPRODUCT(--ISNUMBER(SEARCH(","&amp;$A392&amp;",",'Parts list'!$Z$4:$Z$185)))&gt;0,1,0),0)</f>
        <v>0</v>
      </c>
    </row>
    <row r="393" spans="1:7" ht="27.75" customHeight="1" x14ac:dyDescent="0.2">
      <c r="A393" s="1" t="s">
        <v>1487</v>
      </c>
      <c r="B393" s="104">
        <v>1</v>
      </c>
      <c r="C393" s="104" t="s">
        <v>2582</v>
      </c>
      <c r="D393" s="1" t="s">
        <v>2168</v>
      </c>
      <c r="E393" s="4" t="s">
        <v>2583</v>
      </c>
      <c r="F393" s="106">
        <f>IF(COUNTIF($A$4:$A393,$A393)=1,1,0)</f>
        <v>1</v>
      </c>
      <c r="G393" s="106" cm="1">
        <f t="array" ref="G393">IF($F393=1,IF(SUMPRODUCT(--ISNUMBER(SEARCH(","&amp;$A393&amp;",",'Parts list'!$Z$4:$Z$185)))&gt;0,1,0),0)</f>
        <v>1</v>
      </c>
    </row>
    <row r="394" spans="1:7" ht="27.75" customHeight="1" x14ac:dyDescent="0.2">
      <c r="A394" s="1" t="s">
        <v>1487</v>
      </c>
      <c r="B394" s="104">
        <v>2</v>
      </c>
      <c r="C394" s="104" t="s">
        <v>2584</v>
      </c>
      <c r="D394" s="1" t="s">
        <v>2168</v>
      </c>
      <c r="E394" s="4" t="s">
        <v>2585</v>
      </c>
      <c r="F394" s="106">
        <f>IF(COUNTIF($A$4:$A394,$A394)=1,1,0)</f>
        <v>0</v>
      </c>
      <c r="G394" s="106" cm="1">
        <f t="array" ref="G394">IF($F394=1,IF(SUMPRODUCT(--ISNUMBER(SEARCH(","&amp;$A394&amp;",",'Parts list'!$Z$4:$Z$185)))&gt;0,1,0),0)</f>
        <v>0</v>
      </c>
    </row>
    <row r="395" spans="1:7" x14ac:dyDescent="0.2">
      <c r="A395" s="1" t="s">
        <v>1487</v>
      </c>
      <c r="B395" s="104">
        <v>3</v>
      </c>
      <c r="C395" s="104" t="s">
        <v>2586</v>
      </c>
      <c r="D395" s="1" t="s">
        <v>2507</v>
      </c>
      <c r="E395" s="4" t="s">
        <v>2587</v>
      </c>
      <c r="F395" s="106">
        <f>IF(COUNTIF($A$4:$A395,$A395)=1,1,0)</f>
        <v>0</v>
      </c>
      <c r="G395" s="106" cm="1">
        <f t="array" ref="G395">IF($F395=1,IF(SUMPRODUCT(--ISNUMBER(SEARCH(","&amp;$A395&amp;",",'Parts list'!$Z$4:$Z$185)))&gt;0,1,0),0)</f>
        <v>0</v>
      </c>
    </row>
    <row r="396" spans="1:7" x14ac:dyDescent="0.2">
      <c r="A396" s="1" t="s">
        <v>1487</v>
      </c>
      <c r="B396" s="104">
        <v>4</v>
      </c>
      <c r="C396" s="104" t="s">
        <v>2588</v>
      </c>
      <c r="D396" s="1" t="s">
        <v>2504</v>
      </c>
      <c r="E396" s="4" t="s">
        <v>2587</v>
      </c>
      <c r="F396" s="106">
        <f>IF(COUNTIF($A$4:$A396,$A396)=1,1,0)</f>
        <v>0</v>
      </c>
      <c r="G396" s="106" cm="1">
        <f t="array" ref="G396">IF($F396=1,IF(SUMPRODUCT(--ISNUMBER(SEARCH(","&amp;$A396&amp;",",'Parts list'!$Z$4:$Z$185)))&gt;0,1,0),0)</f>
        <v>0</v>
      </c>
    </row>
    <row r="397" spans="1:7" ht="27.75" customHeight="1" x14ac:dyDescent="0.2">
      <c r="A397" s="1" t="s">
        <v>1487</v>
      </c>
      <c r="B397" s="104">
        <v>5</v>
      </c>
      <c r="C397" s="104" t="s">
        <v>2589</v>
      </c>
      <c r="D397" s="1" t="s">
        <v>2469</v>
      </c>
      <c r="E397" s="4" t="s">
        <v>2590</v>
      </c>
      <c r="F397" s="106">
        <f>IF(COUNTIF($A$4:$A397,$A397)=1,1,0)</f>
        <v>0</v>
      </c>
      <c r="G397" s="106" cm="1">
        <f t="array" ref="G397">IF($F397=1,IF(SUMPRODUCT(--ISNUMBER(SEARCH(","&amp;$A397&amp;",",'Parts list'!$Z$4:$Z$185)))&gt;0,1,0),0)</f>
        <v>0</v>
      </c>
    </row>
    <row r="398" spans="1:7" ht="27.75" customHeight="1" x14ac:dyDescent="0.2">
      <c r="A398" s="1" t="s">
        <v>1487</v>
      </c>
      <c r="B398" s="104">
        <v>6</v>
      </c>
      <c r="C398" s="104" t="s">
        <v>2591</v>
      </c>
      <c r="D398" s="1" t="s">
        <v>2469</v>
      </c>
      <c r="E398" s="4" t="s">
        <v>2592</v>
      </c>
      <c r="F398" s="106">
        <f>IF(COUNTIF($A$4:$A398,$A398)=1,1,0)</f>
        <v>0</v>
      </c>
      <c r="G398" s="106" cm="1">
        <f t="array" ref="G398">IF($F398=1,IF(SUMPRODUCT(--ISNUMBER(SEARCH(","&amp;$A398&amp;",",'Parts list'!$Z$4:$Z$185)))&gt;0,1,0),0)</f>
        <v>0</v>
      </c>
    </row>
    <row r="399" spans="1:7" x14ac:dyDescent="0.2">
      <c r="A399" s="1" t="s">
        <v>1497</v>
      </c>
      <c r="B399" s="104">
        <v>1</v>
      </c>
      <c r="C399" s="104" t="s">
        <v>2593</v>
      </c>
      <c r="D399" s="1" t="s">
        <v>2594</v>
      </c>
      <c r="E399" s="4" t="s">
        <v>2595</v>
      </c>
      <c r="F399" s="106">
        <f>IF(COUNTIF($A$4:$A399,$A399)=1,1,0)</f>
        <v>1</v>
      </c>
      <c r="G399" s="106" cm="1">
        <f t="array" ref="G399">IF($F399=1,IF(SUMPRODUCT(--ISNUMBER(SEARCH(","&amp;$A399&amp;",",'Parts list'!$Z$4:$Z$185)))&gt;0,1,0),0)</f>
        <v>1</v>
      </c>
    </row>
    <row r="400" spans="1:7" x14ac:dyDescent="0.2">
      <c r="A400" s="1" t="s">
        <v>1497</v>
      </c>
      <c r="B400" s="104">
        <v>2</v>
      </c>
      <c r="C400" s="104" t="s">
        <v>2596</v>
      </c>
      <c r="D400" s="1" t="s">
        <v>2596</v>
      </c>
      <c r="E400" s="4" t="s">
        <v>2595</v>
      </c>
      <c r="F400" s="106">
        <f>IF(COUNTIF($A$4:$A400,$A400)=1,1,0)</f>
        <v>0</v>
      </c>
      <c r="G400" s="106" cm="1">
        <f t="array" ref="G400">IF($F400=1,IF(SUMPRODUCT(--ISNUMBER(SEARCH(","&amp;$A400&amp;",",'Parts list'!$Z$4:$Z$185)))&gt;0,1,0),0)</f>
        <v>0</v>
      </c>
    </row>
    <row r="401" spans="1:7" x14ac:dyDescent="0.2">
      <c r="A401" s="1" t="s">
        <v>1497</v>
      </c>
      <c r="B401" s="104">
        <v>3</v>
      </c>
      <c r="C401" s="104" t="s">
        <v>2597</v>
      </c>
      <c r="D401" s="1" t="s">
        <v>2597</v>
      </c>
      <c r="E401" s="4" t="s">
        <v>2595</v>
      </c>
      <c r="F401" s="106">
        <f>IF(COUNTIF($A$4:$A401,$A401)=1,1,0)</f>
        <v>0</v>
      </c>
      <c r="G401" s="106" cm="1">
        <f t="array" ref="G401">IF($F401=1,IF(SUMPRODUCT(--ISNUMBER(SEARCH(","&amp;$A401&amp;",",'Parts list'!$Z$4:$Z$185)))&gt;0,1,0),0)</f>
        <v>0</v>
      </c>
    </row>
    <row r="402" spans="1:7" x14ac:dyDescent="0.2">
      <c r="A402" s="1" t="s">
        <v>1497</v>
      </c>
      <c r="B402" s="104">
        <v>4</v>
      </c>
      <c r="C402" s="104" t="s">
        <v>2598</v>
      </c>
      <c r="D402" s="1" t="s">
        <v>2598</v>
      </c>
      <c r="E402" s="4" t="s">
        <v>2595</v>
      </c>
      <c r="F402" s="106">
        <f>IF(COUNTIF($A$4:$A402,$A402)=1,1,0)</f>
        <v>0</v>
      </c>
      <c r="G402" s="106" cm="1">
        <f t="array" ref="G402">IF($F402=1,IF(SUMPRODUCT(--ISNUMBER(SEARCH(","&amp;$A402&amp;",",'Parts list'!$Z$4:$Z$185)))&gt;0,1,0),0)</f>
        <v>0</v>
      </c>
    </row>
    <row r="403" spans="1:7" x14ac:dyDescent="0.2">
      <c r="A403" s="1" t="s">
        <v>1497</v>
      </c>
      <c r="B403" s="104">
        <v>5</v>
      </c>
      <c r="C403" s="104" t="s">
        <v>2168</v>
      </c>
      <c r="D403" s="1" t="s">
        <v>2168</v>
      </c>
      <c r="E403" s="4" t="s">
        <v>2595</v>
      </c>
      <c r="F403" s="106">
        <f>IF(COUNTIF($A$4:$A403,$A403)=1,1,0)</f>
        <v>0</v>
      </c>
      <c r="G403" s="106" cm="1">
        <f t="array" ref="G403">IF($F403=1,IF(SUMPRODUCT(--ISNUMBER(SEARCH(","&amp;$A403&amp;",",'Parts list'!$Z$4:$Z$185)))&gt;0,1,0),0)</f>
        <v>0</v>
      </c>
    </row>
    <row r="404" spans="1:7" x14ac:dyDescent="0.2">
      <c r="A404" s="1" t="s">
        <v>1497</v>
      </c>
      <c r="B404" s="104">
        <v>6</v>
      </c>
      <c r="C404" s="104" t="s">
        <v>2599</v>
      </c>
      <c r="D404" s="1" t="s">
        <v>2208</v>
      </c>
      <c r="E404" s="4" t="s">
        <v>2595</v>
      </c>
      <c r="F404" s="106">
        <f>IF(COUNTIF($A$4:$A404,$A404)=1,1,0)</f>
        <v>0</v>
      </c>
      <c r="G404" s="106" cm="1">
        <f t="array" ref="G404">IF($F404=1,IF(SUMPRODUCT(--ISNUMBER(SEARCH(","&amp;$A404&amp;",",'Parts list'!$Z$4:$Z$185)))&gt;0,1,0),0)</f>
        <v>0</v>
      </c>
    </row>
    <row r="405" spans="1:7" ht="27.75" customHeight="1" x14ac:dyDescent="0.2">
      <c r="A405" s="1" t="s">
        <v>2600</v>
      </c>
      <c r="B405" s="104">
        <v>1</v>
      </c>
      <c r="C405" s="104" t="s">
        <v>2601</v>
      </c>
      <c r="D405" s="1" t="s">
        <v>2220</v>
      </c>
      <c r="E405" s="4" t="s">
        <v>2602</v>
      </c>
      <c r="F405" s="106">
        <f>IF(COUNTIF($A$4:$A405,$A405)=1,1,0)</f>
        <v>1</v>
      </c>
      <c r="G405" s="106" cm="1">
        <f t="array" ref="G405">IF($F405=1,IF(SUMPRODUCT(--ISNUMBER(SEARCH(","&amp;$A405&amp;",",'Parts list'!$Z$4:$Z$185)))&gt;0,1,0),0)</f>
        <v>1</v>
      </c>
    </row>
    <row r="406" spans="1:7" x14ac:dyDescent="0.2">
      <c r="A406" s="1" t="s">
        <v>2600</v>
      </c>
      <c r="B406" s="104">
        <v>2</v>
      </c>
      <c r="C406" s="104" t="s">
        <v>2603</v>
      </c>
      <c r="D406" s="1" t="s">
        <v>2604</v>
      </c>
      <c r="E406" s="4"/>
      <c r="F406" s="106">
        <f>IF(COUNTIF($A$4:$A406,$A406)=1,1,0)</f>
        <v>0</v>
      </c>
      <c r="G406" s="106" cm="1">
        <f t="array" ref="G406">IF($F406=1,IF(SUMPRODUCT(--ISNUMBER(SEARCH(","&amp;$A406&amp;",",'Parts list'!$Z$4:$Z$185)))&gt;0,1,0),0)</f>
        <v>0</v>
      </c>
    </row>
    <row r="407" spans="1:7" x14ac:dyDescent="0.2">
      <c r="A407" s="1" t="s">
        <v>2600</v>
      </c>
      <c r="B407" s="104">
        <v>3</v>
      </c>
      <c r="C407" s="104" t="s">
        <v>2605</v>
      </c>
      <c r="D407" s="1" t="s">
        <v>2469</v>
      </c>
      <c r="E407" s="4"/>
      <c r="F407" s="106">
        <f>IF(COUNTIF($A$4:$A407,$A407)=1,1,0)</f>
        <v>0</v>
      </c>
      <c r="G407" s="106" cm="1">
        <f t="array" ref="G407">IF($F407=1,IF(SUMPRODUCT(--ISNUMBER(SEARCH(","&amp;$A407&amp;",",'Parts list'!$Z$4:$Z$185)))&gt;0,1,0),0)</f>
        <v>0</v>
      </c>
    </row>
    <row r="408" spans="1:7" x14ac:dyDescent="0.2">
      <c r="A408" s="1" t="s">
        <v>2600</v>
      </c>
      <c r="B408" s="104">
        <v>4</v>
      </c>
      <c r="C408" s="104" t="s">
        <v>2606</v>
      </c>
      <c r="D408" s="1" t="s">
        <v>2607</v>
      </c>
      <c r="E408" s="4"/>
      <c r="F408" s="106">
        <f>IF(COUNTIF($A$4:$A408,$A408)=1,1,0)</f>
        <v>0</v>
      </c>
      <c r="G408" s="106" cm="1">
        <f t="array" ref="G408">IF($F408=1,IF(SUMPRODUCT(--ISNUMBER(SEARCH(","&amp;$A408&amp;",",'Parts list'!$Z$4:$Z$185)))&gt;0,1,0),0)</f>
        <v>0</v>
      </c>
    </row>
    <row r="409" spans="1:7" x14ac:dyDescent="0.2">
      <c r="A409" s="1" t="s">
        <v>2600</v>
      </c>
      <c r="B409" s="104">
        <v>5</v>
      </c>
      <c r="C409" s="104" t="s">
        <v>2608</v>
      </c>
      <c r="D409" s="1" t="s">
        <v>2469</v>
      </c>
      <c r="E409" s="4"/>
      <c r="F409" s="106">
        <f>IF(COUNTIF($A$4:$A409,$A409)=1,1,0)</f>
        <v>0</v>
      </c>
      <c r="G409" s="106" cm="1">
        <f t="array" ref="G409">IF($F409=1,IF(SUMPRODUCT(--ISNUMBER(SEARCH(","&amp;$A409&amp;",",'Parts list'!$Z$4:$Z$185)))&gt;0,1,0),0)</f>
        <v>0</v>
      </c>
    </row>
    <row r="410" spans="1:7" x14ac:dyDescent="0.2">
      <c r="A410" s="1" t="s">
        <v>2600</v>
      </c>
      <c r="B410" s="104">
        <v>6</v>
      </c>
      <c r="C410" s="104" t="s">
        <v>2606</v>
      </c>
      <c r="D410" s="1" t="s">
        <v>2504</v>
      </c>
      <c r="E410" s="4"/>
      <c r="F410" s="106">
        <f>IF(COUNTIF($A$4:$A410,$A410)=1,1,0)</f>
        <v>0</v>
      </c>
      <c r="G410" s="106" cm="1">
        <f t="array" ref="G410">IF($F410=1,IF(SUMPRODUCT(--ISNUMBER(SEARCH(","&amp;$A410&amp;",",'Parts list'!$Z$4:$Z$185)))&gt;0,1,0),0)</f>
        <v>0</v>
      </c>
    </row>
    <row r="411" spans="1:7" ht="27.75" customHeight="1" x14ac:dyDescent="0.2">
      <c r="A411" s="1" t="s">
        <v>2609</v>
      </c>
      <c r="B411" s="104">
        <v>1</v>
      </c>
      <c r="C411" s="104" t="s">
        <v>2601</v>
      </c>
      <c r="D411" s="1" t="s">
        <v>2604</v>
      </c>
      <c r="E411" s="4" t="s">
        <v>2610</v>
      </c>
      <c r="F411" s="106">
        <f>IF(COUNTIF($A$4:$A411,$A411)=1,1,0)</f>
        <v>1</v>
      </c>
      <c r="G411" s="106" cm="1">
        <f t="array" ref="G411">IF($F411=1,IF(SUMPRODUCT(--ISNUMBER(SEARCH(","&amp;$A411&amp;",",'Parts list'!$Z$4:$Z$185)))&gt;0,1,0),0)</f>
        <v>1</v>
      </c>
    </row>
    <row r="412" spans="1:7" x14ac:dyDescent="0.2">
      <c r="A412" s="1" t="s">
        <v>2609</v>
      </c>
      <c r="B412" s="104">
        <v>2</v>
      </c>
      <c r="C412" s="104" t="s">
        <v>2603</v>
      </c>
      <c r="D412" s="1" t="s">
        <v>2611</v>
      </c>
      <c r="E412" s="4"/>
      <c r="F412" s="106">
        <f>IF(COUNTIF($A$4:$A412,$A412)=1,1,0)</f>
        <v>0</v>
      </c>
      <c r="G412" s="106" cm="1">
        <f t="array" ref="G412">IF($F412=1,IF(SUMPRODUCT(--ISNUMBER(SEARCH(","&amp;$A412&amp;",",'Parts list'!$Z$4:$Z$185)))&gt;0,1,0),0)</f>
        <v>0</v>
      </c>
    </row>
    <row r="413" spans="1:7" x14ac:dyDescent="0.2">
      <c r="A413" s="1" t="s">
        <v>2609</v>
      </c>
      <c r="B413" s="104">
        <v>3</v>
      </c>
      <c r="C413" s="104" t="s">
        <v>2605</v>
      </c>
      <c r="D413" s="1" t="s">
        <v>2469</v>
      </c>
      <c r="E413" s="4"/>
      <c r="F413" s="106">
        <f>IF(COUNTIF($A$4:$A413,$A413)=1,1,0)</f>
        <v>0</v>
      </c>
      <c r="G413" s="106" cm="1">
        <f t="array" ref="G413">IF($F413=1,IF(SUMPRODUCT(--ISNUMBER(SEARCH(","&amp;$A413&amp;",",'Parts list'!$Z$4:$Z$185)))&gt;0,1,0),0)</f>
        <v>0</v>
      </c>
    </row>
    <row r="414" spans="1:7" x14ac:dyDescent="0.2">
      <c r="A414" s="1" t="s">
        <v>2609</v>
      </c>
      <c r="B414" s="104">
        <v>4</v>
      </c>
      <c r="C414" s="104" t="s">
        <v>2606</v>
      </c>
      <c r="D414" s="1" t="s">
        <v>2612</v>
      </c>
      <c r="E414" s="4"/>
      <c r="F414" s="106">
        <f>IF(COUNTIF($A$4:$A414,$A414)=1,1,0)</f>
        <v>0</v>
      </c>
      <c r="G414" s="106" cm="1">
        <f t="array" ref="G414">IF($F414=1,IF(SUMPRODUCT(--ISNUMBER(SEARCH(","&amp;$A414&amp;",",'Parts list'!$Z$4:$Z$185)))&gt;0,1,0),0)</f>
        <v>0</v>
      </c>
    </row>
    <row r="415" spans="1:7" x14ac:dyDescent="0.2">
      <c r="A415" s="1" t="s">
        <v>2609</v>
      </c>
      <c r="B415" s="104">
        <v>5</v>
      </c>
      <c r="C415" s="104" t="s">
        <v>2608</v>
      </c>
      <c r="D415" s="1" t="s">
        <v>2469</v>
      </c>
      <c r="E415" s="4"/>
      <c r="F415" s="106">
        <f>IF(COUNTIF($A$4:$A415,$A415)=1,1,0)</f>
        <v>0</v>
      </c>
      <c r="G415" s="106" cm="1">
        <f t="array" ref="G415">IF($F415=1,IF(SUMPRODUCT(--ISNUMBER(SEARCH(","&amp;$A415&amp;",",'Parts list'!$Z$4:$Z$185)))&gt;0,1,0),0)</f>
        <v>0</v>
      </c>
    </row>
    <row r="416" spans="1:7" x14ac:dyDescent="0.2">
      <c r="A416" s="1" t="s">
        <v>2609</v>
      </c>
      <c r="B416" s="104">
        <v>6</v>
      </c>
      <c r="C416" s="104" t="s">
        <v>2606</v>
      </c>
      <c r="D416" s="1" t="s">
        <v>2509</v>
      </c>
      <c r="E416" s="4"/>
      <c r="F416" s="106">
        <f>IF(COUNTIF($A$4:$A416,$A416)=1,1,0)</f>
        <v>0</v>
      </c>
      <c r="G416" s="106" cm="1">
        <f t="array" ref="G416">IF($F416=1,IF(SUMPRODUCT(--ISNUMBER(SEARCH(","&amp;$A416&amp;",",'Parts list'!$Z$4:$Z$185)))&gt;0,1,0),0)</f>
        <v>0</v>
      </c>
    </row>
    <row r="417" spans="1:7" ht="27.75" customHeight="1" x14ac:dyDescent="0.2">
      <c r="A417" s="1" t="s">
        <v>2613</v>
      </c>
      <c r="B417" s="104">
        <v>1</v>
      </c>
      <c r="C417" s="104" t="s">
        <v>2601</v>
      </c>
      <c r="D417" s="1" t="s">
        <v>2220</v>
      </c>
      <c r="E417" s="4" t="s">
        <v>2614</v>
      </c>
      <c r="F417" s="106">
        <f>IF(COUNTIF($A$4:$A417,$A417)=1,1,0)</f>
        <v>1</v>
      </c>
      <c r="G417" s="106" cm="1">
        <f t="array" ref="G417">IF($F417=1,IF(SUMPRODUCT(--ISNUMBER(SEARCH(","&amp;$A417&amp;",",'Parts list'!$Z$4:$Z$185)))&gt;0,1,0),0)</f>
        <v>1</v>
      </c>
    </row>
    <row r="418" spans="1:7" x14ac:dyDescent="0.2">
      <c r="A418" s="1" t="s">
        <v>2613</v>
      </c>
      <c r="B418" s="104">
        <v>2</v>
      </c>
      <c r="C418" s="104" t="s">
        <v>2603</v>
      </c>
      <c r="D418" s="1" t="s">
        <v>2615</v>
      </c>
      <c r="E418" s="4"/>
      <c r="F418" s="106">
        <f>IF(COUNTIF($A$4:$A418,$A418)=1,1,0)</f>
        <v>0</v>
      </c>
      <c r="G418" s="106" cm="1">
        <f t="array" ref="G418">IF($F418=1,IF(SUMPRODUCT(--ISNUMBER(SEARCH(","&amp;$A418&amp;",",'Parts list'!$Z$4:$Z$185)))&gt;0,1,0),0)</f>
        <v>0</v>
      </c>
    </row>
    <row r="419" spans="1:7" x14ac:dyDescent="0.2">
      <c r="A419" s="1" t="s">
        <v>2613</v>
      </c>
      <c r="B419" s="104">
        <v>3</v>
      </c>
      <c r="C419" s="104" t="s">
        <v>2605</v>
      </c>
      <c r="D419" s="1" t="s">
        <v>2469</v>
      </c>
      <c r="E419" s="4"/>
      <c r="F419" s="106">
        <f>IF(COUNTIF($A$4:$A419,$A419)=1,1,0)</f>
        <v>0</v>
      </c>
      <c r="G419" s="106" cm="1">
        <f t="array" ref="G419">IF($F419=1,IF(SUMPRODUCT(--ISNUMBER(SEARCH(","&amp;$A419&amp;",",'Parts list'!$Z$4:$Z$185)))&gt;0,1,0),0)</f>
        <v>0</v>
      </c>
    </row>
    <row r="420" spans="1:7" x14ac:dyDescent="0.2">
      <c r="A420" s="1" t="s">
        <v>2613</v>
      </c>
      <c r="B420" s="104">
        <v>4</v>
      </c>
      <c r="C420" s="104" t="s">
        <v>2606</v>
      </c>
      <c r="D420" s="1" t="s">
        <v>2616</v>
      </c>
      <c r="E420" s="4"/>
      <c r="F420" s="106">
        <f>IF(COUNTIF($A$4:$A420,$A420)=1,1,0)</f>
        <v>0</v>
      </c>
      <c r="G420" s="106" cm="1">
        <f t="array" ref="G420">IF($F420=1,IF(SUMPRODUCT(--ISNUMBER(SEARCH(","&amp;$A420&amp;",",'Parts list'!$Z$4:$Z$185)))&gt;0,1,0),0)</f>
        <v>0</v>
      </c>
    </row>
    <row r="421" spans="1:7" x14ac:dyDescent="0.2">
      <c r="A421" s="1" t="s">
        <v>2613</v>
      </c>
      <c r="B421" s="104">
        <v>5</v>
      </c>
      <c r="C421" s="104" t="s">
        <v>2608</v>
      </c>
      <c r="D421" s="1" t="s">
        <v>2469</v>
      </c>
      <c r="E421" s="4"/>
      <c r="F421" s="106">
        <f>IF(COUNTIF($A$4:$A421,$A421)=1,1,0)</f>
        <v>0</v>
      </c>
      <c r="G421" s="106" cm="1">
        <f t="array" ref="G421">IF($F421=1,IF(SUMPRODUCT(--ISNUMBER(SEARCH(","&amp;$A421&amp;",",'Parts list'!$Z$4:$Z$185)))&gt;0,1,0),0)</f>
        <v>0</v>
      </c>
    </row>
    <row r="422" spans="1:7" x14ac:dyDescent="0.2">
      <c r="A422" s="1" t="s">
        <v>2613</v>
      </c>
      <c r="B422" s="104">
        <v>6</v>
      </c>
      <c r="C422" s="104" t="s">
        <v>2606</v>
      </c>
      <c r="D422" s="1" t="s">
        <v>2507</v>
      </c>
      <c r="E422" s="4"/>
      <c r="F422" s="106">
        <f>IF(COUNTIF($A$4:$A422,$A422)=1,1,0)</f>
        <v>0</v>
      </c>
      <c r="G422" s="106" cm="1">
        <f t="array" ref="G422">IF($F422=1,IF(SUMPRODUCT(--ISNUMBER(SEARCH(","&amp;$A422&amp;",",'Parts list'!$Z$4:$Z$185)))&gt;0,1,0),0)</f>
        <v>0</v>
      </c>
    </row>
    <row r="423" spans="1:7" ht="27.75" customHeight="1" x14ac:dyDescent="0.2">
      <c r="A423" s="1" t="s">
        <v>2617</v>
      </c>
      <c r="B423" s="104">
        <v>1</v>
      </c>
      <c r="C423" s="104" t="s">
        <v>2601</v>
      </c>
      <c r="D423" s="1" t="s">
        <v>2615</v>
      </c>
      <c r="E423" s="4" t="s">
        <v>2618</v>
      </c>
      <c r="F423" s="106">
        <f>IF(COUNTIF($A$4:$A423,$A423)=1,1,0)</f>
        <v>1</v>
      </c>
      <c r="G423" s="106" cm="1">
        <f t="array" ref="G423">IF($F423=1,IF(SUMPRODUCT(--ISNUMBER(SEARCH(","&amp;$A423&amp;",",'Parts list'!$Z$4:$Z$185)))&gt;0,1,0),0)</f>
        <v>1</v>
      </c>
    </row>
    <row r="424" spans="1:7" x14ac:dyDescent="0.2">
      <c r="A424" s="1" t="s">
        <v>2617</v>
      </c>
      <c r="B424" s="104">
        <v>2</v>
      </c>
      <c r="C424" s="104" t="s">
        <v>2603</v>
      </c>
      <c r="D424" s="1" t="s">
        <v>2619</v>
      </c>
      <c r="E424" s="4"/>
      <c r="F424" s="106">
        <f>IF(COUNTIF($A$4:$A424,$A424)=1,1,0)</f>
        <v>0</v>
      </c>
      <c r="G424" s="106" cm="1">
        <f t="array" ref="G424">IF($F424=1,IF(SUMPRODUCT(--ISNUMBER(SEARCH(","&amp;$A424&amp;",",'Parts list'!$Z$4:$Z$185)))&gt;0,1,0),0)</f>
        <v>0</v>
      </c>
    </row>
    <row r="425" spans="1:7" x14ac:dyDescent="0.2">
      <c r="A425" s="1" t="s">
        <v>2617</v>
      </c>
      <c r="B425" s="104">
        <v>3</v>
      </c>
      <c r="C425" s="104" t="s">
        <v>2605</v>
      </c>
      <c r="D425" s="1" t="s">
        <v>2469</v>
      </c>
      <c r="E425" s="4"/>
      <c r="F425" s="106">
        <f>IF(COUNTIF($A$4:$A425,$A425)=1,1,0)</f>
        <v>0</v>
      </c>
      <c r="G425" s="106" cm="1">
        <f t="array" ref="G425">IF($F425=1,IF(SUMPRODUCT(--ISNUMBER(SEARCH(","&amp;$A425&amp;",",'Parts list'!$Z$4:$Z$185)))&gt;0,1,0),0)</f>
        <v>0</v>
      </c>
    </row>
    <row r="426" spans="1:7" x14ac:dyDescent="0.2">
      <c r="A426" s="1" t="s">
        <v>2617</v>
      </c>
      <c r="B426" s="104">
        <v>4</v>
      </c>
      <c r="C426" s="104" t="s">
        <v>2606</v>
      </c>
      <c r="D426" s="1" t="s">
        <v>2620</v>
      </c>
      <c r="E426" s="4"/>
      <c r="F426" s="106">
        <f>IF(COUNTIF($A$4:$A426,$A426)=1,1,0)</f>
        <v>0</v>
      </c>
      <c r="G426" s="106" cm="1">
        <f t="array" ref="G426">IF($F426=1,IF(SUMPRODUCT(--ISNUMBER(SEARCH(","&amp;$A426&amp;",",'Parts list'!$Z$4:$Z$185)))&gt;0,1,0),0)</f>
        <v>0</v>
      </c>
    </row>
    <row r="427" spans="1:7" x14ac:dyDescent="0.2">
      <c r="A427" s="1" t="s">
        <v>2617</v>
      </c>
      <c r="B427" s="104">
        <v>5</v>
      </c>
      <c r="C427" s="104" t="s">
        <v>2608</v>
      </c>
      <c r="D427" s="1" t="s">
        <v>2469</v>
      </c>
      <c r="E427" s="4"/>
      <c r="F427" s="106">
        <f>IF(COUNTIF($A$4:$A427,$A427)=1,1,0)</f>
        <v>0</v>
      </c>
      <c r="G427" s="106" cm="1">
        <f t="array" ref="G427">IF($F427=1,IF(SUMPRODUCT(--ISNUMBER(SEARCH(","&amp;$A427&amp;",",'Parts list'!$Z$4:$Z$185)))&gt;0,1,0),0)</f>
        <v>0</v>
      </c>
    </row>
    <row r="428" spans="1:7" x14ac:dyDescent="0.2">
      <c r="A428" s="1" t="s">
        <v>2617</v>
      </c>
      <c r="B428" s="104">
        <v>6</v>
      </c>
      <c r="C428" s="104" t="s">
        <v>2606</v>
      </c>
      <c r="D428" s="1" t="s">
        <v>2511</v>
      </c>
      <c r="E428" s="4"/>
      <c r="F428" s="106">
        <f>IF(COUNTIF($A$4:$A428,$A428)=1,1,0)</f>
        <v>0</v>
      </c>
      <c r="G428" s="106" cm="1">
        <f t="array" ref="G428">IF($F428=1,IF(SUMPRODUCT(--ISNUMBER(SEARCH(","&amp;$A428&amp;",",'Parts list'!$Z$4:$Z$185)))&gt;0,1,0),0)</f>
        <v>0</v>
      </c>
    </row>
    <row r="429" spans="1:7" x14ac:dyDescent="0.2">
      <c r="A429" s="1" t="s">
        <v>375</v>
      </c>
      <c r="B429" s="104">
        <v>1</v>
      </c>
      <c r="C429" s="104" t="s">
        <v>2621</v>
      </c>
      <c r="D429" s="1" t="s">
        <v>2622</v>
      </c>
      <c r="E429" s="4" t="s">
        <v>2623</v>
      </c>
      <c r="F429" s="106">
        <f>IF(COUNTIF($A$4:$A429,$A429)=1,1,0)</f>
        <v>1</v>
      </c>
      <c r="G429" s="106" cm="1">
        <f t="array" ref="G429">IF($F429=1,IF(SUMPRODUCT(--ISNUMBER(SEARCH(","&amp;$A429&amp;",",'Parts list'!$Z$4:$Z$185)))&gt;0,1,0),0)</f>
        <v>1</v>
      </c>
    </row>
    <row r="430" spans="1:7" x14ac:dyDescent="0.2">
      <c r="A430" s="1" t="s">
        <v>375</v>
      </c>
      <c r="B430" s="104">
        <v>2</v>
      </c>
      <c r="C430" s="104" t="s">
        <v>2624</v>
      </c>
      <c r="D430" s="1" t="s">
        <v>2168</v>
      </c>
      <c r="E430" s="4"/>
      <c r="F430" s="106">
        <f>IF(COUNTIF($A$4:$A430,$A430)=1,1,0)</f>
        <v>0</v>
      </c>
      <c r="G430" s="106" cm="1">
        <f t="array" ref="G430">IF($F430=1,IF(SUMPRODUCT(--ISNUMBER(SEARCH(","&amp;$A430&amp;",",'Parts list'!$Z$4:$Z$185)))&gt;0,1,0),0)</f>
        <v>0</v>
      </c>
    </row>
    <row r="431" spans="1:7" x14ac:dyDescent="0.2">
      <c r="A431" s="1" t="s">
        <v>375</v>
      </c>
      <c r="B431" s="104">
        <v>3</v>
      </c>
      <c r="C431" s="104" t="s">
        <v>2625</v>
      </c>
      <c r="D431" s="1" t="s">
        <v>2626</v>
      </c>
      <c r="E431" s="4" t="s">
        <v>2627</v>
      </c>
      <c r="F431" s="106">
        <f>IF(COUNTIF($A$4:$A431,$A431)=1,1,0)</f>
        <v>0</v>
      </c>
      <c r="G431" s="106" cm="1">
        <f t="array" ref="G431">IF($F431=1,IF(SUMPRODUCT(--ISNUMBER(SEARCH(","&amp;$A431&amp;",",'Parts list'!$Z$4:$Z$185)))&gt;0,1,0),0)</f>
        <v>0</v>
      </c>
    </row>
    <row r="432" spans="1:7" x14ac:dyDescent="0.2">
      <c r="A432" s="1" t="s">
        <v>2628</v>
      </c>
      <c r="B432" s="104">
        <v>1</v>
      </c>
      <c r="C432" s="104" t="s">
        <v>2621</v>
      </c>
      <c r="D432" s="1" t="s">
        <v>2629</v>
      </c>
      <c r="E432" s="4" t="s">
        <v>2630</v>
      </c>
      <c r="F432" s="106">
        <f>IF(COUNTIF($A$4:$A432,$A432)=1,1,0)</f>
        <v>1</v>
      </c>
      <c r="G432" s="106" cm="1">
        <f t="array" ref="G432">IF($F432=1,IF(SUMPRODUCT(--ISNUMBER(SEARCH(","&amp;$A432&amp;",",'Parts list'!$Z$4:$Z$185)))&gt;0,1,0),0)</f>
        <v>1</v>
      </c>
    </row>
    <row r="433" spans="1:7" x14ac:dyDescent="0.2">
      <c r="A433" s="1" t="s">
        <v>2628</v>
      </c>
      <c r="B433" s="104">
        <v>2</v>
      </c>
      <c r="C433" s="104" t="s">
        <v>2624</v>
      </c>
      <c r="D433" s="1" t="s">
        <v>2168</v>
      </c>
      <c r="E433" s="4" t="s">
        <v>2630</v>
      </c>
      <c r="F433" s="106">
        <f>IF(COUNTIF($A$4:$A433,$A433)=1,1,0)</f>
        <v>0</v>
      </c>
      <c r="G433" s="106" cm="1">
        <f t="array" ref="G433">IF($F433=1,IF(SUMPRODUCT(--ISNUMBER(SEARCH(","&amp;$A433&amp;",",'Parts list'!$Z$4:$Z$185)))&gt;0,1,0),0)</f>
        <v>0</v>
      </c>
    </row>
    <row r="434" spans="1:7" x14ac:dyDescent="0.2">
      <c r="A434" s="1" t="s">
        <v>2628</v>
      </c>
      <c r="B434" s="104">
        <v>3</v>
      </c>
      <c r="C434" s="104" t="s">
        <v>2625</v>
      </c>
      <c r="D434" s="1" t="s">
        <v>2631</v>
      </c>
      <c r="E434" s="4" t="s">
        <v>2630</v>
      </c>
      <c r="F434" s="106">
        <f>IF(COUNTIF($A$4:$A434,$A434)=1,1,0)</f>
        <v>0</v>
      </c>
      <c r="G434" s="106" cm="1">
        <f t="array" ref="G434">IF($F434=1,IF(SUMPRODUCT(--ISNUMBER(SEARCH(","&amp;$A434&amp;",",'Parts list'!$Z$4:$Z$185)))&gt;0,1,0),0)</f>
        <v>0</v>
      </c>
    </row>
    <row r="435" spans="1:7" x14ac:dyDescent="0.2">
      <c r="A435" s="1" t="s">
        <v>2632</v>
      </c>
      <c r="B435" s="104">
        <v>1</v>
      </c>
      <c r="C435" s="104" t="s">
        <v>2621</v>
      </c>
      <c r="D435" s="1" t="s">
        <v>2631</v>
      </c>
      <c r="E435" s="4" t="s">
        <v>2633</v>
      </c>
      <c r="F435" s="106">
        <f>IF(COUNTIF($A$4:$A435,$A435)=1,1,0)</f>
        <v>1</v>
      </c>
      <c r="G435" s="106" cm="1">
        <f t="array" ref="G435">IF($F435=1,IF(SUMPRODUCT(--ISNUMBER(SEARCH(","&amp;$A435&amp;",",'Parts list'!$Z$4:$Z$185)))&gt;0,1,0),0)</f>
        <v>1</v>
      </c>
    </row>
    <row r="436" spans="1:7" x14ac:dyDescent="0.2">
      <c r="A436" s="1" t="s">
        <v>2632</v>
      </c>
      <c r="B436" s="104">
        <v>2</v>
      </c>
      <c r="C436" s="104" t="s">
        <v>2624</v>
      </c>
      <c r="D436" s="1" t="s">
        <v>2168</v>
      </c>
      <c r="E436" s="4" t="s">
        <v>2633</v>
      </c>
      <c r="F436" s="106">
        <f>IF(COUNTIF($A$4:$A436,$A436)=1,1,0)</f>
        <v>0</v>
      </c>
      <c r="G436" s="106" cm="1">
        <f t="array" ref="G436">IF($F436=1,IF(SUMPRODUCT(--ISNUMBER(SEARCH(","&amp;$A436&amp;",",'Parts list'!$Z$4:$Z$185)))&gt;0,1,0),0)</f>
        <v>0</v>
      </c>
    </row>
    <row r="437" spans="1:7" x14ac:dyDescent="0.2">
      <c r="A437" s="1" t="s">
        <v>2632</v>
      </c>
      <c r="B437" s="104">
        <v>3</v>
      </c>
      <c r="C437" s="104" t="s">
        <v>2625</v>
      </c>
      <c r="D437" s="1" t="s">
        <v>2634</v>
      </c>
      <c r="E437" s="4" t="s">
        <v>2633</v>
      </c>
      <c r="F437" s="106">
        <f>IF(COUNTIF($A$4:$A437,$A437)=1,1,0)</f>
        <v>0</v>
      </c>
      <c r="G437" s="106" cm="1">
        <f t="array" ref="G437">IF($F437=1,IF(SUMPRODUCT(--ISNUMBER(SEARCH(","&amp;$A437&amp;",",'Parts list'!$Z$4:$Z$185)))&gt;0,1,0),0)</f>
        <v>0</v>
      </c>
    </row>
    <row r="438" spans="1:7" x14ac:dyDescent="0.2">
      <c r="A438" s="1" t="s">
        <v>2635</v>
      </c>
      <c r="B438" s="104">
        <v>1</v>
      </c>
      <c r="C438" s="104" t="s">
        <v>2621</v>
      </c>
      <c r="D438" s="1" t="s">
        <v>2636</v>
      </c>
      <c r="E438" s="4" t="s">
        <v>2637</v>
      </c>
      <c r="F438" s="106">
        <f>IF(COUNTIF($A$4:$A438,$A438)=1,1,0)</f>
        <v>1</v>
      </c>
      <c r="G438" s="106" cm="1">
        <f t="array" ref="G438">IF($F438=1,IF(SUMPRODUCT(--ISNUMBER(SEARCH(","&amp;$A438&amp;",",'Parts list'!$Z$4:$Z$185)))&gt;0,1,0),0)</f>
        <v>1</v>
      </c>
    </row>
    <row r="439" spans="1:7" x14ac:dyDescent="0.2">
      <c r="A439" s="1" t="s">
        <v>2635</v>
      </c>
      <c r="B439" s="104">
        <v>2</v>
      </c>
      <c r="C439" s="104" t="s">
        <v>2624</v>
      </c>
      <c r="D439" s="1" t="s">
        <v>2168</v>
      </c>
      <c r="E439" s="4" t="s">
        <v>2637</v>
      </c>
      <c r="F439" s="106">
        <f>IF(COUNTIF($A$4:$A439,$A439)=1,1,0)</f>
        <v>0</v>
      </c>
      <c r="G439" s="106" cm="1">
        <f t="array" ref="G439">IF($F439=1,IF(SUMPRODUCT(--ISNUMBER(SEARCH(","&amp;$A439&amp;",",'Parts list'!$Z$4:$Z$185)))&gt;0,1,0),0)</f>
        <v>0</v>
      </c>
    </row>
    <row r="440" spans="1:7" x14ac:dyDescent="0.2">
      <c r="A440" s="1" t="s">
        <v>2635</v>
      </c>
      <c r="B440" s="104">
        <v>3</v>
      </c>
      <c r="C440" s="104" t="s">
        <v>2625</v>
      </c>
      <c r="D440" s="1" t="s">
        <v>2638</v>
      </c>
      <c r="E440" s="4" t="s">
        <v>2637</v>
      </c>
      <c r="F440" s="106">
        <f>IF(COUNTIF($A$4:$A440,$A440)=1,1,0)</f>
        <v>0</v>
      </c>
      <c r="G440" s="106" cm="1">
        <f t="array" ref="G440">IF($F440=1,IF(SUMPRODUCT(--ISNUMBER(SEARCH(","&amp;$A440&amp;",",'Parts list'!$Z$4:$Z$185)))&gt;0,1,0),0)</f>
        <v>0</v>
      </c>
    </row>
    <row r="441" spans="1:7" x14ac:dyDescent="0.2">
      <c r="A441" s="1" t="s">
        <v>2639</v>
      </c>
      <c r="B441" s="104">
        <v>1</v>
      </c>
      <c r="C441" s="104" t="s">
        <v>2621</v>
      </c>
      <c r="D441" s="1" t="s">
        <v>2638</v>
      </c>
      <c r="E441" s="4" t="s">
        <v>2640</v>
      </c>
      <c r="F441" s="106">
        <f>IF(COUNTIF($A$4:$A441,$A441)=1,1,0)</f>
        <v>1</v>
      </c>
      <c r="G441" s="106" cm="1">
        <f t="array" ref="G441">IF($F441=1,IF(SUMPRODUCT(--ISNUMBER(SEARCH(","&amp;$A441&amp;",",'Parts list'!$Z$4:$Z$185)))&gt;0,1,0),0)</f>
        <v>1</v>
      </c>
    </row>
    <row r="442" spans="1:7" x14ac:dyDescent="0.2">
      <c r="A442" s="1" t="s">
        <v>2639</v>
      </c>
      <c r="B442" s="104">
        <v>2</v>
      </c>
      <c r="C442" s="104" t="s">
        <v>2624</v>
      </c>
      <c r="D442" s="1" t="s">
        <v>2168</v>
      </c>
      <c r="E442" s="4" t="s">
        <v>2640</v>
      </c>
      <c r="F442" s="106">
        <f>IF(COUNTIF($A$4:$A442,$A442)=1,1,0)</f>
        <v>0</v>
      </c>
      <c r="G442" s="106" cm="1">
        <f t="array" ref="G442">IF($F442=1,IF(SUMPRODUCT(--ISNUMBER(SEARCH(","&amp;$A442&amp;",",'Parts list'!$Z$4:$Z$185)))&gt;0,1,0),0)</f>
        <v>0</v>
      </c>
    </row>
    <row r="443" spans="1:7" x14ac:dyDescent="0.2">
      <c r="A443" s="1" t="s">
        <v>2639</v>
      </c>
      <c r="B443" s="104">
        <v>3</v>
      </c>
      <c r="C443" s="104" t="s">
        <v>2625</v>
      </c>
      <c r="D443" s="1" t="s">
        <v>2641</v>
      </c>
      <c r="E443" s="4" t="s">
        <v>2640</v>
      </c>
      <c r="F443" s="106">
        <f>IF(COUNTIF($A$4:$A443,$A443)=1,1,0)</f>
        <v>0</v>
      </c>
      <c r="G443" s="106" cm="1">
        <f t="array" ref="G443">IF($F443=1,IF(SUMPRODUCT(--ISNUMBER(SEARCH(","&amp;$A443&amp;",",'Parts list'!$Z$4:$Z$185)))&gt;0,1,0),0)</f>
        <v>0</v>
      </c>
    </row>
    <row r="444" spans="1:7" x14ac:dyDescent="0.2">
      <c r="A444" s="1" t="s">
        <v>2642</v>
      </c>
      <c r="B444" s="104">
        <v>1</v>
      </c>
      <c r="C444" s="104" t="s">
        <v>2621</v>
      </c>
      <c r="D444" s="1" t="s">
        <v>2638</v>
      </c>
      <c r="E444" s="4" t="s">
        <v>2643</v>
      </c>
      <c r="F444" s="106">
        <f>IF(COUNTIF($A$4:$A444,$A444)=1,1,0)</f>
        <v>1</v>
      </c>
      <c r="G444" s="106" cm="1">
        <f t="array" ref="G444">IF($F444=1,IF(SUMPRODUCT(--ISNUMBER(SEARCH(","&amp;$A444&amp;",",'Parts list'!$Z$4:$Z$185)))&gt;0,1,0),0)</f>
        <v>1</v>
      </c>
    </row>
    <row r="445" spans="1:7" x14ac:dyDescent="0.2">
      <c r="A445" s="1" t="s">
        <v>2642</v>
      </c>
      <c r="B445" s="104">
        <v>2</v>
      </c>
      <c r="C445" s="104" t="s">
        <v>2624</v>
      </c>
      <c r="D445" s="1" t="s">
        <v>2168</v>
      </c>
      <c r="E445" s="4" t="s">
        <v>2643</v>
      </c>
      <c r="F445" s="106">
        <f>IF(COUNTIF($A$4:$A445,$A445)=1,1,0)</f>
        <v>0</v>
      </c>
      <c r="G445" s="106" cm="1">
        <f t="array" ref="G445">IF($F445=1,IF(SUMPRODUCT(--ISNUMBER(SEARCH(","&amp;$A445&amp;",",'Parts list'!$Z$4:$Z$185)))&gt;0,1,0),0)</f>
        <v>0</v>
      </c>
    </row>
    <row r="446" spans="1:7" x14ac:dyDescent="0.2">
      <c r="A446" s="1" t="s">
        <v>2642</v>
      </c>
      <c r="B446" s="104">
        <v>3</v>
      </c>
      <c r="C446" s="104" t="s">
        <v>2625</v>
      </c>
      <c r="D446" s="1" t="s">
        <v>2644</v>
      </c>
      <c r="E446" s="4" t="s">
        <v>2643</v>
      </c>
      <c r="F446" s="106">
        <f>IF(COUNTIF($A$4:$A446,$A446)=1,1,0)</f>
        <v>0</v>
      </c>
      <c r="G446" s="106" cm="1">
        <f t="array" ref="G446">IF($F446=1,IF(SUMPRODUCT(--ISNUMBER(SEARCH(","&amp;$A446&amp;",",'Parts list'!$Z$4:$Z$185)))&gt;0,1,0),0)</f>
        <v>0</v>
      </c>
    </row>
    <row r="447" spans="1:7" x14ac:dyDescent="0.2">
      <c r="A447" s="1" t="s">
        <v>860</v>
      </c>
      <c r="B447" s="104">
        <v>1</v>
      </c>
      <c r="C447" s="104" t="s">
        <v>2645</v>
      </c>
      <c r="D447" s="1" t="s">
        <v>2646</v>
      </c>
      <c r="E447" s="4" t="s">
        <v>2647</v>
      </c>
      <c r="F447" s="106">
        <f>IF(COUNTIF($A$4:$A447,$A447)=1,1,0)</f>
        <v>1</v>
      </c>
      <c r="G447" s="106" cm="1">
        <f t="array" ref="G447">IF($F447=1,IF(SUMPRODUCT(--ISNUMBER(SEARCH(","&amp;$A447&amp;",",'Parts list'!$Z$4:$Z$185)))&gt;0,1,0),0)</f>
        <v>1</v>
      </c>
    </row>
    <row r="448" spans="1:7" x14ac:dyDescent="0.2">
      <c r="A448" s="1" t="s">
        <v>860</v>
      </c>
      <c r="B448" s="104">
        <v>2</v>
      </c>
      <c r="C448" s="104" t="s">
        <v>2648</v>
      </c>
      <c r="D448" s="1" t="s">
        <v>2168</v>
      </c>
      <c r="E448" s="4" t="s">
        <v>2647</v>
      </c>
      <c r="F448" s="106">
        <f>IF(COUNTIF($A$4:$A448,$A448)=1,1,0)</f>
        <v>0</v>
      </c>
      <c r="G448" s="106" cm="1">
        <f t="array" ref="G448">IF($F448=1,IF(SUMPRODUCT(--ISNUMBER(SEARCH(","&amp;$A448&amp;",",'Parts list'!$Z$4:$Z$185)))&gt;0,1,0),0)</f>
        <v>0</v>
      </c>
    </row>
    <row r="449" spans="1:7" x14ac:dyDescent="0.2">
      <c r="A449" s="1" t="s">
        <v>860</v>
      </c>
      <c r="B449" s="104">
        <v>3</v>
      </c>
      <c r="C449" s="104" t="s">
        <v>2649</v>
      </c>
      <c r="D449" s="1" t="s">
        <v>2173</v>
      </c>
      <c r="E449" s="4" t="s">
        <v>2647</v>
      </c>
      <c r="F449" s="106">
        <f>IF(COUNTIF($A$4:$A449,$A449)=1,1,0)</f>
        <v>0</v>
      </c>
      <c r="G449" s="106" cm="1">
        <f t="array" ref="G449">IF($F449=1,IF(SUMPRODUCT(--ISNUMBER(SEARCH(","&amp;$A449&amp;",",'Parts list'!$Z$4:$Z$185)))&gt;0,1,0),0)</f>
        <v>0</v>
      </c>
    </row>
    <row r="450" spans="1:7" x14ac:dyDescent="0.2">
      <c r="A450" s="1" t="s">
        <v>2650</v>
      </c>
      <c r="B450" s="104">
        <v>1</v>
      </c>
      <c r="C450" s="104" t="s">
        <v>2645</v>
      </c>
      <c r="D450" s="1" t="s">
        <v>2651</v>
      </c>
      <c r="E450" s="4" t="s">
        <v>2652</v>
      </c>
      <c r="F450" s="106">
        <f>IF(COUNTIF($A$4:$A450,$A450)=1,1,0)</f>
        <v>1</v>
      </c>
      <c r="G450" s="106" cm="1">
        <f t="array" ref="G450">IF($F450=1,IF(SUMPRODUCT(--ISNUMBER(SEARCH(","&amp;$A450&amp;",",'Parts list'!$Z$4:$Z$185)))&gt;0,1,0),0)</f>
        <v>1</v>
      </c>
    </row>
    <row r="451" spans="1:7" x14ac:dyDescent="0.2">
      <c r="A451" s="1" t="s">
        <v>2650</v>
      </c>
      <c r="B451" s="104">
        <v>2</v>
      </c>
      <c r="C451" s="104" t="s">
        <v>2648</v>
      </c>
      <c r="D451" s="1" t="s">
        <v>2653</v>
      </c>
      <c r="E451" s="4"/>
      <c r="F451" s="106">
        <f>IF(COUNTIF($A$4:$A451,$A451)=1,1,0)</f>
        <v>0</v>
      </c>
      <c r="G451" s="106" cm="1">
        <f t="array" ref="G451">IF($F451=1,IF(SUMPRODUCT(--ISNUMBER(SEARCH(","&amp;$A451&amp;",",'Parts list'!$Z$4:$Z$185)))&gt;0,1,0),0)</f>
        <v>0</v>
      </c>
    </row>
    <row r="452" spans="1:7" x14ac:dyDescent="0.2">
      <c r="A452" s="1" t="s">
        <v>2650</v>
      </c>
      <c r="B452" s="104">
        <v>3</v>
      </c>
      <c r="C452" s="104" t="s">
        <v>2649</v>
      </c>
      <c r="D452" s="1" t="s">
        <v>2611</v>
      </c>
      <c r="E452" s="4"/>
      <c r="F452" s="106">
        <f>IF(COUNTIF($A$4:$A452,$A452)=1,1,0)</f>
        <v>0</v>
      </c>
      <c r="G452" s="106" cm="1">
        <f t="array" ref="G452">IF($F452=1,IF(SUMPRODUCT(--ISNUMBER(SEARCH(","&amp;$A452&amp;",",'Parts list'!$Z$4:$Z$185)))&gt;0,1,0),0)</f>
        <v>0</v>
      </c>
    </row>
    <row r="453" spans="1:7" x14ac:dyDescent="0.2">
      <c r="A453" s="1" t="s">
        <v>2654</v>
      </c>
      <c r="B453" s="104">
        <v>1</v>
      </c>
      <c r="C453" s="104" t="s">
        <v>2645</v>
      </c>
      <c r="D453" s="1" t="s">
        <v>2655</v>
      </c>
      <c r="E453" s="4" t="s">
        <v>2656</v>
      </c>
      <c r="F453" s="106">
        <f>IF(COUNTIF($A$4:$A453,$A453)=1,1,0)</f>
        <v>1</v>
      </c>
      <c r="G453" s="106" cm="1">
        <f t="array" ref="G453">IF($F453=1,IF(SUMPRODUCT(--ISNUMBER(SEARCH(","&amp;$A453&amp;",",'Parts list'!$Z$4:$Z$185)))&gt;0,1,0),0)</f>
        <v>1</v>
      </c>
    </row>
    <row r="454" spans="1:7" x14ac:dyDescent="0.2">
      <c r="A454" s="1" t="s">
        <v>2654</v>
      </c>
      <c r="B454" s="104">
        <v>2</v>
      </c>
      <c r="C454" s="104" t="s">
        <v>2648</v>
      </c>
      <c r="D454" s="1" t="s">
        <v>2657</v>
      </c>
      <c r="E454" s="4"/>
      <c r="F454" s="106">
        <f>IF(COUNTIF($A$4:$A454,$A454)=1,1,0)</f>
        <v>0</v>
      </c>
      <c r="G454" s="106" cm="1">
        <f t="array" ref="G454">IF($F454=1,IF(SUMPRODUCT(--ISNUMBER(SEARCH(","&amp;$A454&amp;",",'Parts list'!$Z$4:$Z$185)))&gt;0,1,0),0)</f>
        <v>0</v>
      </c>
    </row>
    <row r="455" spans="1:7" x14ac:dyDescent="0.2">
      <c r="A455" s="1" t="s">
        <v>2654</v>
      </c>
      <c r="B455" s="104">
        <v>3</v>
      </c>
      <c r="C455" s="104" t="s">
        <v>2649</v>
      </c>
      <c r="D455" s="1" t="s">
        <v>2619</v>
      </c>
      <c r="E455" s="4"/>
      <c r="F455" s="106">
        <f>IF(COUNTIF($A$4:$A455,$A455)=1,1,0)</f>
        <v>0</v>
      </c>
      <c r="G455" s="106" cm="1">
        <f t="array" ref="G455">IF($F455=1,IF(SUMPRODUCT(--ISNUMBER(SEARCH(","&amp;$A455&amp;",",'Parts list'!$Z$4:$Z$185)))&gt;0,1,0),0)</f>
        <v>0</v>
      </c>
    </row>
    <row r="456" spans="1:7" x14ac:dyDescent="0.2">
      <c r="A456" s="1" t="s">
        <v>2658</v>
      </c>
      <c r="B456" s="104">
        <v>1</v>
      </c>
      <c r="C456" s="104" t="s">
        <v>2621</v>
      </c>
      <c r="D456" s="1" t="s">
        <v>2659</v>
      </c>
      <c r="E456" s="4" t="s">
        <v>2660</v>
      </c>
      <c r="F456" s="106">
        <f>IF(COUNTIF($A$4:$A456,$A456)=1,1,0)</f>
        <v>1</v>
      </c>
      <c r="G456" s="106" cm="1">
        <f t="array" ref="G456">IF($F456=1,IF(SUMPRODUCT(--ISNUMBER(SEARCH(","&amp;$A456&amp;",",'Parts list'!$Z$4:$Z$185)))&gt;0,1,0),0)</f>
        <v>1</v>
      </c>
    </row>
    <row r="457" spans="1:7" x14ac:dyDescent="0.2">
      <c r="A457" s="1" t="s">
        <v>2658</v>
      </c>
      <c r="B457" s="104">
        <v>2</v>
      </c>
      <c r="C457" s="104" t="s">
        <v>2624</v>
      </c>
      <c r="D457" s="1" t="s">
        <v>2661</v>
      </c>
      <c r="E457" s="4"/>
      <c r="F457" s="106">
        <f>IF(COUNTIF($A$4:$A457,$A457)=1,1,0)</f>
        <v>0</v>
      </c>
      <c r="G457" s="106" cm="1">
        <f t="array" ref="G457">IF($F457=1,IF(SUMPRODUCT(--ISNUMBER(SEARCH(","&amp;$A457&amp;",",'Parts list'!$Z$4:$Z$185)))&gt;0,1,0),0)</f>
        <v>0</v>
      </c>
    </row>
    <row r="458" spans="1:7" x14ac:dyDescent="0.2">
      <c r="A458" s="1" t="s">
        <v>2658</v>
      </c>
      <c r="B458" s="104">
        <v>3</v>
      </c>
      <c r="C458" s="104" t="s">
        <v>2625</v>
      </c>
      <c r="D458" s="1" t="s">
        <v>2662</v>
      </c>
      <c r="E458" s="4"/>
      <c r="F458" s="106">
        <f>IF(COUNTIF($A$4:$A458,$A458)=1,1,0)</f>
        <v>0</v>
      </c>
      <c r="G458" s="106" cm="1">
        <f t="array" ref="G458">IF($F458=1,IF(SUMPRODUCT(--ISNUMBER(SEARCH(","&amp;$A458&amp;",",'Parts list'!$Z$4:$Z$185)))&gt;0,1,0),0)</f>
        <v>0</v>
      </c>
    </row>
    <row r="459" spans="1:7" x14ac:dyDescent="0.2">
      <c r="A459" s="1" t="s">
        <v>2663</v>
      </c>
      <c r="B459" s="104">
        <v>1</v>
      </c>
      <c r="C459" s="104" t="s">
        <v>2621</v>
      </c>
      <c r="D459" s="1" t="s">
        <v>2356</v>
      </c>
      <c r="E459" s="4" t="s">
        <v>2664</v>
      </c>
      <c r="F459" s="106">
        <f>IF(COUNTIF($A$4:$A459,$A459)=1,1,0)</f>
        <v>1</v>
      </c>
      <c r="G459" s="106" cm="1">
        <f t="array" ref="G459">IF($F459=1,IF(SUMPRODUCT(--ISNUMBER(SEARCH(","&amp;$A459&amp;",",'Parts list'!$Z$4:$Z$185)))&gt;0,1,0),0)</f>
        <v>1</v>
      </c>
    </row>
    <row r="460" spans="1:7" x14ac:dyDescent="0.2">
      <c r="A460" s="1" t="s">
        <v>2663</v>
      </c>
      <c r="B460" s="104">
        <v>2</v>
      </c>
      <c r="C460" s="104" t="s">
        <v>2624</v>
      </c>
      <c r="D460" s="1" t="s">
        <v>2665</v>
      </c>
      <c r="E460" s="4" t="s">
        <v>2666</v>
      </c>
      <c r="F460" s="106">
        <f>IF(COUNTIF($A$4:$A460,$A460)=1,1,0)</f>
        <v>0</v>
      </c>
      <c r="G460" s="106" cm="1">
        <f t="array" ref="G460">IF($F460=1,IF(SUMPRODUCT(--ISNUMBER(SEARCH(","&amp;$A460&amp;",",'Parts list'!$Z$4:$Z$185)))&gt;0,1,0),0)</f>
        <v>0</v>
      </c>
    </row>
    <row r="461" spans="1:7" x14ac:dyDescent="0.2">
      <c r="A461" s="1" t="s">
        <v>2663</v>
      </c>
      <c r="B461" s="104">
        <v>3</v>
      </c>
      <c r="C461" s="104" t="s">
        <v>2625</v>
      </c>
      <c r="D461" s="1" t="s">
        <v>2661</v>
      </c>
      <c r="E461" s="4"/>
      <c r="F461" s="106">
        <f>IF(COUNTIF($A$4:$A461,$A461)=1,1,0)</f>
        <v>0</v>
      </c>
      <c r="G461" s="106" cm="1">
        <f t="array" ref="G461">IF($F461=1,IF(SUMPRODUCT(--ISNUMBER(SEARCH(","&amp;$A461&amp;",",'Parts list'!$Z$4:$Z$185)))&gt;0,1,0),0)</f>
        <v>0</v>
      </c>
    </row>
    <row r="462" spans="1:7" x14ac:dyDescent="0.2">
      <c r="A462" s="1" t="s">
        <v>2667</v>
      </c>
      <c r="B462" s="104">
        <v>1</v>
      </c>
      <c r="C462" s="104" t="s">
        <v>2621</v>
      </c>
      <c r="D462" s="1" t="s">
        <v>2356</v>
      </c>
      <c r="E462" s="4" t="s">
        <v>2668</v>
      </c>
      <c r="F462" s="106">
        <f>IF(COUNTIF($A$4:$A462,$A462)=1,1,0)</f>
        <v>1</v>
      </c>
      <c r="G462" s="106" cm="1">
        <f t="array" ref="G462">IF($F462=1,IF(SUMPRODUCT(--ISNUMBER(SEARCH(","&amp;$A462&amp;",",'Parts list'!$Z$4:$Z$185)))&gt;0,1,0),0)</f>
        <v>1</v>
      </c>
    </row>
    <row r="463" spans="1:7" x14ac:dyDescent="0.2">
      <c r="A463" s="1" t="s">
        <v>2667</v>
      </c>
      <c r="B463" s="104">
        <v>2</v>
      </c>
      <c r="C463" s="104" t="s">
        <v>2624</v>
      </c>
      <c r="D463" s="1" t="s">
        <v>2168</v>
      </c>
      <c r="E463" s="4"/>
      <c r="F463" s="106">
        <f>IF(COUNTIF($A$4:$A463,$A463)=1,1,0)</f>
        <v>0</v>
      </c>
      <c r="G463" s="106" cm="1">
        <f t="array" ref="G463">IF($F463=1,IF(SUMPRODUCT(--ISNUMBER(SEARCH(","&amp;$A463&amp;",",'Parts list'!$Z$4:$Z$185)))&gt;0,1,0),0)</f>
        <v>0</v>
      </c>
    </row>
    <row r="464" spans="1:7" x14ac:dyDescent="0.2">
      <c r="A464" s="1" t="s">
        <v>2667</v>
      </c>
      <c r="B464" s="104">
        <v>3</v>
      </c>
      <c r="C464" s="104" t="s">
        <v>2625</v>
      </c>
      <c r="D464" s="1" t="s">
        <v>2669</v>
      </c>
      <c r="E464" s="4"/>
      <c r="F464" s="106">
        <f>IF(COUNTIF($A$4:$A464,$A464)=1,1,0)</f>
        <v>0</v>
      </c>
      <c r="G464" s="106" cm="1">
        <f t="array" ref="G464">IF($F464=1,IF(SUMPRODUCT(--ISNUMBER(SEARCH(","&amp;$A464&amp;",",'Parts list'!$Z$4:$Z$185)))&gt;0,1,0),0)</f>
        <v>0</v>
      </c>
    </row>
    <row r="465" spans="1:7" x14ac:dyDescent="0.2">
      <c r="A465" s="1" t="s">
        <v>2670</v>
      </c>
      <c r="B465" s="104">
        <v>1</v>
      </c>
      <c r="C465" s="104" t="s">
        <v>2621</v>
      </c>
      <c r="D465" s="1" t="s">
        <v>2671</v>
      </c>
      <c r="E465" s="4" t="s">
        <v>2672</v>
      </c>
      <c r="F465" s="106">
        <f>IF(COUNTIF($A$4:$A465,$A465)=1,1,0)</f>
        <v>1</v>
      </c>
      <c r="G465" s="106" cm="1">
        <f t="array" ref="G465">IF($F465=1,IF(SUMPRODUCT(--ISNUMBER(SEARCH(","&amp;$A465&amp;",",'Parts list'!$Z$4:$Z$185)))&gt;0,1,0),0)</f>
        <v>1</v>
      </c>
    </row>
    <row r="466" spans="1:7" x14ac:dyDescent="0.2">
      <c r="A466" s="1" t="s">
        <v>2670</v>
      </c>
      <c r="B466" s="104">
        <v>2</v>
      </c>
      <c r="C466" s="104" t="s">
        <v>2624</v>
      </c>
      <c r="D466" s="1" t="s">
        <v>2168</v>
      </c>
      <c r="E466" s="4"/>
      <c r="F466" s="106">
        <f>IF(COUNTIF($A$4:$A466,$A466)=1,1,0)</f>
        <v>0</v>
      </c>
      <c r="G466" s="106" cm="1">
        <f t="array" ref="G466">IF($F466=1,IF(SUMPRODUCT(--ISNUMBER(SEARCH(","&amp;$A466&amp;",",'Parts list'!$Z$4:$Z$185)))&gt;0,1,0),0)</f>
        <v>0</v>
      </c>
    </row>
    <row r="467" spans="1:7" x14ac:dyDescent="0.2">
      <c r="A467" s="1" t="s">
        <v>2670</v>
      </c>
      <c r="B467" s="104">
        <v>3</v>
      </c>
      <c r="C467" s="104" t="s">
        <v>2625</v>
      </c>
      <c r="D467" s="1" t="s">
        <v>2673</v>
      </c>
      <c r="E467" s="4"/>
      <c r="F467" s="106">
        <f>IF(COUNTIF($A$4:$A467,$A467)=1,1,0)</f>
        <v>0</v>
      </c>
      <c r="G467" s="106" cm="1">
        <f t="array" ref="G467">IF($F467=1,IF(SUMPRODUCT(--ISNUMBER(SEARCH(","&amp;$A467&amp;",",'Parts list'!$Z$4:$Z$185)))&gt;0,1,0),0)</f>
        <v>0</v>
      </c>
    </row>
    <row r="468" spans="1:7" x14ac:dyDescent="0.2">
      <c r="A468" s="1" t="s">
        <v>2674</v>
      </c>
      <c r="B468" s="104">
        <v>1</v>
      </c>
      <c r="C468" s="104" t="s">
        <v>2621</v>
      </c>
      <c r="D468" s="1" t="s">
        <v>2675</v>
      </c>
      <c r="E468" s="4" t="s">
        <v>2676</v>
      </c>
      <c r="F468" s="106">
        <f>IF(COUNTIF($A$4:$A468,$A468)=1,1,0)</f>
        <v>1</v>
      </c>
      <c r="G468" s="106" cm="1">
        <f t="array" ref="G468">IF($F468=1,IF(SUMPRODUCT(--ISNUMBER(SEARCH(","&amp;$A468&amp;",",'Parts list'!$Z$4:$Z$185)))&gt;0,1,0),0)</f>
        <v>1</v>
      </c>
    </row>
    <row r="469" spans="1:7" x14ac:dyDescent="0.2">
      <c r="A469" s="1" t="s">
        <v>2674</v>
      </c>
      <c r="B469" s="104">
        <v>2</v>
      </c>
      <c r="C469" s="104" t="s">
        <v>2624</v>
      </c>
      <c r="D469" s="1" t="s">
        <v>2168</v>
      </c>
      <c r="E469" s="4"/>
      <c r="F469" s="106">
        <f>IF(COUNTIF($A$4:$A469,$A469)=1,1,0)</f>
        <v>0</v>
      </c>
      <c r="G469" s="106" cm="1">
        <f t="array" ref="G469">IF($F469=1,IF(SUMPRODUCT(--ISNUMBER(SEARCH(","&amp;$A469&amp;",",'Parts list'!$Z$4:$Z$185)))&gt;0,1,0),0)</f>
        <v>0</v>
      </c>
    </row>
    <row r="470" spans="1:7" x14ac:dyDescent="0.2">
      <c r="A470" s="1" t="s">
        <v>2674</v>
      </c>
      <c r="B470" s="104">
        <v>3</v>
      </c>
      <c r="C470" s="104" t="s">
        <v>2625</v>
      </c>
      <c r="D470" s="1" t="s">
        <v>2636</v>
      </c>
      <c r="E470" s="4"/>
      <c r="F470" s="106">
        <f>IF(COUNTIF($A$4:$A470,$A470)=1,1,0)</f>
        <v>0</v>
      </c>
      <c r="G470" s="106" cm="1">
        <f t="array" ref="G470">IF($F470=1,IF(SUMPRODUCT(--ISNUMBER(SEARCH(","&amp;$A470&amp;",",'Parts list'!$Z$4:$Z$185)))&gt;0,1,0),0)</f>
        <v>0</v>
      </c>
    </row>
    <row r="471" spans="1:7" x14ac:dyDescent="0.2">
      <c r="A471" s="1" t="s">
        <v>2677</v>
      </c>
      <c r="B471" s="104">
        <v>1</v>
      </c>
      <c r="C471" s="104" t="s">
        <v>2621</v>
      </c>
      <c r="D471" s="1" t="s">
        <v>2678</v>
      </c>
      <c r="E471" s="4" t="s">
        <v>2679</v>
      </c>
      <c r="F471" s="106">
        <f>IF(COUNTIF($A$4:$A471,$A471)=1,1,0)</f>
        <v>1</v>
      </c>
      <c r="G471" s="106" cm="1">
        <f t="array" ref="G471">IF($F471=1,IF(SUMPRODUCT(--ISNUMBER(SEARCH(","&amp;$A471&amp;",",'Parts list'!$Z$4:$Z$185)))&gt;0,1,0),0)</f>
        <v>1</v>
      </c>
    </row>
    <row r="472" spans="1:7" x14ac:dyDescent="0.2">
      <c r="A472" s="1" t="s">
        <v>2677</v>
      </c>
      <c r="B472" s="104">
        <v>2</v>
      </c>
      <c r="C472" s="104" t="s">
        <v>2624</v>
      </c>
      <c r="D472" s="1" t="s">
        <v>2168</v>
      </c>
      <c r="E472" s="4"/>
      <c r="F472" s="106">
        <f>IF(COUNTIF($A$4:$A472,$A472)=1,1,0)</f>
        <v>0</v>
      </c>
      <c r="G472" s="106" cm="1">
        <f t="array" ref="G472">IF($F472=1,IF(SUMPRODUCT(--ISNUMBER(SEARCH(","&amp;$A472&amp;",",'Parts list'!$Z$4:$Z$185)))&gt;0,1,0),0)</f>
        <v>0</v>
      </c>
    </row>
    <row r="473" spans="1:7" x14ac:dyDescent="0.2">
      <c r="A473" s="1" t="s">
        <v>2677</v>
      </c>
      <c r="B473" s="104">
        <v>3</v>
      </c>
      <c r="C473" s="104" t="s">
        <v>2625</v>
      </c>
      <c r="D473" s="1" t="s">
        <v>2680</v>
      </c>
      <c r="E473" s="4"/>
      <c r="F473" s="106">
        <f>IF(COUNTIF($A$4:$A473,$A473)=1,1,0)</f>
        <v>0</v>
      </c>
      <c r="G473" s="106" cm="1">
        <f t="array" ref="G473">IF($F473=1,IF(SUMPRODUCT(--ISNUMBER(SEARCH(","&amp;$A473&amp;",",'Parts list'!$Z$4:$Z$185)))&gt;0,1,0),0)</f>
        <v>0</v>
      </c>
    </row>
    <row r="474" spans="1:7" x14ac:dyDescent="0.2">
      <c r="A474" s="1" t="s">
        <v>2681</v>
      </c>
      <c r="B474" s="104">
        <v>1</v>
      </c>
      <c r="C474" s="104" t="s">
        <v>2621</v>
      </c>
      <c r="D474" s="1" t="s">
        <v>2682</v>
      </c>
      <c r="E474" s="4" t="s">
        <v>2683</v>
      </c>
      <c r="F474" s="106">
        <f>IF(COUNTIF($A$4:$A474,$A474)=1,1,0)</f>
        <v>1</v>
      </c>
      <c r="G474" s="106" cm="1">
        <f t="array" ref="G474">IF($F474=1,IF(SUMPRODUCT(--ISNUMBER(SEARCH(","&amp;$A474&amp;",",'Parts list'!$Z$4:$Z$185)))&gt;0,1,0),0)</f>
        <v>1</v>
      </c>
    </row>
    <row r="475" spans="1:7" x14ac:dyDescent="0.2">
      <c r="A475" s="1" t="s">
        <v>2681</v>
      </c>
      <c r="B475" s="104">
        <v>2</v>
      </c>
      <c r="C475" s="104" t="s">
        <v>2624</v>
      </c>
      <c r="D475" s="1" t="s">
        <v>2168</v>
      </c>
      <c r="E475" s="4"/>
      <c r="F475" s="106">
        <f>IF(COUNTIF($A$4:$A475,$A475)=1,1,0)</f>
        <v>0</v>
      </c>
      <c r="G475" s="106" cm="1">
        <f t="array" ref="G475">IF($F475=1,IF(SUMPRODUCT(--ISNUMBER(SEARCH(","&amp;$A475&amp;",",'Parts list'!$Z$4:$Z$185)))&gt;0,1,0),0)</f>
        <v>0</v>
      </c>
    </row>
    <row r="476" spans="1:7" x14ac:dyDescent="0.2">
      <c r="A476" s="1" t="s">
        <v>2681</v>
      </c>
      <c r="B476" s="104">
        <v>3</v>
      </c>
      <c r="C476" s="104" t="s">
        <v>2625</v>
      </c>
      <c r="D476" s="1" t="s">
        <v>2665</v>
      </c>
      <c r="E476" s="4"/>
      <c r="F476" s="106">
        <f>IF(COUNTIF($A$4:$A476,$A476)=1,1,0)</f>
        <v>0</v>
      </c>
      <c r="G476" s="106" cm="1">
        <f t="array" ref="G476">IF($F476=1,IF(SUMPRODUCT(--ISNUMBER(SEARCH(","&amp;$A476&amp;",",'Parts list'!$Z$4:$Z$185)))&gt;0,1,0),0)</f>
        <v>0</v>
      </c>
    </row>
    <row r="477" spans="1:7" x14ac:dyDescent="0.2">
      <c r="A477" s="1" t="s">
        <v>2684</v>
      </c>
      <c r="B477" s="104">
        <v>1</v>
      </c>
      <c r="C477" s="104" t="s">
        <v>2645</v>
      </c>
      <c r="D477" s="1" t="s">
        <v>2685</v>
      </c>
      <c r="E477" s="4" t="s">
        <v>2686</v>
      </c>
      <c r="F477" s="106">
        <f>IF(COUNTIF($A$4:$A477,$A477)=1,1,0)</f>
        <v>1</v>
      </c>
      <c r="G477" s="106" cm="1">
        <f t="array" ref="G477">IF($F477=1,IF(SUMPRODUCT(--ISNUMBER(SEARCH(","&amp;$A477&amp;",",'Parts list'!$Z$4:$Z$185)))&gt;0,1,0),0)</f>
        <v>1</v>
      </c>
    </row>
    <row r="478" spans="1:7" x14ac:dyDescent="0.2">
      <c r="A478" s="1" t="s">
        <v>2684</v>
      </c>
      <c r="B478" s="104">
        <v>2</v>
      </c>
      <c r="C478" s="104" t="s">
        <v>2648</v>
      </c>
      <c r="D478" s="1" t="s">
        <v>2168</v>
      </c>
      <c r="E478" s="4"/>
      <c r="F478" s="106">
        <f>IF(COUNTIF($A$4:$A478,$A478)=1,1,0)</f>
        <v>0</v>
      </c>
      <c r="G478" s="106" cm="1">
        <f t="array" ref="G478">IF($F478=1,IF(SUMPRODUCT(--ISNUMBER(SEARCH(","&amp;$A478&amp;",",'Parts list'!$Z$4:$Z$185)))&gt;0,1,0),0)</f>
        <v>0</v>
      </c>
    </row>
    <row r="479" spans="1:7" x14ac:dyDescent="0.2">
      <c r="A479" s="1" t="s">
        <v>2684</v>
      </c>
      <c r="B479" s="104">
        <v>3</v>
      </c>
      <c r="C479" s="104" t="s">
        <v>2649</v>
      </c>
      <c r="D479" s="1" t="s">
        <v>2389</v>
      </c>
      <c r="E479" s="4"/>
      <c r="F479" s="106">
        <f>IF(COUNTIF($A$4:$A479,$A479)=1,1,0)</f>
        <v>0</v>
      </c>
      <c r="G479" s="106" cm="1">
        <f t="array" ref="G479">IF($F479=1,IF(SUMPRODUCT(--ISNUMBER(SEARCH(","&amp;$A479&amp;",",'Parts list'!$Z$4:$Z$185)))&gt;0,1,0),0)</f>
        <v>0</v>
      </c>
    </row>
    <row r="480" spans="1:7" x14ac:dyDescent="0.2">
      <c r="A480" s="1" t="s">
        <v>2687</v>
      </c>
      <c r="B480" s="104">
        <v>1</v>
      </c>
      <c r="C480" s="104" t="s">
        <v>2645</v>
      </c>
      <c r="D480" s="1" t="s">
        <v>2688</v>
      </c>
      <c r="E480" s="4" t="s">
        <v>2689</v>
      </c>
      <c r="F480" s="106">
        <f>IF(COUNTIF($A$4:$A480,$A480)=1,1,0)</f>
        <v>1</v>
      </c>
      <c r="G480" s="106" cm="1">
        <f t="array" ref="G480">IF($F480=1,IF(SUMPRODUCT(--ISNUMBER(SEARCH(","&amp;$A480&amp;",",'Parts list'!$Z$4:$Z$185)))&gt;0,1,0),0)</f>
        <v>1</v>
      </c>
    </row>
    <row r="481" spans="1:7" x14ac:dyDescent="0.2">
      <c r="A481" s="1" t="s">
        <v>2687</v>
      </c>
      <c r="B481" s="104">
        <v>2</v>
      </c>
      <c r="C481" s="104" t="s">
        <v>2648</v>
      </c>
      <c r="D481" s="1" t="s">
        <v>2168</v>
      </c>
      <c r="E481" s="4"/>
      <c r="F481" s="106">
        <f>IF(COUNTIF($A$4:$A481,$A481)=1,1,0)</f>
        <v>0</v>
      </c>
      <c r="G481" s="106" cm="1">
        <f t="array" ref="G481">IF($F481=1,IF(SUMPRODUCT(--ISNUMBER(SEARCH(","&amp;$A481&amp;",",'Parts list'!$Z$4:$Z$185)))&gt;0,1,0),0)</f>
        <v>0</v>
      </c>
    </row>
    <row r="482" spans="1:7" x14ac:dyDescent="0.2">
      <c r="A482" s="1" t="s">
        <v>2687</v>
      </c>
      <c r="B482" s="104">
        <v>3</v>
      </c>
      <c r="C482" s="104" t="s">
        <v>2649</v>
      </c>
      <c r="D482" s="1" t="s">
        <v>2392</v>
      </c>
      <c r="E482" s="4"/>
      <c r="F482" s="106">
        <f>IF(COUNTIF($A$4:$A482,$A482)=1,1,0)</f>
        <v>0</v>
      </c>
      <c r="G482" s="106" cm="1">
        <f t="array" ref="G482">IF($F482=1,IF(SUMPRODUCT(--ISNUMBER(SEARCH(","&amp;$A482&amp;",",'Parts list'!$Z$4:$Z$185)))&gt;0,1,0),0)</f>
        <v>0</v>
      </c>
    </row>
    <row r="483" spans="1:7" x14ac:dyDescent="0.2">
      <c r="A483" s="1" t="s">
        <v>2690</v>
      </c>
      <c r="B483" s="104">
        <v>1</v>
      </c>
      <c r="C483" s="104" t="s">
        <v>2645</v>
      </c>
      <c r="D483" s="1" t="s">
        <v>2691</v>
      </c>
      <c r="E483" s="4" t="s">
        <v>2692</v>
      </c>
      <c r="F483" s="106">
        <f>IF(COUNTIF($A$4:$A483,$A483)=1,1,0)</f>
        <v>1</v>
      </c>
      <c r="G483" s="106" cm="1">
        <f t="array" ref="G483">IF($F483=1,IF(SUMPRODUCT(--ISNUMBER(SEARCH(","&amp;$A483&amp;",",'Parts list'!$Z$4:$Z$185)))&gt;0,1,0),0)</f>
        <v>1</v>
      </c>
    </row>
    <row r="484" spans="1:7" x14ac:dyDescent="0.2">
      <c r="A484" s="1" t="s">
        <v>2690</v>
      </c>
      <c r="B484" s="104">
        <v>2</v>
      </c>
      <c r="C484" s="104" t="s">
        <v>2648</v>
      </c>
      <c r="D484" s="1" t="s">
        <v>2168</v>
      </c>
      <c r="E484" s="4"/>
      <c r="F484" s="106">
        <f>IF(COUNTIF($A$4:$A484,$A484)=1,1,0)</f>
        <v>0</v>
      </c>
      <c r="G484" s="106" cm="1">
        <f t="array" ref="G484">IF($F484=1,IF(SUMPRODUCT(--ISNUMBER(SEARCH(","&amp;$A484&amp;",",'Parts list'!$Z$4:$Z$185)))&gt;0,1,0),0)</f>
        <v>0</v>
      </c>
    </row>
    <row r="485" spans="1:7" x14ac:dyDescent="0.2">
      <c r="A485" s="1" t="s">
        <v>2690</v>
      </c>
      <c r="B485" s="104">
        <v>3</v>
      </c>
      <c r="C485" s="104" t="s">
        <v>2649</v>
      </c>
      <c r="D485" s="1" t="s">
        <v>2394</v>
      </c>
      <c r="E485" s="4"/>
      <c r="F485" s="106">
        <f>IF(COUNTIF($A$4:$A485,$A485)=1,1,0)</f>
        <v>0</v>
      </c>
      <c r="G485" s="106" cm="1">
        <f t="array" ref="G485">IF($F485=1,IF(SUMPRODUCT(--ISNUMBER(SEARCH(","&amp;$A485&amp;",",'Parts list'!$Z$4:$Z$185)))&gt;0,1,0),0)</f>
        <v>0</v>
      </c>
    </row>
    <row r="486" spans="1:7" x14ac:dyDescent="0.2">
      <c r="A486" s="1" t="s">
        <v>2693</v>
      </c>
      <c r="B486" s="104">
        <v>1</v>
      </c>
      <c r="C486" s="104" t="s">
        <v>2645</v>
      </c>
      <c r="D486" s="1" t="s">
        <v>2694</v>
      </c>
      <c r="E486" s="4" t="s">
        <v>2695</v>
      </c>
      <c r="F486" s="106">
        <f>IF(COUNTIF($A$4:$A486,$A486)=1,1,0)</f>
        <v>1</v>
      </c>
      <c r="G486" s="106" cm="1">
        <f t="array" ref="G486">IF($F486=1,IF(SUMPRODUCT(--ISNUMBER(SEARCH(","&amp;$A486&amp;",",'Parts list'!$Z$4:$Z$185)))&gt;0,1,0),0)</f>
        <v>1</v>
      </c>
    </row>
    <row r="487" spans="1:7" x14ac:dyDescent="0.2">
      <c r="A487" s="1" t="s">
        <v>2693</v>
      </c>
      <c r="B487" s="104">
        <v>2</v>
      </c>
      <c r="C487" s="104" t="s">
        <v>2648</v>
      </c>
      <c r="D487" s="1" t="s">
        <v>2168</v>
      </c>
      <c r="E487" s="4"/>
      <c r="F487" s="106">
        <f>IF(COUNTIF($A$4:$A487,$A487)=1,1,0)</f>
        <v>0</v>
      </c>
      <c r="G487" s="106" cm="1">
        <f t="array" ref="G487">IF($F487=1,IF(SUMPRODUCT(--ISNUMBER(SEARCH(","&amp;$A487&amp;",",'Parts list'!$Z$4:$Z$185)))&gt;0,1,0),0)</f>
        <v>0</v>
      </c>
    </row>
    <row r="488" spans="1:7" x14ac:dyDescent="0.2">
      <c r="A488" s="1" t="s">
        <v>2693</v>
      </c>
      <c r="B488" s="104">
        <v>3</v>
      </c>
      <c r="C488" s="104" t="s">
        <v>2649</v>
      </c>
      <c r="D488" s="1" t="s">
        <v>2396</v>
      </c>
      <c r="E488" s="4"/>
      <c r="F488" s="106">
        <f>IF(COUNTIF($A$4:$A488,$A488)=1,1,0)</f>
        <v>0</v>
      </c>
      <c r="G488" s="106" cm="1">
        <f t="array" ref="G488">IF($F488=1,IF(SUMPRODUCT(--ISNUMBER(SEARCH(","&amp;$A488&amp;",",'Parts list'!$Z$4:$Z$185)))&gt;0,1,0),0)</f>
        <v>0</v>
      </c>
    </row>
    <row r="489" spans="1:7" x14ac:dyDescent="0.2">
      <c r="A489" s="1" t="s">
        <v>2104</v>
      </c>
      <c r="B489" s="104">
        <v>1</v>
      </c>
      <c r="C489" s="104" t="s">
        <v>2645</v>
      </c>
      <c r="D489" s="1" t="s">
        <v>2696</v>
      </c>
      <c r="E489" s="4" t="s">
        <v>2697</v>
      </c>
      <c r="F489" s="106">
        <f>IF(COUNTIF($A$4:$A489,$A489)=1,1,0)</f>
        <v>1</v>
      </c>
      <c r="G489" s="106" cm="1">
        <f t="array" ref="G489">IF($F489=1,IF(SUMPRODUCT(--ISNUMBER(SEARCH(","&amp;$A489&amp;",",'Parts list'!$Z$4:$Z$185)))&gt;0,1,0),0)</f>
        <v>1</v>
      </c>
    </row>
    <row r="490" spans="1:7" x14ac:dyDescent="0.2">
      <c r="A490" s="1" t="s">
        <v>2104</v>
      </c>
      <c r="B490" s="104">
        <v>2</v>
      </c>
      <c r="C490" s="104" t="s">
        <v>2648</v>
      </c>
      <c r="D490" s="1" t="s">
        <v>2168</v>
      </c>
      <c r="E490" s="4"/>
      <c r="F490" s="106">
        <f>IF(COUNTIF($A$4:$A490,$A490)=1,1,0)</f>
        <v>0</v>
      </c>
      <c r="G490" s="106" cm="1">
        <f t="array" ref="G490">IF($F490=1,IF(SUMPRODUCT(--ISNUMBER(SEARCH(","&amp;$A490&amp;",",'Parts list'!$Z$4:$Z$185)))&gt;0,1,0),0)</f>
        <v>0</v>
      </c>
    </row>
    <row r="491" spans="1:7" x14ac:dyDescent="0.2">
      <c r="A491" s="1" t="s">
        <v>2104</v>
      </c>
      <c r="B491" s="104">
        <v>3</v>
      </c>
      <c r="C491" s="104" t="s">
        <v>2649</v>
      </c>
      <c r="D491" s="1" t="s">
        <v>2698</v>
      </c>
      <c r="E491" s="4"/>
      <c r="F491" s="106">
        <f>IF(COUNTIF($A$4:$A491,$A491)=1,1,0)</f>
        <v>0</v>
      </c>
      <c r="G491" s="106" cm="1">
        <f t="array" ref="G491">IF($F491=1,IF(SUMPRODUCT(--ISNUMBER(SEARCH(","&amp;$A491&amp;",",'Parts list'!$Z$4:$Z$185)))&gt;0,1,0),0)</f>
        <v>0</v>
      </c>
    </row>
    <row r="492" spans="1:7" x14ac:dyDescent="0.2">
      <c r="A492" s="1" t="s">
        <v>2699</v>
      </c>
      <c r="B492" s="104">
        <v>1</v>
      </c>
      <c r="C492" s="104">
        <v>1</v>
      </c>
      <c r="D492" s="1" t="s">
        <v>2527</v>
      </c>
      <c r="E492" s="4"/>
      <c r="F492" s="106">
        <f>IF(COUNTIF($A$4:$A492,$A492)=1,1,0)</f>
        <v>1</v>
      </c>
      <c r="G492" s="106" cm="1">
        <f t="array" ref="G492">IF($F492=1,IF(SUMPRODUCT(--ISNUMBER(SEARCH(","&amp;$A492&amp;",",'Parts list'!$Z$4:$Z$185)))&gt;0,1,0),0)</f>
        <v>1</v>
      </c>
    </row>
    <row r="493" spans="1:7" x14ac:dyDescent="0.2">
      <c r="A493" s="1" t="s">
        <v>2699</v>
      </c>
      <c r="B493" s="104">
        <v>2</v>
      </c>
      <c r="C493" s="104">
        <v>2</v>
      </c>
      <c r="D493" s="1" t="s">
        <v>2168</v>
      </c>
      <c r="E493" s="4"/>
      <c r="F493" s="106">
        <f>IF(COUNTIF($A$4:$A493,$A493)=1,1,0)</f>
        <v>0</v>
      </c>
      <c r="G493" s="106" cm="1">
        <f t="array" ref="G493">IF($F493=1,IF(SUMPRODUCT(--ISNUMBER(SEARCH(","&amp;$A493&amp;",",'Parts list'!$Z$4:$Z$185)))&gt;0,1,0),0)</f>
        <v>0</v>
      </c>
    </row>
    <row r="494" spans="1:7" x14ac:dyDescent="0.2">
      <c r="A494" s="1" t="s">
        <v>2700</v>
      </c>
      <c r="B494" s="104">
        <v>1</v>
      </c>
      <c r="C494" s="104">
        <v>1</v>
      </c>
      <c r="D494" s="1" t="s">
        <v>2541</v>
      </c>
      <c r="E494" s="4"/>
      <c r="F494" s="106">
        <f>IF(COUNTIF($A$4:$A494,$A494)=1,1,0)</f>
        <v>1</v>
      </c>
      <c r="G494" s="106" cm="1">
        <f t="array" ref="G494">IF($F494=1,IF(SUMPRODUCT(--ISNUMBER(SEARCH(","&amp;$A494&amp;",",'Parts list'!$Z$4:$Z$185)))&gt;0,1,0),0)</f>
        <v>1</v>
      </c>
    </row>
    <row r="495" spans="1:7" x14ac:dyDescent="0.2">
      <c r="A495" s="1" t="s">
        <v>2700</v>
      </c>
      <c r="B495" s="104">
        <v>2</v>
      </c>
      <c r="C495" s="104">
        <v>2</v>
      </c>
      <c r="D495" s="1" t="s">
        <v>2168</v>
      </c>
      <c r="E495" s="4"/>
      <c r="F495" s="106">
        <f>IF(COUNTIF($A$4:$A495,$A495)=1,1,0)</f>
        <v>0</v>
      </c>
      <c r="G495" s="106" cm="1">
        <f t="array" ref="G495">IF($F495=1,IF(SUMPRODUCT(--ISNUMBER(SEARCH(","&amp;$A495&amp;",",'Parts list'!$Z$4:$Z$185)))&gt;0,1,0),0)</f>
        <v>0</v>
      </c>
    </row>
    <row r="496" spans="1:7" x14ac:dyDescent="0.2">
      <c r="A496" s="1" t="s">
        <v>2701</v>
      </c>
      <c r="B496" s="104">
        <v>1</v>
      </c>
      <c r="C496" s="104">
        <v>1</v>
      </c>
      <c r="D496" s="1" t="s">
        <v>2527</v>
      </c>
      <c r="E496" s="4"/>
      <c r="F496" s="106">
        <f>IF(COUNTIF($A$4:$A496,$A496)=1,1,0)</f>
        <v>1</v>
      </c>
      <c r="G496" s="106" cm="1">
        <f t="array" ref="G496">IF($F496=1,IF(SUMPRODUCT(--ISNUMBER(SEARCH(","&amp;$A496&amp;",",'Parts list'!$Z$4:$Z$185)))&gt;0,1,0),0)</f>
        <v>1</v>
      </c>
    </row>
    <row r="497" spans="1:7" x14ac:dyDescent="0.2">
      <c r="A497" s="1" t="s">
        <v>2701</v>
      </c>
      <c r="B497" s="104">
        <v>2</v>
      </c>
      <c r="C497" s="104">
        <v>2</v>
      </c>
      <c r="D497" s="1" t="s">
        <v>2702</v>
      </c>
      <c r="E497" s="4"/>
      <c r="F497" s="106">
        <f>IF(COUNTIF($A$4:$A497,$A497)=1,1,0)</f>
        <v>0</v>
      </c>
      <c r="G497" s="106" cm="1">
        <f t="array" ref="G497">IF($F497=1,IF(SUMPRODUCT(--ISNUMBER(SEARCH(","&amp;$A497&amp;",",'Parts list'!$Z$4:$Z$185)))&gt;0,1,0),0)</f>
        <v>0</v>
      </c>
    </row>
    <row r="498" spans="1:7" x14ac:dyDescent="0.2">
      <c r="A498" s="1" t="s">
        <v>2703</v>
      </c>
      <c r="B498" s="104">
        <v>1</v>
      </c>
      <c r="C498" s="104">
        <v>1</v>
      </c>
      <c r="D498" s="1" t="s">
        <v>2541</v>
      </c>
      <c r="E498" s="4"/>
      <c r="F498" s="106">
        <f>IF(COUNTIF($A$4:$A498,$A498)=1,1,0)</f>
        <v>1</v>
      </c>
      <c r="G498" s="106" cm="1">
        <f t="array" ref="G498">IF($F498=1,IF(SUMPRODUCT(--ISNUMBER(SEARCH(","&amp;$A498&amp;",",'Parts list'!$Z$4:$Z$185)))&gt;0,1,0),0)</f>
        <v>1</v>
      </c>
    </row>
    <row r="499" spans="1:7" x14ac:dyDescent="0.2">
      <c r="A499" s="1" t="s">
        <v>2703</v>
      </c>
      <c r="B499" s="104">
        <v>2</v>
      </c>
      <c r="C499" s="104">
        <v>2</v>
      </c>
      <c r="D499" s="1" t="s">
        <v>2704</v>
      </c>
      <c r="E499" s="4"/>
      <c r="F499" s="106">
        <f>IF(COUNTIF($A$4:$A499,$A499)=1,1,0)</f>
        <v>0</v>
      </c>
      <c r="G499" s="106" cm="1">
        <f t="array" ref="G499">IF($F499=1,IF(SUMPRODUCT(--ISNUMBER(SEARCH(","&amp;$A499&amp;",",'Parts list'!$Z$4:$Z$185)))&gt;0,1,0),0)</f>
        <v>0</v>
      </c>
    </row>
    <row r="500" spans="1:7" x14ac:dyDescent="0.2">
      <c r="A500" s="1" t="s">
        <v>242</v>
      </c>
      <c r="B500" s="104">
        <v>1</v>
      </c>
      <c r="C500" s="104">
        <v>1</v>
      </c>
      <c r="D500" s="1" t="s">
        <v>2220</v>
      </c>
      <c r="E500" s="4"/>
      <c r="F500" s="106">
        <f>IF(COUNTIF($A$4:$A500,$A500)=1,1,0)</f>
        <v>1</v>
      </c>
      <c r="G500" s="106" cm="1">
        <f t="array" ref="G500">IF($F500=1,IF(SUMPRODUCT(--ISNUMBER(SEARCH(","&amp;$A500&amp;",",'Parts list'!$Z$4:$Z$185)))&gt;0,1,0),0)</f>
        <v>1</v>
      </c>
    </row>
    <row r="501" spans="1:7" x14ac:dyDescent="0.2">
      <c r="A501" s="1" t="s">
        <v>242</v>
      </c>
      <c r="B501" s="104">
        <v>2</v>
      </c>
      <c r="C501" s="104">
        <v>2</v>
      </c>
      <c r="D501" s="1" t="s">
        <v>2171</v>
      </c>
      <c r="E501" s="4"/>
      <c r="F501" s="106">
        <f>IF(COUNTIF($A$4:$A501,$A501)=1,1,0)</f>
        <v>0</v>
      </c>
      <c r="G501" s="106" cm="1">
        <f t="array" ref="G501">IF($F501=1,IF(SUMPRODUCT(--ISNUMBER(SEARCH(","&amp;$A501&amp;",",'Parts list'!$Z$4:$Z$185)))&gt;0,1,0),0)</f>
        <v>0</v>
      </c>
    </row>
    <row r="502" spans="1:7" x14ac:dyDescent="0.2">
      <c r="A502" s="1" t="s">
        <v>250</v>
      </c>
      <c r="B502" s="104">
        <v>1</v>
      </c>
      <c r="C502" s="104">
        <v>1</v>
      </c>
      <c r="D502" s="1" t="s">
        <v>2171</v>
      </c>
      <c r="E502" s="4"/>
      <c r="F502" s="106">
        <f>IF(COUNTIF($A$4:$A502,$A502)=1,1,0)</f>
        <v>1</v>
      </c>
      <c r="G502" s="106" cm="1">
        <f t="array" ref="G502">IF($F502=1,IF(SUMPRODUCT(--ISNUMBER(SEARCH(","&amp;$A502&amp;",",'Parts list'!$Z$4:$Z$185)))&gt;0,1,0),0)</f>
        <v>1</v>
      </c>
    </row>
    <row r="503" spans="1:7" x14ac:dyDescent="0.2">
      <c r="A503" s="1" t="s">
        <v>250</v>
      </c>
      <c r="B503" s="104">
        <v>2</v>
      </c>
      <c r="C503" s="104">
        <v>2</v>
      </c>
      <c r="D503" s="1" t="s">
        <v>2168</v>
      </c>
      <c r="E503" s="4"/>
      <c r="F503" s="106">
        <f>IF(COUNTIF($A$4:$A503,$A503)=1,1,0)</f>
        <v>0</v>
      </c>
      <c r="G503" s="106" cm="1">
        <f t="array" ref="G503">IF($F503=1,IF(SUMPRODUCT(--ISNUMBER(SEARCH(","&amp;$A503&amp;",",'Parts list'!$Z$4:$Z$185)))&gt;0,1,0),0)</f>
        <v>0</v>
      </c>
    </row>
    <row r="504" spans="1:7" x14ac:dyDescent="0.2">
      <c r="A504" s="1" t="s">
        <v>258</v>
      </c>
      <c r="B504" s="104">
        <v>1</v>
      </c>
      <c r="C504" s="104">
        <v>1</v>
      </c>
      <c r="D504" s="1" t="s">
        <v>2167</v>
      </c>
      <c r="E504" s="4"/>
      <c r="F504" s="106">
        <f>IF(COUNTIF($A$4:$A504,$A504)=1,1,0)</f>
        <v>1</v>
      </c>
      <c r="G504" s="106" cm="1">
        <f t="array" ref="G504">IF($F504=1,IF(SUMPRODUCT(--ISNUMBER(SEARCH(","&amp;$A504&amp;",",'Parts list'!$Z$4:$Z$185)))&gt;0,1,0),0)</f>
        <v>1</v>
      </c>
    </row>
    <row r="505" spans="1:7" x14ac:dyDescent="0.2">
      <c r="A505" s="1" t="s">
        <v>258</v>
      </c>
      <c r="B505" s="104">
        <v>2</v>
      </c>
      <c r="C505" s="104">
        <v>2</v>
      </c>
      <c r="D505" s="1" t="s">
        <v>2168</v>
      </c>
      <c r="E505" s="4"/>
      <c r="F505" s="106">
        <f>IF(COUNTIF($A$4:$A505,$A505)=1,1,0)</f>
        <v>0</v>
      </c>
      <c r="G505" s="106" cm="1">
        <f t="array" ref="G505">IF($F505=1,IF(SUMPRODUCT(--ISNUMBER(SEARCH(","&amp;$A505&amp;",",'Parts list'!$Z$4:$Z$185)))&gt;0,1,0),0)</f>
        <v>0</v>
      </c>
    </row>
    <row r="506" spans="1:7" x14ac:dyDescent="0.2">
      <c r="A506" s="1" t="s">
        <v>266</v>
      </c>
      <c r="B506" s="104">
        <v>1</v>
      </c>
      <c r="C506" s="104">
        <v>1</v>
      </c>
      <c r="D506" s="1" t="s">
        <v>2705</v>
      </c>
      <c r="E506" s="4"/>
      <c r="F506" s="106">
        <f>IF(COUNTIF($A$4:$A506,$A506)=1,1,0)</f>
        <v>1</v>
      </c>
      <c r="G506" s="106" cm="1">
        <f t="array" ref="G506">IF($F506=1,IF(SUMPRODUCT(--ISNUMBER(SEARCH(","&amp;$A506&amp;",",'Parts list'!$Z$4:$Z$185)))&gt;0,1,0),0)</f>
        <v>1</v>
      </c>
    </row>
    <row r="507" spans="1:7" x14ac:dyDescent="0.2">
      <c r="A507" s="1" t="s">
        <v>266</v>
      </c>
      <c r="B507" s="104">
        <v>2</v>
      </c>
      <c r="C507" s="104">
        <v>2</v>
      </c>
      <c r="D507" s="1" t="s">
        <v>2168</v>
      </c>
      <c r="E507" s="4"/>
      <c r="F507" s="106">
        <f>IF(COUNTIF($A$4:$A507,$A507)=1,1,0)</f>
        <v>0</v>
      </c>
      <c r="G507" s="106" cm="1">
        <f t="array" ref="G507">IF($F507=1,IF(SUMPRODUCT(--ISNUMBER(SEARCH(","&amp;$A507&amp;",",'Parts list'!$Z$4:$Z$185)))&gt;0,1,0),0)</f>
        <v>0</v>
      </c>
    </row>
    <row r="508" spans="1:7" x14ac:dyDescent="0.2">
      <c r="A508" s="1" t="s">
        <v>273</v>
      </c>
      <c r="B508" s="104">
        <v>1</v>
      </c>
      <c r="C508" s="104">
        <v>1</v>
      </c>
      <c r="D508" s="1" t="s">
        <v>2169</v>
      </c>
      <c r="E508" s="4"/>
      <c r="F508" s="106">
        <f>IF(COUNTIF($A$4:$A508,$A508)=1,1,0)</f>
        <v>1</v>
      </c>
      <c r="G508" s="106" cm="1">
        <f t="array" ref="G508">IF($F508=1,IF(SUMPRODUCT(--ISNUMBER(SEARCH(","&amp;$A508&amp;",",'Parts list'!$Z$4:$Z$185)))&gt;0,1,0),0)</f>
        <v>1</v>
      </c>
    </row>
    <row r="509" spans="1:7" x14ac:dyDescent="0.2">
      <c r="A509" s="1" t="s">
        <v>273</v>
      </c>
      <c r="B509" s="104">
        <v>2</v>
      </c>
      <c r="C509" s="104">
        <v>2</v>
      </c>
      <c r="D509" s="1" t="s">
        <v>2173</v>
      </c>
      <c r="E509" s="4"/>
      <c r="F509" s="106">
        <f>IF(COUNTIF($A$4:$A509,$A509)=1,1,0)</f>
        <v>0</v>
      </c>
      <c r="G509" s="106" cm="1">
        <f t="array" ref="G509">IF($F509=1,IF(SUMPRODUCT(--ISNUMBER(SEARCH(","&amp;$A509&amp;",",'Parts list'!$Z$4:$Z$185)))&gt;0,1,0),0)</f>
        <v>0</v>
      </c>
    </row>
    <row r="510" spans="1:7" x14ac:dyDescent="0.2">
      <c r="A510" s="1" t="s">
        <v>2706</v>
      </c>
      <c r="B510" s="104">
        <v>1</v>
      </c>
      <c r="C510" s="104">
        <v>1</v>
      </c>
      <c r="D510" s="1" t="s">
        <v>2199</v>
      </c>
      <c r="E510" s="4" t="s">
        <v>2707</v>
      </c>
      <c r="F510" s="106">
        <f>IF(COUNTIF($A$4:$A510,$A510)=1,1,0)</f>
        <v>1</v>
      </c>
      <c r="G510" s="106" cm="1">
        <f t="array" ref="G510">IF($F510=1,IF(SUMPRODUCT(--ISNUMBER(SEARCH(","&amp;$A510&amp;",",'Parts list'!$Z$4:$Z$185)))&gt;0,1,0),0)</f>
        <v>1</v>
      </c>
    </row>
    <row r="511" spans="1:7" x14ac:dyDescent="0.2">
      <c r="A511" s="1" t="s">
        <v>2706</v>
      </c>
      <c r="B511" s="104">
        <v>2</v>
      </c>
      <c r="C511" s="104">
        <v>2</v>
      </c>
      <c r="D511" s="1" t="s">
        <v>2181</v>
      </c>
      <c r="E511" s="4" t="s">
        <v>2707</v>
      </c>
      <c r="F511" s="106">
        <f>IF(COUNTIF($A$4:$A511,$A511)=1,1,0)</f>
        <v>0</v>
      </c>
      <c r="G511" s="106" cm="1">
        <f t="array" ref="G511">IF($F511=1,IF(SUMPRODUCT(--ISNUMBER(SEARCH(","&amp;$A511&amp;",",'Parts list'!$Z$4:$Z$185)))&gt;0,1,0),0)</f>
        <v>0</v>
      </c>
    </row>
    <row r="512" spans="1:7" x14ac:dyDescent="0.2">
      <c r="A512" s="1" t="s">
        <v>2708</v>
      </c>
      <c r="B512" s="104">
        <v>1</v>
      </c>
      <c r="C512" s="104">
        <v>1</v>
      </c>
      <c r="D512" s="1" t="s">
        <v>2558</v>
      </c>
      <c r="E512" s="4" t="s">
        <v>2709</v>
      </c>
      <c r="F512" s="106">
        <f>IF(COUNTIF($A$4:$A512,$A512)=1,1,0)</f>
        <v>1</v>
      </c>
      <c r="G512" s="106" cm="1">
        <f t="array" ref="G512">IF($F512=1,IF(SUMPRODUCT(--ISNUMBER(SEARCH(","&amp;$A512&amp;",",'Parts list'!$Z$4:$Z$185)))&gt;0,1,0),0)</f>
        <v>1</v>
      </c>
    </row>
    <row r="513" spans="1:7" x14ac:dyDescent="0.2">
      <c r="A513" s="1" t="s">
        <v>2708</v>
      </c>
      <c r="B513" s="104">
        <v>2</v>
      </c>
      <c r="C513" s="104">
        <v>2</v>
      </c>
      <c r="D513" s="1" t="s">
        <v>2168</v>
      </c>
      <c r="E513" s="4" t="s">
        <v>2709</v>
      </c>
      <c r="F513" s="106">
        <f>IF(COUNTIF($A$4:$A513,$A513)=1,1,0)</f>
        <v>0</v>
      </c>
      <c r="G513" s="106" cm="1">
        <f t="array" ref="G513">IF($F513=1,IF(SUMPRODUCT(--ISNUMBER(SEARCH(","&amp;$A513&amp;",",'Parts list'!$Z$4:$Z$185)))&gt;0,1,0),0)</f>
        <v>0</v>
      </c>
    </row>
    <row r="514" spans="1:7" x14ac:dyDescent="0.2">
      <c r="A514" s="1" t="s">
        <v>2710</v>
      </c>
      <c r="B514" s="104">
        <v>1</v>
      </c>
      <c r="C514" s="104">
        <v>1</v>
      </c>
      <c r="D514" s="1" t="s">
        <v>2711</v>
      </c>
      <c r="E514" s="4" t="s">
        <v>2712</v>
      </c>
      <c r="F514" s="106">
        <f>IF(COUNTIF($A$4:$A514,$A514)=1,1,0)</f>
        <v>1</v>
      </c>
      <c r="G514" s="106" cm="1">
        <f t="array" ref="G514">IF($F514=1,IF(SUMPRODUCT(--ISNUMBER(SEARCH(","&amp;$A514&amp;",",'Parts list'!$Z$4:$Z$185)))&gt;0,1,0),0)</f>
        <v>1</v>
      </c>
    </row>
    <row r="515" spans="1:7" x14ac:dyDescent="0.2">
      <c r="A515" s="1" t="s">
        <v>2710</v>
      </c>
      <c r="B515" s="104">
        <v>2</v>
      </c>
      <c r="C515" s="104">
        <v>2</v>
      </c>
      <c r="D515" s="1" t="s">
        <v>2713</v>
      </c>
      <c r="E515" s="4" t="s">
        <v>2712</v>
      </c>
      <c r="F515" s="106">
        <f>IF(COUNTIF($A$4:$A515,$A515)=1,1,0)</f>
        <v>0</v>
      </c>
      <c r="G515" s="106" cm="1">
        <f t="array" ref="G515">IF($F515=1,IF(SUMPRODUCT(--ISNUMBER(SEARCH(","&amp;$A515&amp;",",'Parts list'!$Z$4:$Z$185)))&gt;0,1,0),0)</f>
        <v>0</v>
      </c>
    </row>
    <row r="516" spans="1:7" x14ac:dyDescent="0.2">
      <c r="A516" s="1" t="s">
        <v>2714</v>
      </c>
      <c r="B516" s="104">
        <v>1</v>
      </c>
      <c r="C516" s="104">
        <v>1</v>
      </c>
      <c r="D516" s="1" t="s">
        <v>2715</v>
      </c>
      <c r="E516" s="4" t="s">
        <v>2716</v>
      </c>
      <c r="F516" s="106">
        <f>IF(COUNTIF($A$4:$A516,$A516)=1,1,0)</f>
        <v>1</v>
      </c>
      <c r="G516" s="106" cm="1">
        <f t="array" ref="G516">IF($F516=1,IF(SUMPRODUCT(--ISNUMBER(SEARCH(","&amp;$A516&amp;",",'Parts list'!$Z$4:$Z$185)))&gt;0,1,0),0)</f>
        <v>1</v>
      </c>
    </row>
    <row r="517" spans="1:7" x14ac:dyDescent="0.2">
      <c r="A517" s="1" t="s">
        <v>2714</v>
      </c>
      <c r="B517" s="104">
        <v>2</v>
      </c>
      <c r="C517" s="104">
        <v>2</v>
      </c>
      <c r="D517" s="1" t="s">
        <v>2596</v>
      </c>
      <c r="E517" s="4" t="s">
        <v>2716</v>
      </c>
      <c r="F517" s="106">
        <f>IF(COUNTIF($A$4:$A517,$A517)=1,1,0)</f>
        <v>0</v>
      </c>
      <c r="G517" s="106" cm="1">
        <f t="array" ref="G517">IF($F517=1,IF(SUMPRODUCT(--ISNUMBER(SEARCH(","&amp;$A517&amp;",",'Parts list'!$Z$4:$Z$185)))&gt;0,1,0),0)</f>
        <v>0</v>
      </c>
    </row>
    <row r="518" spans="1:7" x14ac:dyDescent="0.2">
      <c r="A518" s="1" t="s">
        <v>2717</v>
      </c>
      <c r="B518" s="104">
        <v>1</v>
      </c>
      <c r="C518" s="104">
        <v>1</v>
      </c>
      <c r="D518" s="1" t="s">
        <v>2718</v>
      </c>
      <c r="E518" s="4" t="s">
        <v>2719</v>
      </c>
      <c r="F518" s="106">
        <f>IF(COUNTIF($A$4:$A518,$A518)=1,1,0)</f>
        <v>1</v>
      </c>
      <c r="G518" s="106" cm="1">
        <f t="array" ref="G518">IF($F518=1,IF(SUMPRODUCT(--ISNUMBER(SEARCH(","&amp;$A518&amp;",",'Parts list'!$Z$4:$Z$185)))&gt;0,1,0),0)</f>
        <v>1</v>
      </c>
    </row>
    <row r="519" spans="1:7" x14ac:dyDescent="0.2">
      <c r="A519" s="1" t="s">
        <v>2717</v>
      </c>
      <c r="B519" s="104">
        <v>2</v>
      </c>
      <c r="C519" s="104">
        <v>2</v>
      </c>
      <c r="D519" s="1" t="s">
        <v>2597</v>
      </c>
      <c r="E519" s="4" t="s">
        <v>2719</v>
      </c>
      <c r="F519" s="106">
        <f>IF(COUNTIF($A$4:$A519,$A519)=1,1,0)</f>
        <v>0</v>
      </c>
      <c r="G519" s="106" cm="1">
        <f t="array" ref="G519">IF($F519=1,IF(SUMPRODUCT(--ISNUMBER(SEARCH(","&amp;$A519&amp;",",'Parts list'!$Z$4:$Z$185)))&gt;0,1,0),0)</f>
        <v>0</v>
      </c>
    </row>
    <row r="520" spans="1:7" x14ac:dyDescent="0.2">
      <c r="A520" s="1" t="s">
        <v>2720</v>
      </c>
      <c r="B520" s="104">
        <v>1</v>
      </c>
      <c r="C520" s="104">
        <v>1</v>
      </c>
      <c r="D520" s="1" t="s">
        <v>2721</v>
      </c>
      <c r="E520" s="4" t="s">
        <v>2722</v>
      </c>
      <c r="F520" s="106">
        <f>IF(COUNTIF($A$4:$A520,$A520)=1,1,0)</f>
        <v>1</v>
      </c>
      <c r="G520" s="106" cm="1">
        <f t="array" ref="G520">IF($F520=1,IF(SUMPRODUCT(--ISNUMBER(SEARCH(","&amp;$A520&amp;",",'Parts list'!$Z$4:$Z$185)))&gt;0,1,0),0)</f>
        <v>1</v>
      </c>
    </row>
    <row r="521" spans="1:7" x14ac:dyDescent="0.2">
      <c r="A521" s="1" t="s">
        <v>2720</v>
      </c>
      <c r="B521" s="104">
        <v>2</v>
      </c>
      <c r="C521" s="104">
        <v>2</v>
      </c>
      <c r="D521" s="1" t="s">
        <v>2598</v>
      </c>
      <c r="E521" s="4" t="s">
        <v>2722</v>
      </c>
      <c r="F521" s="106">
        <f>IF(COUNTIF($A$4:$A521,$A521)=1,1,0)</f>
        <v>0</v>
      </c>
      <c r="G521" s="106" cm="1">
        <f t="array" ref="G521">IF($F521=1,IF(SUMPRODUCT(--ISNUMBER(SEARCH(","&amp;$A521&amp;",",'Parts list'!$Z$4:$Z$185)))&gt;0,1,0),0)</f>
        <v>0</v>
      </c>
    </row>
    <row r="522" spans="1:7" x14ac:dyDescent="0.2">
      <c r="A522" s="1" t="s">
        <v>2723</v>
      </c>
      <c r="B522" s="104">
        <v>1</v>
      </c>
      <c r="C522" s="104">
        <v>1</v>
      </c>
      <c r="D522" s="1" t="s">
        <v>2724</v>
      </c>
      <c r="E522" s="4" t="s">
        <v>2725</v>
      </c>
      <c r="F522" s="106">
        <f>IF(COUNTIF($A$4:$A522,$A522)=1,1,0)</f>
        <v>1</v>
      </c>
      <c r="G522" s="106" cm="1">
        <f t="array" ref="G522">IF($F522=1,IF(SUMPRODUCT(--ISNUMBER(SEARCH(","&amp;$A522&amp;",",'Parts list'!$Z$4:$Z$185)))&gt;0,1,0),0)</f>
        <v>1</v>
      </c>
    </row>
    <row r="523" spans="1:7" x14ac:dyDescent="0.2">
      <c r="A523" s="1" t="s">
        <v>2723</v>
      </c>
      <c r="B523" s="104">
        <v>2</v>
      </c>
      <c r="C523" s="104">
        <v>2</v>
      </c>
      <c r="D523" s="1" t="s">
        <v>2208</v>
      </c>
      <c r="E523" s="4" t="s">
        <v>2725</v>
      </c>
      <c r="F523" s="106">
        <f>IF(COUNTIF($A$4:$A523,$A523)=1,1,0)</f>
        <v>0</v>
      </c>
      <c r="G523" s="106" cm="1">
        <f t="array" ref="G523">IF($F523=1,IF(SUMPRODUCT(--ISNUMBER(SEARCH(","&amp;$A523&amp;",",'Parts list'!$Z$4:$Z$185)))&gt;0,1,0),0)</f>
        <v>0</v>
      </c>
    </row>
    <row r="524" spans="1:7" x14ac:dyDescent="0.2">
      <c r="A524" s="1" t="s">
        <v>2726</v>
      </c>
      <c r="B524" s="104">
        <v>1</v>
      </c>
      <c r="C524" s="104">
        <v>1</v>
      </c>
      <c r="D524" s="1" t="s">
        <v>2727</v>
      </c>
      <c r="E524" s="4" t="s">
        <v>2707</v>
      </c>
      <c r="F524" s="106">
        <f>IF(COUNTIF($A$4:$A524,$A524)=1,1,0)</f>
        <v>1</v>
      </c>
      <c r="G524" s="106" cm="1">
        <f t="array" ref="G524">IF($F524=1,IF(SUMPRODUCT(--ISNUMBER(SEARCH(","&amp;$A524&amp;",",'Parts list'!$Z$4:$Z$185)))&gt;0,1,0),0)</f>
        <v>1</v>
      </c>
    </row>
    <row r="525" spans="1:7" x14ac:dyDescent="0.2">
      <c r="A525" s="1" t="s">
        <v>2726</v>
      </c>
      <c r="B525" s="104">
        <v>2</v>
      </c>
      <c r="C525" s="104">
        <v>2</v>
      </c>
      <c r="D525" s="1" t="s">
        <v>2208</v>
      </c>
      <c r="E525" s="4" t="s">
        <v>2707</v>
      </c>
      <c r="F525" s="106">
        <f>IF(COUNTIF($A$4:$A525,$A525)=1,1,0)</f>
        <v>0</v>
      </c>
      <c r="G525" s="106" cm="1">
        <f t="array" ref="G525">IF($F525=1,IF(SUMPRODUCT(--ISNUMBER(SEARCH(","&amp;$A525&amp;",",'Parts list'!$Z$4:$Z$185)))&gt;0,1,0),0)</f>
        <v>0</v>
      </c>
    </row>
    <row r="526" spans="1:7" x14ac:dyDescent="0.2">
      <c r="A526" s="1" t="s">
        <v>2728</v>
      </c>
      <c r="B526" s="104">
        <v>1</v>
      </c>
      <c r="C526" s="104">
        <v>1</v>
      </c>
      <c r="D526" s="1" t="s">
        <v>2729</v>
      </c>
      <c r="E526" s="4" t="s">
        <v>2730</v>
      </c>
      <c r="F526" s="106">
        <f>IF(COUNTIF($A$4:$A526,$A526)=1,1,0)</f>
        <v>1</v>
      </c>
      <c r="G526" s="106" cm="1">
        <f t="array" ref="G526">IF($F526=1,IF(SUMPRODUCT(--ISNUMBER(SEARCH(","&amp;$A526&amp;",",'Parts list'!$Z$4:$Z$185)))&gt;0,1,0),0)</f>
        <v>1</v>
      </c>
    </row>
    <row r="527" spans="1:7" x14ac:dyDescent="0.2">
      <c r="A527" s="1" t="s">
        <v>2728</v>
      </c>
      <c r="B527" s="104">
        <v>2</v>
      </c>
      <c r="C527" s="104">
        <v>2</v>
      </c>
      <c r="D527" s="1" t="s">
        <v>2731</v>
      </c>
      <c r="E527" s="4" t="s">
        <v>2730</v>
      </c>
      <c r="F527" s="106">
        <f>IF(COUNTIF($A$4:$A527,$A527)=1,1,0)</f>
        <v>0</v>
      </c>
      <c r="G527" s="106" cm="1">
        <f t="array" ref="G527">IF($F527=1,IF(SUMPRODUCT(--ISNUMBER(SEARCH(","&amp;$A527&amp;",",'Parts list'!$Z$4:$Z$185)))&gt;0,1,0),0)</f>
        <v>0</v>
      </c>
    </row>
    <row r="528" spans="1:7" x14ac:dyDescent="0.2">
      <c r="A528" s="1" t="s">
        <v>2732</v>
      </c>
      <c r="B528" s="104">
        <v>1</v>
      </c>
      <c r="C528" s="104">
        <v>1</v>
      </c>
      <c r="D528" s="1" t="s">
        <v>2733</v>
      </c>
      <c r="E528" s="4" t="s">
        <v>2734</v>
      </c>
      <c r="F528" s="106">
        <f>IF(COUNTIF($A$4:$A528,$A528)=1,1,0)</f>
        <v>1</v>
      </c>
      <c r="G528" s="106" cm="1">
        <f t="array" ref="G528">IF($F528=1,IF(SUMPRODUCT(--ISNUMBER(SEARCH(","&amp;$A528&amp;",",'Parts list'!$Z$4:$Z$185)))&gt;0,1,0),0)</f>
        <v>1</v>
      </c>
    </row>
    <row r="529" spans="1:7" x14ac:dyDescent="0.2">
      <c r="A529" s="1" t="s">
        <v>2732</v>
      </c>
      <c r="B529" s="104">
        <v>2</v>
      </c>
      <c r="C529" s="104">
        <v>2</v>
      </c>
      <c r="D529" s="1" t="s">
        <v>2735</v>
      </c>
      <c r="E529" s="4" t="s">
        <v>2734</v>
      </c>
      <c r="F529" s="106">
        <f>IF(COUNTIF($A$4:$A529,$A529)=1,1,0)</f>
        <v>0</v>
      </c>
      <c r="G529" s="106" cm="1">
        <f t="array" ref="G529">IF($F529=1,IF(SUMPRODUCT(--ISNUMBER(SEARCH(","&amp;$A529&amp;",",'Parts list'!$Z$4:$Z$185)))&gt;0,1,0),0)</f>
        <v>0</v>
      </c>
    </row>
    <row r="530" spans="1:7" x14ac:dyDescent="0.2">
      <c r="A530" s="1" t="s">
        <v>2736</v>
      </c>
      <c r="B530" s="104">
        <v>1</v>
      </c>
      <c r="C530" s="104">
        <v>1</v>
      </c>
      <c r="D530" s="1" t="s">
        <v>2737</v>
      </c>
      <c r="E530" s="4" t="s">
        <v>2738</v>
      </c>
      <c r="F530" s="106">
        <f>IF(COUNTIF($A$4:$A530,$A530)=1,1,0)</f>
        <v>1</v>
      </c>
      <c r="G530" s="106" cm="1">
        <f t="array" ref="G530">IF($F530=1,IF(SUMPRODUCT(--ISNUMBER(SEARCH(","&amp;$A530&amp;",",'Parts list'!$Z$4:$Z$185)))&gt;0,1,0),0)</f>
        <v>1</v>
      </c>
    </row>
    <row r="531" spans="1:7" x14ac:dyDescent="0.2">
      <c r="A531" s="1" t="s">
        <v>2736</v>
      </c>
      <c r="B531" s="104">
        <v>2</v>
      </c>
      <c r="C531" s="104">
        <v>2</v>
      </c>
      <c r="D531" s="1" t="s">
        <v>2168</v>
      </c>
      <c r="E531" s="4" t="s">
        <v>2738</v>
      </c>
      <c r="F531" s="106">
        <f>IF(COUNTIF($A$4:$A531,$A531)=1,1,0)</f>
        <v>0</v>
      </c>
      <c r="G531" s="106" cm="1">
        <f t="array" ref="G531">IF($F531=1,IF(SUMPRODUCT(--ISNUMBER(SEARCH(","&amp;$A531&amp;",",'Parts list'!$Z$4:$Z$185)))&gt;0,1,0),0)</f>
        <v>0</v>
      </c>
    </row>
    <row r="532" spans="1:7" x14ac:dyDescent="0.2">
      <c r="A532" s="1" t="s">
        <v>2739</v>
      </c>
      <c r="B532" s="104">
        <v>1</v>
      </c>
      <c r="C532" s="104">
        <v>1</v>
      </c>
      <c r="D532" s="1" t="s">
        <v>2740</v>
      </c>
      <c r="E532" s="4" t="s">
        <v>2741</v>
      </c>
      <c r="F532" s="106">
        <f>IF(COUNTIF($A$4:$A532,$A532)=1,1,0)</f>
        <v>1</v>
      </c>
      <c r="G532" s="106" cm="1">
        <f t="array" ref="G532">IF($F532=1,IF(SUMPRODUCT(--ISNUMBER(SEARCH(","&amp;$A532&amp;",",'Parts list'!$Z$4:$Z$185)))&gt;0,1,0),0)</f>
        <v>1</v>
      </c>
    </row>
    <row r="533" spans="1:7" x14ac:dyDescent="0.2">
      <c r="A533" s="1" t="s">
        <v>2739</v>
      </c>
      <c r="B533" s="104">
        <v>2</v>
      </c>
      <c r="C533" s="104">
        <v>2</v>
      </c>
      <c r="D533" s="1" t="s">
        <v>2168</v>
      </c>
      <c r="E533" s="4" t="s">
        <v>2741</v>
      </c>
      <c r="F533" s="106">
        <f>IF(COUNTIF($A$4:$A533,$A533)=1,1,0)</f>
        <v>0</v>
      </c>
      <c r="G533" s="106" cm="1">
        <f t="array" ref="G533">IF($F533=1,IF(SUMPRODUCT(--ISNUMBER(SEARCH(","&amp;$A533&amp;",",'Parts list'!$Z$4:$Z$185)))&gt;0,1,0),0)</f>
        <v>0</v>
      </c>
    </row>
    <row r="534" spans="1:7" x14ac:dyDescent="0.2">
      <c r="A534" s="1" t="s">
        <v>2742</v>
      </c>
      <c r="B534" s="104">
        <v>1</v>
      </c>
      <c r="C534" s="104">
        <v>1</v>
      </c>
      <c r="D534" s="1" t="s">
        <v>2743</v>
      </c>
      <c r="E534" s="4" t="s">
        <v>2744</v>
      </c>
      <c r="F534" s="106">
        <f>IF(COUNTIF($A$4:$A534,$A534)=1,1,0)</f>
        <v>1</v>
      </c>
      <c r="G534" s="106" cm="1">
        <f t="array" ref="G534">IF($F534=1,IF(SUMPRODUCT(--ISNUMBER(SEARCH(","&amp;$A534&amp;",",'Parts list'!$Z$4:$Z$185)))&gt;0,1,0),0)</f>
        <v>1</v>
      </c>
    </row>
    <row r="535" spans="1:7" x14ac:dyDescent="0.2">
      <c r="A535" s="1" t="s">
        <v>2742</v>
      </c>
      <c r="B535" s="104">
        <v>2</v>
      </c>
      <c r="C535" s="104">
        <v>2</v>
      </c>
      <c r="D535" s="1" t="s">
        <v>2745</v>
      </c>
      <c r="E535" s="4" t="s">
        <v>2744</v>
      </c>
      <c r="F535" s="106">
        <f>IF(COUNTIF($A$4:$A535,$A535)=1,1,0)</f>
        <v>0</v>
      </c>
      <c r="G535" s="106" cm="1">
        <f t="array" ref="G535">IF($F535=1,IF(SUMPRODUCT(--ISNUMBER(SEARCH(","&amp;$A535&amp;",",'Parts list'!$Z$4:$Z$185)))&gt;0,1,0),0)</f>
        <v>0</v>
      </c>
    </row>
    <row r="536" spans="1:7" x14ac:dyDescent="0.2">
      <c r="A536" s="1" t="s">
        <v>2746</v>
      </c>
      <c r="B536" s="104">
        <v>1</v>
      </c>
      <c r="C536" s="104">
        <v>1</v>
      </c>
      <c r="D536" s="1" t="s">
        <v>2731</v>
      </c>
      <c r="E536" s="4" t="s">
        <v>2747</v>
      </c>
      <c r="F536" s="106">
        <f>IF(COUNTIF($A$4:$A536,$A536)=1,1,0)</f>
        <v>1</v>
      </c>
      <c r="G536" s="106" cm="1">
        <f t="array" ref="G536">IF($F536=1,IF(SUMPRODUCT(--ISNUMBER(SEARCH(","&amp;$A536&amp;",",'Parts list'!$Z$4:$Z$185)))&gt;0,1,0),0)</f>
        <v>1</v>
      </c>
    </row>
    <row r="537" spans="1:7" x14ac:dyDescent="0.2">
      <c r="A537" s="1" t="s">
        <v>2746</v>
      </c>
      <c r="B537" s="104">
        <v>2</v>
      </c>
      <c r="C537" s="104">
        <v>2</v>
      </c>
      <c r="D537" s="1" t="s">
        <v>2168</v>
      </c>
      <c r="E537" s="4" t="s">
        <v>2747</v>
      </c>
      <c r="F537" s="106">
        <f>IF(COUNTIF($A$4:$A537,$A537)=1,1,0)</f>
        <v>0</v>
      </c>
      <c r="G537" s="106" cm="1">
        <f t="array" ref="G537">IF($F537=1,IF(SUMPRODUCT(--ISNUMBER(SEARCH(","&amp;$A537&amp;",",'Parts list'!$Z$4:$Z$185)))&gt;0,1,0),0)</f>
        <v>0</v>
      </c>
    </row>
    <row r="538" spans="1:7" x14ac:dyDescent="0.2">
      <c r="A538" s="1" t="s">
        <v>2748</v>
      </c>
      <c r="B538" s="104">
        <v>1</v>
      </c>
      <c r="C538" s="104">
        <v>1</v>
      </c>
      <c r="D538" s="1" t="s">
        <v>2735</v>
      </c>
      <c r="E538" s="4" t="s">
        <v>2749</v>
      </c>
      <c r="F538" s="106">
        <f>IF(COUNTIF($A$4:$A538,$A538)=1,1,0)</f>
        <v>1</v>
      </c>
      <c r="G538" s="106" cm="1">
        <f t="array" ref="G538">IF($F538=1,IF(SUMPRODUCT(--ISNUMBER(SEARCH(","&amp;$A538&amp;",",'Parts list'!$Z$4:$Z$185)))&gt;0,1,0),0)</f>
        <v>1</v>
      </c>
    </row>
    <row r="539" spans="1:7" x14ac:dyDescent="0.2">
      <c r="A539" s="1" t="s">
        <v>2748</v>
      </c>
      <c r="B539" s="104">
        <v>2</v>
      </c>
      <c r="C539" s="104">
        <v>2</v>
      </c>
      <c r="D539" s="1" t="s">
        <v>2168</v>
      </c>
      <c r="E539" s="4" t="s">
        <v>2749</v>
      </c>
      <c r="F539" s="106">
        <f>IF(COUNTIF($A$4:$A539,$A539)=1,1,0)</f>
        <v>0</v>
      </c>
      <c r="G539" s="106" cm="1">
        <f t="array" ref="G539">IF($F539=1,IF(SUMPRODUCT(--ISNUMBER(SEARCH(","&amp;$A539&amp;",",'Parts list'!$Z$4:$Z$185)))&gt;0,1,0),0)</f>
        <v>0</v>
      </c>
    </row>
    <row r="540" spans="1:7" x14ac:dyDescent="0.2">
      <c r="A540" s="1" t="s">
        <v>2750</v>
      </c>
      <c r="B540" s="104">
        <v>1</v>
      </c>
      <c r="C540" s="104">
        <v>1</v>
      </c>
      <c r="D540" s="1" t="s">
        <v>2751</v>
      </c>
      <c r="E540" s="4" t="s">
        <v>2752</v>
      </c>
      <c r="F540" s="106">
        <f>IF(COUNTIF($A$4:$A540,$A540)=1,1,0)</f>
        <v>1</v>
      </c>
      <c r="G540" s="106" cm="1">
        <f t="array" ref="G540">IF($F540=1,IF(SUMPRODUCT(--ISNUMBER(SEARCH(","&amp;$A540&amp;",",'Parts list'!$Z$4:$Z$185)))&gt;0,1,0),0)</f>
        <v>1</v>
      </c>
    </row>
    <row r="541" spans="1:7" x14ac:dyDescent="0.2">
      <c r="A541" s="1" t="s">
        <v>2750</v>
      </c>
      <c r="B541" s="104">
        <v>2</v>
      </c>
      <c r="C541" s="104">
        <v>2</v>
      </c>
      <c r="D541" s="1" t="s">
        <v>2168</v>
      </c>
      <c r="E541" s="4" t="s">
        <v>2752</v>
      </c>
      <c r="F541" s="106">
        <f>IF(COUNTIF($A$4:$A541,$A541)=1,1,0)</f>
        <v>0</v>
      </c>
      <c r="G541" s="106" cm="1">
        <f t="array" ref="G541">IF($F541=1,IF(SUMPRODUCT(--ISNUMBER(SEARCH(","&amp;$A541&amp;",",'Parts list'!$Z$4:$Z$185)))&gt;0,1,0),0)</f>
        <v>0</v>
      </c>
    </row>
    <row r="542" spans="1:7" x14ac:dyDescent="0.2">
      <c r="A542" s="1" t="s">
        <v>2753</v>
      </c>
      <c r="B542" s="104">
        <v>1</v>
      </c>
      <c r="C542" s="104">
        <v>1</v>
      </c>
      <c r="D542" s="1" t="s">
        <v>2754</v>
      </c>
      <c r="E542" s="4" t="s">
        <v>2755</v>
      </c>
      <c r="F542" s="106">
        <f>IF(COUNTIF($A$4:$A542,$A542)=1,1,0)</f>
        <v>1</v>
      </c>
      <c r="G542" s="106" cm="1">
        <f t="array" ref="G542">IF($F542=1,IF(SUMPRODUCT(--ISNUMBER(SEARCH(","&amp;$A542&amp;",",'Parts list'!$Z$4:$Z$185)))&gt;0,1,0),0)</f>
        <v>1</v>
      </c>
    </row>
    <row r="543" spans="1:7" x14ac:dyDescent="0.2">
      <c r="A543" s="1" t="s">
        <v>2753</v>
      </c>
      <c r="B543" s="104">
        <v>2</v>
      </c>
      <c r="C543" s="104">
        <v>2</v>
      </c>
      <c r="D543" s="1" t="s">
        <v>2756</v>
      </c>
      <c r="E543" s="4" t="s">
        <v>2755</v>
      </c>
      <c r="F543" s="106">
        <f>IF(COUNTIF($A$4:$A543,$A543)=1,1,0)</f>
        <v>0</v>
      </c>
      <c r="G543" s="106" cm="1">
        <f t="array" ref="G543">IF($F543=1,IF(SUMPRODUCT(--ISNUMBER(SEARCH(","&amp;$A543&amp;",",'Parts list'!$Z$4:$Z$185)))&gt;0,1,0),0)</f>
        <v>0</v>
      </c>
    </row>
    <row r="544" spans="1:7" x14ac:dyDescent="0.2">
      <c r="A544" s="1" t="s">
        <v>2757</v>
      </c>
      <c r="B544" s="104">
        <v>1</v>
      </c>
      <c r="C544" s="104">
        <v>1</v>
      </c>
      <c r="D544" s="1" t="s">
        <v>2758</v>
      </c>
      <c r="E544" s="4" t="s">
        <v>2759</v>
      </c>
      <c r="F544" s="106">
        <f>IF(COUNTIF($A$4:$A544,$A544)=1,1,0)</f>
        <v>1</v>
      </c>
      <c r="G544" s="106" cm="1">
        <f t="array" ref="G544">IF($F544=1,IF(SUMPRODUCT(--ISNUMBER(SEARCH(","&amp;$A544&amp;",",'Parts list'!$Z$4:$Z$185)))&gt;0,1,0),0)</f>
        <v>1</v>
      </c>
    </row>
    <row r="545" spans="1:7" x14ac:dyDescent="0.2">
      <c r="A545" s="1" t="s">
        <v>2757</v>
      </c>
      <c r="B545" s="104">
        <v>2</v>
      </c>
      <c r="C545" s="104">
        <v>2</v>
      </c>
      <c r="D545" s="1" t="s">
        <v>2760</v>
      </c>
      <c r="E545" s="4" t="s">
        <v>2759</v>
      </c>
      <c r="F545" s="106">
        <f>IF(COUNTIF($A$4:$A545,$A545)=1,1,0)</f>
        <v>0</v>
      </c>
      <c r="G545" s="106" cm="1">
        <f t="array" ref="G545">IF($F545=1,IF(SUMPRODUCT(--ISNUMBER(SEARCH(","&amp;$A545&amp;",",'Parts list'!$Z$4:$Z$185)))&gt;0,1,0),0)</f>
        <v>0</v>
      </c>
    </row>
    <row r="546" spans="1:7" x14ac:dyDescent="0.2">
      <c r="A546" s="1" t="s">
        <v>2761</v>
      </c>
      <c r="B546" s="104">
        <v>1</v>
      </c>
      <c r="C546" s="104">
        <v>1</v>
      </c>
      <c r="D546" s="1" t="s">
        <v>2711</v>
      </c>
      <c r="E546" s="4" t="s">
        <v>2762</v>
      </c>
      <c r="F546" s="106">
        <f>IF(COUNTIF($A$4:$A546,$A546)=1,1,0)</f>
        <v>1</v>
      </c>
      <c r="G546" s="106" cm="1">
        <f t="array" ref="G546">IF($F546=1,IF(SUMPRODUCT(--ISNUMBER(SEARCH(","&amp;$A546&amp;",",'Parts list'!$Z$4:$Z$185)))&gt;0,1,0),0)</f>
        <v>1</v>
      </c>
    </row>
    <row r="547" spans="1:7" x14ac:dyDescent="0.2">
      <c r="A547" s="1" t="s">
        <v>2761</v>
      </c>
      <c r="B547" s="104">
        <v>2</v>
      </c>
      <c r="C547" s="104">
        <v>2</v>
      </c>
      <c r="D547" s="1" t="s">
        <v>2168</v>
      </c>
      <c r="E547" s="4" t="s">
        <v>2762</v>
      </c>
      <c r="F547" s="106">
        <f>IF(COUNTIF($A$4:$A547,$A547)=1,1,0)</f>
        <v>0</v>
      </c>
      <c r="G547" s="106" cm="1">
        <f t="array" ref="G547">IF($F547=1,IF(SUMPRODUCT(--ISNUMBER(SEARCH(","&amp;$A547&amp;",",'Parts list'!$Z$4:$Z$185)))&gt;0,1,0),0)</f>
        <v>0</v>
      </c>
    </row>
    <row r="548" spans="1:7" x14ac:dyDescent="0.2">
      <c r="A548" s="1" t="s">
        <v>2763</v>
      </c>
      <c r="B548" s="104">
        <v>1</v>
      </c>
      <c r="C548" s="104">
        <v>1</v>
      </c>
      <c r="D548" s="1" t="s">
        <v>2715</v>
      </c>
      <c r="E548" s="4" t="s">
        <v>2764</v>
      </c>
      <c r="F548" s="106">
        <f>IF(COUNTIF($A$4:$A548,$A548)=1,1,0)</f>
        <v>1</v>
      </c>
      <c r="G548" s="106" cm="1">
        <f t="array" ref="G548">IF($F548=1,IF(SUMPRODUCT(--ISNUMBER(SEARCH(","&amp;$A548&amp;",",'Parts list'!$Z$4:$Z$185)))&gt;0,1,0),0)</f>
        <v>1</v>
      </c>
    </row>
    <row r="549" spans="1:7" x14ac:dyDescent="0.2">
      <c r="A549" s="1" t="s">
        <v>2763</v>
      </c>
      <c r="B549" s="104">
        <v>2</v>
      </c>
      <c r="C549" s="104">
        <v>2</v>
      </c>
      <c r="D549" s="1" t="s">
        <v>2765</v>
      </c>
      <c r="E549" s="4" t="s">
        <v>2764</v>
      </c>
      <c r="F549" s="106">
        <f>IF(COUNTIF($A$4:$A549,$A549)=1,1,0)</f>
        <v>0</v>
      </c>
      <c r="G549" s="106" cm="1">
        <f t="array" ref="G549">IF($F549=1,IF(SUMPRODUCT(--ISNUMBER(SEARCH(","&amp;$A549&amp;",",'Parts list'!$Z$4:$Z$185)))&gt;0,1,0),0)</f>
        <v>0</v>
      </c>
    </row>
    <row r="550" spans="1:7" x14ac:dyDescent="0.2">
      <c r="A550" s="1" t="s">
        <v>2766</v>
      </c>
      <c r="B550" s="104">
        <v>1</v>
      </c>
      <c r="C550" s="104">
        <v>1</v>
      </c>
      <c r="D550" s="1" t="s">
        <v>2718</v>
      </c>
      <c r="E550" s="4" t="s">
        <v>2767</v>
      </c>
      <c r="F550" s="106">
        <f>IF(COUNTIF($A$4:$A550,$A550)=1,1,0)</f>
        <v>1</v>
      </c>
      <c r="G550" s="106" cm="1">
        <f t="array" ref="G550">IF($F550=1,IF(SUMPRODUCT(--ISNUMBER(SEARCH(","&amp;$A550&amp;",",'Parts list'!$Z$4:$Z$185)))&gt;0,1,0),0)</f>
        <v>1</v>
      </c>
    </row>
    <row r="551" spans="1:7" x14ac:dyDescent="0.2">
      <c r="A551" s="1" t="s">
        <v>2766</v>
      </c>
      <c r="B551" s="104">
        <v>2</v>
      </c>
      <c r="C551" s="104">
        <v>2</v>
      </c>
      <c r="D551" s="1" t="s">
        <v>2768</v>
      </c>
      <c r="E551" s="4" t="s">
        <v>2767</v>
      </c>
      <c r="F551" s="106">
        <f>IF(COUNTIF($A$4:$A551,$A551)=1,1,0)</f>
        <v>0</v>
      </c>
      <c r="G551" s="106" cm="1">
        <f t="array" ref="G551">IF($F551=1,IF(SUMPRODUCT(--ISNUMBER(SEARCH(","&amp;$A551&amp;",",'Parts list'!$Z$4:$Z$185)))&gt;0,1,0),0)</f>
        <v>0</v>
      </c>
    </row>
    <row r="552" spans="1:7" x14ac:dyDescent="0.2">
      <c r="A552" s="1" t="s">
        <v>2769</v>
      </c>
      <c r="B552" s="104">
        <v>1</v>
      </c>
      <c r="C552" s="104">
        <v>1</v>
      </c>
      <c r="D552" s="1" t="s">
        <v>2721</v>
      </c>
      <c r="E552" s="4" t="s">
        <v>2767</v>
      </c>
      <c r="F552" s="106">
        <f>IF(COUNTIF($A$4:$A552,$A552)=1,1,0)</f>
        <v>1</v>
      </c>
      <c r="G552" s="106" cm="1">
        <f t="array" ref="G552">IF($F552=1,IF(SUMPRODUCT(--ISNUMBER(SEARCH(","&amp;$A552&amp;",",'Parts list'!$Z$4:$Z$185)))&gt;0,1,0),0)</f>
        <v>1</v>
      </c>
    </row>
    <row r="553" spans="1:7" x14ac:dyDescent="0.2">
      <c r="A553" s="1" t="s">
        <v>2769</v>
      </c>
      <c r="B553" s="104">
        <v>2</v>
      </c>
      <c r="C553" s="104">
        <v>2</v>
      </c>
      <c r="D553" s="1" t="s">
        <v>2770</v>
      </c>
      <c r="E553" s="4" t="s">
        <v>2767</v>
      </c>
      <c r="F553" s="106">
        <f>IF(COUNTIF($A$4:$A553,$A553)=1,1,0)</f>
        <v>0</v>
      </c>
      <c r="G553" s="106" cm="1">
        <f t="array" ref="G553">IF($F553=1,IF(SUMPRODUCT(--ISNUMBER(SEARCH(","&amp;$A553&amp;",",'Parts list'!$Z$4:$Z$185)))&gt;0,1,0),0)</f>
        <v>0</v>
      </c>
    </row>
    <row r="554" spans="1:7" x14ac:dyDescent="0.2">
      <c r="A554" s="1" t="s">
        <v>2771</v>
      </c>
      <c r="B554" s="104">
        <v>1</v>
      </c>
      <c r="C554" s="104">
        <v>1</v>
      </c>
      <c r="D554" s="1" t="s">
        <v>2567</v>
      </c>
      <c r="E554" s="4" t="s">
        <v>2772</v>
      </c>
      <c r="F554" s="106">
        <f>IF(COUNTIF($A$4:$A554,$A554)=1,1,0)</f>
        <v>1</v>
      </c>
      <c r="G554" s="106" cm="1">
        <f t="array" ref="G554">IF($F554=1,IF(SUMPRODUCT(--ISNUMBER(SEARCH(","&amp;$A554&amp;",",'Parts list'!$Z$4:$Z$185)))&gt;0,1,0),0)</f>
        <v>1</v>
      </c>
    </row>
    <row r="555" spans="1:7" x14ac:dyDescent="0.2">
      <c r="A555" s="1" t="s">
        <v>2771</v>
      </c>
      <c r="B555" s="104">
        <v>2</v>
      </c>
      <c r="C555" s="104">
        <v>2</v>
      </c>
      <c r="D555" s="1" t="s">
        <v>2202</v>
      </c>
      <c r="E555" s="4" t="s">
        <v>2772</v>
      </c>
      <c r="F555" s="106">
        <f>IF(COUNTIF($A$4:$A555,$A555)=1,1,0)</f>
        <v>0</v>
      </c>
      <c r="G555" s="106" cm="1">
        <f t="array" ref="G555">IF($F555=1,IF(SUMPRODUCT(--ISNUMBER(SEARCH(","&amp;$A555&amp;",",'Parts list'!$Z$4:$Z$185)))&gt;0,1,0),0)</f>
        <v>0</v>
      </c>
    </row>
    <row r="556" spans="1:7" x14ac:dyDescent="0.2">
      <c r="A556" s="1" t="s">
        <v>2773</v>
      </c>
      <c r="B556" s="104">
        <v>1</v>
      </c>
      <c r="C556" s="104">
        <v>1</v>
      </c>
      <c r="D556" s="1" t="s">
        <v>2774</v>
      </c>
      <c r="E556" s="4" t="s">
        <v>2775</v>
      </c>
      <c r="F556" s="106">
        <f>IF(COUNTIF($A$4:$A556,$A556)=1,1,0)</f>
        <v>1</v>
      </c>
      <c r="G556" s="106" cm="1">
        <f t="array" ref="G556">IF($F556=1,IF(SUMPRODUCT(--ISNUMBER(SEARCH(","&amp;$A556&amp;",",'Parts list'!$Z$4:$Z$185)))&gt;0,1,0),0)</f>
        <v>1</v>
      </c>
    </row>
    <row r="557" spans="1:7" x14ac:dyDescent="0.2">
      <c r="A557" s="1" t="s">
        <v>2773</v>
      </c>
      <c r="B557" s="104">
        <v>2</v>
      </c>
      <c r="C557" s="104">
        <v>2</v>
      </c>
      <c r="D557" s="1" t="s">
        <v>2168</v>
      </c>
      <c r="E557" s="4" t="s">
        <v>2775</v>
      </c>
      <c r="F557" s="106">
        <f>IF(COUNTIF($A$4:$A557,$A557)=1,1,0)</f>
        <v>0</v>
      </c>
      <c r="G557" s="106" cm="1">
        <f t="array" ref="G557">IF($F557=1,IF(SUMPRODUCT(--ISNUMBER(SEARCH(","&amp;$A557&amp;",",'Parts list'!$Z$4:$Z$185)))&gt;0,1,0),0)</f>
        <v>0</v>
      </c>
    </row>
    <row r="558" spans="1:7" x14ac:dyDescent="0.2">
      <c r="A558" s="1" t="s">
        <v>2776</v>
      </c>
      <c r="B558" s="104">
        <v>1</v>
      </c>
      <c r="C558" s="104">
        <v>1</v>
      </c>
      <c r="D558" s="1" t="s">
        <v>2777</v>
      </c>
      <c r="E558" s="4" t="s">
        <v>2778</v>
      </c>
      <c r="F558" s="106">
        <f>IF(COUNTIF($A$4:$A558,$A558)=1,1,0)</f>
        <v>1</v>
      </c>
      <c r="G558" s="106" cm="1">
        <f t="array" ref="G558">IF($F558=1,IF(SUMPRODUCT(--ISNUMBER(SEARCH(","&amp;$A558&amp;",",'Parts list'!$Z$4:$Z$185)))&gt;0,1,0),0)</f>
        <v>1</v>
      </c>
    </row>
    <row r="559" spans="1:7" x14ac:dyDescent="0.2">
      <c r="A559" s="1" t="s">
        <v>2776</v>
      </c>
      <c r="B559" s="104">
        <v>2</v>
      </c>
      <c r="C559" s="104">
        <v>2</v>
      </c>
      <c r="D559" s="1" t="s">
        <v>2168</v>
      </c>
      <c r="E559" s="4" t="s">
        <v>2778</v>
      </c>
      <c r="F559" s="106">
        <f>IF(COUNTIF($A$4:$A559,$A559)=1,1,0)</f>
        <v>0</v>
      </c>
      <c r="G559" s="106" cm="1">
        <f t="array" ref="G559">IF($F559=1,IF(SUMPRODUCT(--ISNUMBER(SEARCH(","&amp;$A559&amp;",",'Parts list'!$Z$4:$Z$185)))&gt;0,1,0),0)</f>
        <v>0</v>
      </c>
    </row>
    <row r="560" spans="1:7" x14ac:dyDescent="0.2">
      <c r="A560" s="1" t="s">
        <v>2779</v>
      </c>
      <c r="B560" s="104">
        <v>1</v>
      </c>
      <c r="C560" s="104">
        <v>1</v>
      </c>
      <c r="D560" s="1" t="s">
        <v>2780</v>
      </c>
      <c r="E560" s="4" t="s">
        <v>2781</v>
      </c>
      <c r="F560" s="106">
        <f>IF(COUNTIF($A$4:$A560,$A560)=1,1,0)</f>
        <v>1</v>
      </c>
      <c r="G560" s="106" cm="1">
        <f t="array" ref="G560">IF($F560=1,IF(SUMPRODUCT(--ISNUMBER(SEARCH(","&amp;$A560&amp;",",'Parts list'!$Z$4:$Z$185)))&gt;0,1,0),0)</f>
        <v>1</v>
      </c>
    </row>
    <row r="561" spans="1:7" x14ac:dyDescent="0.2">
      <c r="A561" s="1" t="s">
        <v>2779</v>
      </c>
      <c r="B561" s="104">
        <v>2</v>
      </c>
      <c r="C561" s="104">
        <v>2</v>
      </c>
      <c r="D561" s="1" t="s">
        <v>2168</v>
      </c>
      <c r="E561" s="4" t="s">
        <v>2781</v>
      </c>
      <c r="F561" s="106">
        <f>IF(COUNTIF($A$4:$A561,$A561)=1,1,0)</f>
        <v>0</v>
      </c>
      <c r="G561" s="106" cm="1">
        <f t="array" ref="G561">IF($F561=1,IF(SUMPRODUCT(--ISNUMBER(SEARCH(","&amp;$A561&amp;",",'Parts list'!$Z$4:$Z$185)))&gt;0,1,0),0)</f>
        <v>0</v>
      </c>
    </row>
    <row r="562" spans="1:7" ht="15" customHeight="1" x14ac:dyDescent="0.2">
      <c r="A562" s="1" t="s">
        <v>2782</v>
      </c>
      <c r="B562" s="104">
        <v>1</v>
      </c>
      <c r="C562" s="104">
        <v>1</v>
      </c>
      <c r="D562" s="1" t="s">
        <v>2629</v>
      </c>
      <c r="E562" s="4" t="s">
        <v>2783</v>
      </c>
      <c r="F562" s="106">
        <f>IF(COUNTIF($A$4:$A562,$A562)=1,1,0)</f>
        <v>1</v>
      </c>
      <c r="G562" s="106" cm="1">
        <f t="array" ref="G562">IF($F562=1,IF(SUMPRODUCT(--ISNUMBER(SEARCH(","&amp;$A562&amp;",",'Parts list'!$Z$4:$Z$185)))&gt;0,1,0),0)</f>
        <v>1</v>
      </c>
    </row>
    <row r="563" spans="1:7" ht="15" customHeight="1" x14ac:dyDescent="0.2">
      <c r="A563" s="1" t="s">
        <v>2782</v>
      </c>
      <c r="B563" s="104">
        <v>2</v>
      </c>
      <c r="C563" s="104">
        <v>2</v>
      </c>
      <c r="D563" s="1" t="s">
        <v>2673</v>
      </c>
      <c r="E563" s="4" t="s">
        <v>2783</v>
      </c>
      <c r="F563" s="106">
        <f>IF(COUNTIF($A$4:$A563,$A563)=1,1,0)</f>
        <v>0</v>
      </c>
      <c r="G563" s="106" cm="1">
        <f t="array" ref="G563">IF($F563=1,IF(SUMPRODUCT(--ISNUMBER(SEARCH(","&amp;$A563&amp;",",'Parts list'!$Z$4:$Z$185)))&gt;0,1,0),0)</f>
        <v>0</v>
      </c>
    </row>
    <row r="564" spans="1:7" ht="27.75" customHeight="1" x14ac:dyDescent="0.2">
      <c r="A564" s="1" t="s">
        <v>410</v>
      </c>
      <c r="B564" s="104">
        <v>1</v>
      </c>
      <c r="C564" s="104">
        <v>1</v>
      </c>
      <c r="D564" s="1" t="s">
        <v>2784</v>
      </c>
      <c r="E564" s="4" t="s">
        <v>2785</v>
      </c>
      <c r="F564" s="106">
        <f>IF(COUNTIF($A$4:$A564,$A564)=1,1,0)</f>
        <v>1</v>
      </c>
      <c r="G564" s="106" cm="1">
        <f t="array" ref="G564">IF($F564=1,IF(SUMPRODUCT(--ISNUMBER(SEARCH(","&amp;$A564&amp;",",'Parts list'!$Z$4:$Z$185)))&gt;0,1,0),0)</f>
        <v>1</v>
      </c>
    </row>
    <row r="565" spans="1:7" ht="27.75" customHeight="1" x14ac:dyDescent="0.2">
      <c r="A565" s="1" t="s">
        <v>410</v>
      </c>
      <c r="B565" s="104">
        <v>2</v>
      </c>
      <c r="C565" s="104">
        <v>2</v>
      </c>
      <c r="D565" s="1" t="s">
        <v>2636</v>
      </c>
      <c r="E565" s="4" t="s">
        <v>2785</v>
      </c>
      <c r="F565" s="106">
        <f>IF(COUNTIF($A$4:$A565,$A565)=1,1,0)</f>
        <v>0</v>
      </c>
      <c r="G565" s="106" cm="1">
        <f t="array" ref="G565">IF($F565=1,IF(SUMPRODUCT(--ISNUMBER(SEARCH(","&amp;$A565&amp;",",'Parts list'!$Z$4:$Z$185)))&gt;0,1,0),0)</f>
        <v>0</v>
      </c>
    </row>
    <row r="566" spans="1:7" x14ac:dyDescent="0.2">
      <c r="A566" s="1" t="s">
        <v>2786</v>
      </c>
      <c r="B566" s="104">
        <v>1</v>
      </c>
      <c r="C566" s="104">
        <v>1</v>
      </c>
      <c r="D566" s="1" t="s">
        <v>2566</v>
      </c>
      <c r="E566" s="4" t="s">
        <v>2787</v>
      </c>
      <c r="F566" s="106">
        <f>IF(COUNTIF($A$4:$A566,$A566)=1,1,0)</f>
        <v>1</v>
      </c>
      <c r="G566" s="106" cm="1">
        <f t="array" ref="G566">IF($F566=1,IF(SUMPRODUCT(--ISNUMBER(SEARCH(","&amp;$A566&amp;",",'Parts list'!$Z$4:$Z$185)))&gt;0,1,0),0)</f>
        <v>1</v>
      </c>
    </row>
    <row r="567" spans="1:7" x14ac:dyDescent="0.2">
      <c r="A567" s="1" t="s">
        <v>2786</v>
      </c>
      <c r="B567" s="104">
        <v>2</v>
      </c>
      <c r="C567" s="104">
        <v>2</v>
      </c>
      <c r="D567" s="1" t="s">
        <v>2202</v>
      </c>
      <c r="E567" s="4" t="s">
        <v>2787</v>
      </c>
      <c r="F567" s="106">
        <f>IF(COUNTIF($A$4:$A567,$A567)=1,1,0)</f>
        <v>0</v>
      </c>
      <c r="G567" s="106" cm="1">
        <f t="array" ref="G567">IF($F567=1,IF(SUMPRODUCT(--ISNUMBER(SEARCH(","&amp;$A567&amp;",",'Parts list'!$Z$4:$Z$185)))&gt;0,1,0),0)</f>
        <v>0</v>
      </c>
    </row>
    <row r="568" spans="1:7" x14ac:dyDescent="0.2">
      <c r="A568" s="1" t="s">
        <v>2788</v>
      </c>
      <c r="B568" s="104">
        <v>1</v>
      </c>
      <c r="C568" s="104">
        <v>1</v>
      </c>
      <c r="D568" s="1" t="s">
        <v>2564</v>
      </c>
      <c r="E568" s="4" t="s">
        <v>2789</v>
      </c>
      <c r="F568" s="106">
        <f>IF(COUNTIF($A$4:$A568,$A568)=1,1,0)</f>
        <v>1</v>
      </c>
      <c r="G568" s="106" cm="1">
        <f t="array" ref="G568">IF($F568=1,IF(SUMPRODUCT(--ISNUMBER(SEARCH(","&amp;$A568&amp;",",'Parts list'!$Z$4:$Z$185)))&gt;0,1,0),0)</f>
        <v>1</v>
      </c>
    </row>
    <row r="569" spans="1:7" x14ac:dyDescent="0.2">
      <c r="A569" s="1" t="s">
        <v>2788</v>
      </c>
      <c r="B569" s="104">
        <v>2</v>
      </c>
      <c r="C569" s="104">
        <v>2</v>
      </c>
      <c r="D569" s="1" t="s">
        <v>2168</v>
      </c>
      <c r="E569" s="4" t="s">
        <v>2789</v>
      </c>
      <c r="F569" s="106">
        <f>IF(COUNTIF($A$4:$A569,$A569)=1,1,0)</f>
        <v>0</v>
      </c>
      <c r="G569" s="106" cm="1">
        <f t="array" ref="G569">IF($F569=1,IF(SUMPRODUCT(--ISNUMBER(SEARCH(","&amp;$A569&amp;",",'Parts list'!$Z$4:$Z$185)))&gt;0,1,0),0)</f>
        <v>0</v>
      </c>
    </row>
    <row r="570" spans="1:7" x14ac:dyDescent="0.2">
      <c r="A570" s="1" t="s">
        <v>2790</v>
      </c>
      <c r="B570" s="104">
        <v>1</v>
      </c>
      <c r="C570" s="104">
        <v>1</v>
      </c>
      <c r="D570" s="1" t="s">
        <v>2622</v>
      </c>
      <c r="E570" s="4" t="s">
        <v>2791</v>
      </c>
      <c r="F570" s="106">
        <f>IF(COUNTIF($A$4:$A570,$A570)=1,1,0)</f>
        <v>1</v>
      </c>
      <c r="G570" s="106" cm="1">
        <f t="array" ref="G570">IF($F570=1,IF(SUMPRODUCT(--ISNUMBER(SEARCH(","&amp;$A570&amp;",",'Parts list'!$Z$4:$Z$185)))&gt;0,1,0),0)</f>
        <v>1</v>
      </c>
    </row>
    <row r="571" spans="1:7" x14ac:dyDescent="0.2">
      <c r="A571" s="1" t="s">
        <v>2790</v>
      </c>
      <c r="B571" s="104">
        <v>2</v>
      </c>
      <c r="C571" s="104">
        <v>2</v>
      </c>
      <c r="D571" s="1" t="s">
        <v>2181</v>
      </c>
      <c r="E571" s="4" t="s">
        <v>2791</v>
      </c>
      <c r="F571" s="106">
        <f>IF(COUNTIF($A$4:$A571,$A571)=1,1,0)</f>
        <v>0</v>
      </c>
      <c r="G571" s="106" cm="1">
        <f t="array" ref="G571">IF($F571=1,IF(SUMPRODUCT(--ISNUMBER(SEARCH(","&amp;$A571&amp;",",'Parts list'!$Z$4:$Z$185)))&gt;0,1,0),0)</f>
        <v>0</v>
      </c>
    </row>
    <row r="572" spans="1:7" x14ac:dyDescent="0.2">
      <c r="A572" s="1" t="s">
        <v>418</v>
      </c>
      <c r="B572" s="104">
        <v>1</v>
      </c>
      <c r="C572" s="104">
        <v>1</v>
      </c>
      <c r="D572" s="1" t="s">
        <v>2181</v>
      </c>
      <c r="E572" s="4" t="s">
        <v>2792</v>
      </c>
      <c r="F572" s="106">
        <f>IF(COUNTIF($A$4:$A572,$A572)=1,1,0)</f>
        <v>1</v>
      </c>
      <c r="G572" s="106" cm="1">
        <f t="array" ref="G572">IF($F572=1,IF(SUMPRODUCT(--ISNUMBER(SEARCH(","&amp;$A572&amp;",",'Parts list'!$Z$4:$Z$185)))&gt;0,1,0),0)</f>
        <v>1</v>
      </c>
    </row>
    <row r="573" spans="1:7" x14ac:dyDescent="0.2">
      <c r="A573" s="1" t="s">
        <v>418</v>
      </c>
      <c r="B573" s="104">
        <v>2</v>
      </c>
      <c r="C573" s="104">
        <v>2</v>
      </c>
      <c r="D573" s="1" t="s">
        <v>2554</v>
      </c>
      <c r="E573" s="4" t="s">
        <v>2792</v>
      </c>
      <c r="F573" s="106">
        <f>IF(COUNTIF($A$4:$A573,$A573)=1,1,0)</f>
        <v>0</v>
      </c>
      <c r="G573" s="106" cm="1">
        <f t="array" ref="G573">IF($F573=1,IF(SUMPRODUCT(--ISNUMBER(SEARCH(","&amp;$A573&amp;",",'Parts list'!$Z$4:$Z$185)))&gt;0,1,0),0)</f>
        <v>0</v>
      </c>
    </row>
    <row r="574" spans="1:7" x14ac:dyDescent="0.2">
      <c r="A574" s="1" t="s">
        <v>2793</v>
      </c>
      <c r="B574" s="104">
        <v>1</v>
      </c>
      <c r="C574" s="104">
        <v>1</v>
      </c>
      <c r="D574" s="1" t="s">
        <v>2345</v>
      </c>
      <c r="E574" s="4" t="s">
        <v>2794</v>
      </c>
      <c r="F574" s="106">
        <f>IF(COUNTIF($A$4:$A574,$A574)=1,1,0)</f>
        <v>1</v>
      </c>
      <c r="G574" s="106" cm="1">
        <f t="array" ref="G574">IF($F574=1,IF(SUMPRODUCT(--ISNUMBER(SEARCH(","&amp;$A574&amp;",",'Parts list'!$Z$4:$Z$185)))&gt;0,1,0),0)</f>
        <v>1</v>
      </c>
    </row>
    <row r="575" spans="1:7" x14ac:dyDescent="0.2">
      <c r="A575" s="1" t="s">
        <v>2793</v>
      </c>
      <c r="B575" s="104">
        <v>2</v>
      </c>
      <c r="C575" s="104">
        <v>2</v>
      </c>
      <c r="D575" s="1" t="s">
        <v>2795</v>
      </c>
      <c r="E575" s="4" t="s">
        <v>2794</v>
      </c>
      <c r="F575" s="106">
        <f>IF(COUNTIF($A$4:$A575,$A575)=1,1,0)</f>
        <v>0</v>
      </c>
      <c r="G575" s="106" cm="1">
        <f t="array" ref="G575">IF($F575=1,IF(SUMPRODUCT(--ISNUMBER(SEARCH(","&amp;$A575&amp;",",'Parts list'!$Z$4:$Z$185)))&gt;0,1,0),0)</f>
        <v>0</v>
      </c>
    </row>
    <row r="576" spans="1:7" x14ac:dyDescent="0.2">
      <c r="A576" s="1" t="s">
        <v>2796</v>
      </c>
      <c r="B576" s="104">
        <v>1</v>
      </c>
      <c r="C576" s="104">
        <v>1</v>
      </c>
      <c r="D576" s="1" t="s">
        <v>2348</v>
      </c>
      <c r="E576" s="4" t="s">
        <v>2797</v>
      </c>
      <c r="F576" s="106">
        <f>IF(COUNTIF($A$4:$A576,$A576)=1,1,0)</f>
        <v>1</v>
      </c>
      <c r="G576" s="106" cm="1">
        <f t="array" ref="G576">IF($F576=1,IF(SUMPRODUCT(--ISNUMBER(SEARCH(","&amp;$A576&amp;",",'Parts list'!$Z$4:$Z$185)))&gt;0,1,0),0)</f>
        <v>1</v>
      </c>
    </row>
    <row r="577" spans="1:7" x14ac:dyDescent="0.2">
      <c r="A577" s="1" t="s">
        <v>2796</v>
      </c>
      <c r="B577" s="104">
        <v>2</v>
      </c>
      <c r="C577" s="104">
        <v>2</v>
      </c>
      <c r="D577" s="1" t="s">
        <v>2798</v>
      </c>
      <c r="E577" s="4" t="s">
        <v>2797</v>
      </c>
      <c r="F577" s="106">
        <f>IF(COUNTIF($A$4:$A577,$A577)=1,1,0)</f>
        <v>0</v>
      </c>
      <c r="G577" s="106" cm="1">
        <f t="array" ref="G577">IF($F577=1,IF(SUMPRODUCT(--ISNUMBER(SEARCH(","&amp;$A577&amp;",",'Parts list'!$Z$4:$Z$185)))&gt;0,1,0),0)</f>
        <v>0</v>
      </c>
    </row>
    <row r="578" spans="1:7" x14ac:dyDescent="0.2">
      <c r="A578" s="1" t="s">
        <v>2799</v>
      </c>
      <c r="B578" s="104">
        <v>1</v>
      </c>
      <c r="C578" s="104">
        <v>1</v>
      </c>
      <c r="D578" s="1" t="s">
        <v>2350</v>
      </c>
      <c r="E578" s="4" t="s">
        <v>2800</v>
      </c>
      <c r="F578" s="106">
        <f>IF(COUNTIF($A$4:$A578,$A578)=1,1,0)</f>
        <v>1</v>
      </c>
      <c r="G578" s="106" cm="1">
        <f t="array" ref="G578">IF($F578=1,IF(SUMPRODUCT(--ISNUMBER(SEARCH(","&amp;$A578&amp;",",'Parts list'!$Z$4:$Z$185)))&gt;0,1,0),0)</f>
        <v>1</v>
      </c>
    </row>
    <row r="579" spans="1:7" x14ac:dyDescent="0.2">
      <c r="A579" s="1" t="s">
        <v>2799</v>
      </c>
      <c r="B579" s="104">
        <v>2</v>
      </c>
      <c r="C579" s="104">
        <v>2</v>
      </c>
      <c r="D579" s="1" t="s">
        <v>2801</v>
      </c>
      <c r="E579" s="4" t="s">
        <v>2800</v>
      </c>
      <c r="F579" s="106">
        <f>IF(COUNTIF($A$4:$A579,$A579)=1,1,0)</f>
        <v>0</v>
      </c>
      <c r="G579" s="106" cm="1">
        <f t="array" ref="G579">IF($F579=1,IF(SUMPRODUCT(--ISNUMBER(SEARCH(","&amp;$A579&amp;",",'Parts list'!$Z$4:$Z$185)))&gt;0,1,0),0)</f>
        <v>0</v>
      </c>
    </row>
    <row r="580" spans="1:7" x14ac:dyDescent="0.2">
      <c r="A580" s="1" t="s">
        <v>2802</v>
      </c>
      <c r="B580" s="104">
        <v>1</v>
      </c>
      <c r="C580" s="104">
        <v>1</v>
      </c>
      <c r="D580" s="1" t="s">
        <v>2352</v>
      </c>
      <c r="E580" s="4" t="s">
        <v>2803</v>
      </c>
      <c r="F580" s="106">
        <f>IF(COUNTIF($A$4:$A580,$A580)=1,1,0)</f>
        <v>1</v>
      </c>
      <c r="G580" s="106" cm="1">
        <f t="array" ref="G580">IF($F580=1,IF(SUMPRODUCT(--ISNUMBER(SEARCH(","&amp;$A580&amp;",",'Parts list'!$Z$4:$Z$185)))&gt;0,1,0),0)</f>
        <v>1</v>
      </c>
    </row>
    <row r="581" spans="1:7" x14ac:dyDescent="0.2">
      <c r="A581" s="1" t="s">
        <v>2802</v>
      </c>
      <c r="B581" s="104">
        <v>2</v>
      </c>
      <c r="C581" s="104">
        <v>2</v>
      </c>
      <c r="D581" s="1" t="s">
        <v>2804</v>
      </c>
      <c r="E581" s="4" t="s">
        <v>2803</v>
      </c>
      <c r="F581" s="106">
        <f>IF(COUNTIF($A$4:$A581,$A581)=1,1,0)</f>
        <v>0</v>
      </c>
      <c r="G581" s="106" cm="1">
        <f t="array" ref="G581">IF($F581=1,IF(SUMPRODUCT(--ISNUMBER(SEARCH(","&amp;$A581&amp;",",'Parts list'!$Z$4:$Z$185)))&gt;0,1,0),0)</f>
        <v>0</v>
      </c>
    </row>
    <row r="582" spans="1:7" x14ac:dyDescent="0.2">
      <c r="A582" s="1" t="s">
        <v>2805</v>
      </c>
      <c r="B582" s="104">
        <v>1</v>
      </c>
      <c r="C582" s="104">
        <v>1</v>
      </c>
      <c r="D582" s="1" t="s">
        <v>2354</v>
      </c>
      <c r="E582" s="4" t="s">
        <v>2806</v>
      </c>
      <c r="F582" s="106">
        <f>IF(COUNTIF($A$4:$A582,$A582)=1,1,0)</f>
        <v>1</v>
      </c>
      <c r="G582" s="106" cm="1">
        <f t="array" ref="G582">IF($F582=1,IF(SUMPRODUCT(--ISNUMBER(SEARCH(","&amp;$A582&amp;",",'Parts list'!$Z$4:$Z$185)))&gt;0,1,0),0)</f>
        <v>1</v>
      </c>
    </row>
    <row r="583" spans="1:7" x14ac:dyDescent="0.2">
      <c r="A583" s="1" t="s">
        <v>2805</v>
      </c>
      <c r="B583" s="104">
        <v>2</v>
      </c>
      <c r="C583" s="104">
        <v>2</v>
      </c>
      <c r="D583" s="1" t="s">
        <v>2807</v>
      </c>
      <c r="E583" s="4" t="s">
        <v>2806</v>
      </c>
      <c r="F583" s="106">
        <f>IF(COUNTIF($A$4:$A583,$A583)=1,1,0)</f>
        <v>0</v>
      </c>
      <c r="G583" s="106" cm="1">
        <f t="array" ref="G583">IF($F583=1,IF(SUMPRODUCT(--ISNUMBER(SEARCH(","&amp;$A583&amp;",",'Parts list'!$Z$4:$Z$185)))&gt;0,1,0),0)</f>
        <v>0</v>
      </c>
    </row>
    <row r="584" spans="1:7" x14ac:dyDescent="0.2">
      <c r="A584" s="1" t="s">
        <v>2808</v>
      </c>
      <c r="B584" s="104">
        <v>1</v>
      </c>
      <c r="C584" s="104">
        <v>1</v>
      </c>
      <c r="D584" s="1" t="s">
        <v>2221</v>
      </c>
      <c r="E584" s="4" t="s">
        <v>2809</v>
      </c>
      <c r="F584" s="106">
        <f>IF(COUNTIF($A$4:$A584,$A584)=1,1,0)</f>
        <v>1</v>
      </c>
      <c r="G584" s="106" cm="1">
        <f t="array" ref="G584">IF($F584=1,IF(SUMPRODUCT(--ISNUMBER(SEARCH(","&amp;$A584&amp;",",'Parts list'!$Z$4:$Z$185)))&gt;0,1,0),0)</f>
        <v>1</v>
      </c>
    </row>
    <row r="585" spans="1:7" x14ac:dyDescent="0.2">
      <c r="A585" s="1" t="s">
        <v>2808</v>
      </c>
      <c r="B585" s="104">
        <v>2</v>
      </c>
      <c r="C585" s="104">
        <v>2</v>
      </c>
      <c r="D585" s="1" t="s">
        <v>2223</v>
      </c>
      <c r="E585" s="4"/>
      <c r="F585" s="106">
        <f>IF(COUNTIF($A$4:$A585,$A585)=1,1,0)</f>
        <v>0</v>
      </c>
      <c r="G585" s="106" cm="1">
        <f t="array" ref="G585">IF($F585=1,IF(SUMPRODUCT(--ISNUMBER(SEARCH(","&amp;$A585&amp;",",'Parts list'!$Z$4:$Z$185)))&gt;0,1,0),0)</f>
        <v>0</v>
      </c>
    </row>
    <row r="586" spans="1:7" x14ac:dyDescent="0.2">
      <c r="A586" s="1" t="s">
        <v>2810</v>
      </c>
      <c r="B586" s="104">
        <v>1</v>
      </c>
      <c r="C586" s="104">
        <v>1</v>
      </c>
      <c r="D586" s="1" t="s">
        <v>2221</v>
      </c>
      <c r="E586" s="4" t="s">
        <v>2811</v>
      </c>
      <c r="F586" s="106">
        <f>IF(COUNTIF($A$4:$A586,$A586)=1,1,0)</f>
        <v>1</v>
      </c>
      <c r="G586" s="106" cm="1">
        <f t="array" ref="G586">IF($F586=1,IF(SUMPRODUCT(--ISNUMBER(SEARCH(","&amp;$A586&amp;",",'Parts list'!$Z$4:$Z$185)))&gt;0,1,0),0)</f>
        <v>1</v>
      </c>
    </row>
    <row r="587" spans="1:7" x14ac:dyDescent="0.2">
      <c r="A587" s="1" t="s">
        <v>2810</v>
      </c>
      <c r="B587" s="104">
        <v>2</v>
      </c>
      <c r="C587" s="104">
        <v>2</v>
      </c>
      <c r="D587" s="1" t="s">
        <v>2225</v>
      </c>
      <c r="E587" s="4"/>
      <c r="F587" s="106">
        <f>IF(COUNTIF($A$4:$A587,$A587)=1,1,0)</f>
        <v>0</v>
      </c>
      <c r="G587" s="106" cm="1">
        <f t="array" ref="G587">IF($F587=1,IF(SUMPRODUCT(--ISNUMBER(SEARCH(","&amp;$A587&amp;",",'Parts list'!$Z$4:$Z$185)))&gt;0,1,0),0)</f>
        <v>0</v>
      </c>
    </row>
    <row r="588" spans="1:7" x14ac:dyDescent="0.2">
      <c r="A588" s="1" t="s">
        <v>561</v>
      </c>
      <c r="B588" s="104">
        <v>1</v>
      </c>
      <c r="C588" s="104">
        <v>1</v>
      </c>
      <c r="D588" s="1" t="s">
        <v>2629</v>
      </c>
      <c r="E588" s="4"/>
      <c r="F588" s="106">
        <f>IF(COUNTIF($A$4:$A588,$A588)=1,1,0)</f>
        <v>1</v>
      </c>
      <c r="G588" s="106" cm="1">
        <f t="array" ref="G588">IF($F588=1,IF(SUMPRODUCT(--ISNUMBER(SEARCH(","&amp;$A588&amp;",",'Parts list'!$Z$4:$Z$185)))&gt;0,1,0),0)</f>
        <v>1</v>
      </c>
    </row>
    <row r="589" spans="1:7" x14ac:dyDescent="0.2">
      <c r="A589" s="1" t="s">
        <v>561</v>
      </c>
      <c r="B589" s="104">
        <v>2</v>
      </c>
      <c r="C589" s="104">
        <v>2</v>
      </c>
      <c r="D589" s="1" t="s">
        <v>2168</v>
      </c>
      <c r="E589" s="4"/>
      <c r="F589" s="106">
        <f>IF(COUNTIF($A$4:$A589,$A589)=1,1,0)</f>
        <v>0</v>
      </c>
      <c r="G589" s="106" cm="1">
        <f t="array" ref="G589">IF($F589=1,IF(SUMPRODUCT(--ISNUMBER(SEARCH(","&amp;$A589&amp;",",'Parts list'!$Z$4:$Z$185)))&gt;0,1,0),0)</f>
        <v>0</v>
      </c>
    </row>
    <row r="590" spans="1:7" x14ac:dyDescent="0.2">
      <c r="A590" s="1" t="s">
        <v>565</v>
      </c>
      <c r="B590" s="104">
        <v>1</v>
      </c>
      <c r="C590" s="104">
        <v>1</v>
      </c>
      <c r="D590" s="1" t="s">
        <v>2626</v>
      </c>
      <c r="E590" s="4" t="s">
        <v>2812</v>
      </c>
      <c r="F590" s="106">
        <f>IF(COUNTIF($A$4:$A590,$A590)=1,1,0)</f>
        <v>1</v>
      </c>
      <c r="G590" s="106" cm="1">
        <f t="array" ref="G590">IF($F590=1,IF(SUMPRODUCT(--ISNUMBER(SEARCH(","&amp;$A590&amp;",",'Parts list'!$Z$4:$Z$185)))&gt;0,1,0),0)</f>
        <v>1</v>
      </c>
    </row>
    <row r="591" spans="1:7" x14ac:dyDescent="0.2">
      <c r="A591" s="1" t="s">
        <v>565</v>
      </c>
      <c r="B591" s="104">
        <v>2</v>
      </c>
      <c r="C591" s="104">
        <v>2</v>
      </c>
      <c r="D591" s="1" t="s">
        <v>2234</v>
      </c>
      <c r="E591" s="4"/>
      <c r="F591" s="106">
        <f>IF(COUNTIF($A$4:$A591,$A591)=1,1,0)</f>
        <v>0</v>
      </c>
      <c r="G591" s="106" cm="1">
        <f t="array" ref="G591">IF($F591=1,IF(SUMPRODUCT(--ISNUMBER(SEARCH(","&amp;$A591&amp;",",'Parts list'!$Z$4:$Z$185)))&gt;0,1,0),0)</f>
        <v>0</v>
      </c>
    </row>
    <row r="592" spans="1:7" x14ac:dyDescent="0.2">
      <c r="A592" s="1" t="s">
        <v>2813</v>
      </c>
      <c r="B592" s="104">
        <v>1</v>
      </c>
      <c r="C592" s="104">
        <v>1</v>
      </c>
      <c r="D592" s="1" t="s">
        <v>2280</v>
      </c>
      <c r="E592" s="4" t="s">
        <v>2814</v>
      </c>
      <c r="F592" s="106">
        <f>IF(COUNTIF($A$4:$A592,$A592)=1,1,0)</f>
        <v>1</v>
      </c>
      <c r="G592" s="106" cm="1">
        <f t="array" ref="G592">IF($F592=1,IF(SUMPRODUCT(--ISNUMBER(SEARCH(","&amp;$A592&amp;",",'Parts list'!$Z$4:$Z$185)))&gt;0,1,0),0)</f>
        <v>1</v>
      </c>
    </row>
    <row r="593" spans="1:7" x14ac:dyDescent="0.2">
      <c r="A593" s="1" t="s">
        <v>2813</v>
      </c>
      <c r="B593" s="104">
        <v>2</v>
      </c>
      <c r="C593" s="104">
        <v>2</v>
      </c>
      <c r="D593" s="1" t="s">
        <v>2302</v>
      </c>
      <c r="E593" s="4"/>
      <c r="F593" s="106">
        <f>IF(COUNTIF($A$4:$A593,$A593)=1,1,0)</f>
        <v>0</v>
      </c>
      <c r="G593" s="106" cm="1">
        <f t="array" ref="G593">IF($F593=1,IF(SUMPRODUCT(--ISNUMBER(SEARCH(","&amp;$A593&amp;",",'Parts list'!$Z$4:$Z$185)))&gt;0,1,0),0)</f>
        <v>0</v>
      </c>
    </row>
    <row r="594" spans="1:7" x14ac:dyDescent="0.2">
      <c r="A594" s="1" t="s">
        <v>2815</v>
      </c>
      <c r="B594" s="104">
        <v>1</v>
      </c>
      <c r="C594" s="104">
        <v>1</v>
      </c>
      <c r="D594" s="1" t="s">
        <v>2242</v>
      </c>
      <c r="E594" s="4" t="s">
        <v>2816</v>
      </c>
      <c r="F594" s="106">
        <f>IF(COUNTIF($A$4:$A594,$A594)=1,1,0)</f>
        <v>1</v>
      </c>
      <c r="G594" s="106" cm="1">
        <f t="array" ref="G594">IF($F594=1,IF(SUMPRODUCT(--ISNUMBER(SEARCH(","&amp;$A594&amp;",",'Parts list'!$Z$4:$Z$185)))&gt;0,1,0),0)</f>
        <v>1</v>
      </c>
    </row>
    <row r="595" spans="1:7" x14ac:dyDescent="0.2">
      <c r="A595" s="1" t="s">
        <v>2815</v>
      </c>
      <c r="B595" s="104">
        <v>2</v>
      </c>
      <c r="C595" s="104">
        <v>2</v>
      </c>
      <c r="D595" s="1" t="s">
        <v>2244</v>
      </c>
      <c r="E595" s="4"/>
      <c r="F595" s="106">
        <f>IF(COUNTIF($A$4:$A595,$A595)=1,1,0)</f>
        <v>0</v>
      </c>
      <c r="G595" s="106" cm="1">
        <f t="array" ref="G595">IF($F595=1,IF(SUMPRODUCT(--ISNUMBER(SEARCH(","&amp;$A595&amp;",",'Parts list'!$Z$4:$Z$185)))&gt;0,1,0),0)</f>
        <v>0</v>
      </c>
    </row>
    <row r="596" spans="1:7" x14ac:dyDescent="0.2">
      <c r="A596" s="1" t="s">
        <v>2817</v>
      </c>
      <c r="B596" s="104">
        <v>1</v>
      </c>
      <c r="C596" s="104">
        <v>1</v>
      </c>
      <c r="D596" s="1" t="s">
        <v>2283</v>
      </c>
      <c r="E596" s="4" t="s">
        <v>2818</v>
      </c>
      <c r="F596" s="106">
        <f>IF(COUNTIF($A$4:$A596,$A596)=1,1,0)</f>
        <v>1</v>
      </c>
      <c r="G596" s="106" cm="1">
        <f t="array" ref="G596">IF($F596=1,IF(SUMPRODUCT(--ISNUMBER(SEARCH(","&amp;$A596&amp;",",'Parts list'!$Z$4:$Z$185)))&gt;0,1,0),0)</f>
        <v>1</v>
      </c>
    </row>
    <row r="597" spans="1:7" x14ac:dyDescent="0.2">
      <c r="A597" s="1" t="s">
        <v>2817</v>
      </c>
      <c r="B597" s="104">
        <v>2</v>
      </c>
      <c r="C597" s="104">
        <v>2</v>
      </c>
      <c r="D597" s="1" t="s">
        <v>2305</v>
      </c>
      <c r="E597" s="4"/>
      <c r="F597" s="106">
        <f>IF(COUNTIF($A$4:$A597,$A597)=1,1,0)</f>
        <v>0</v>
      </c>
      <c r="G597" s="106" cm="1">
        <f t="array" ref="G597">IF($F597=1,IF(SUMPRODUCT(--ISNUMBER(SEARCH(","&amp;$A597&amp;",",'Parts list'!$Z$4:$Z$185)))&gt;0,1,0),0)</f>
        <v>0</v>
      </c>
    </row>
    <row r="598" spans="1:7" x14ac:dyDescent="0.2">
      <c r="A598" s="1" t="s">
        <v>2819</v>
      </c>
      <c r="B598" s="104">
        <v>1</v>
      </c>
      <c r="C598" s="104">
        <v>1</v>
      </c>
      <c r="D598" s="1" t="s">
        <v>2246</v>
      </c>
      <c r="E598" s="4" t="s">
        <v>2820</v>
      </c>
      <c r="F598" s="106">
        <f>IF(COUNTIF($A$4:$A598,$A598)=1,1,0)</f>
        <v>1</v>
      </c>
      <c r="G598" s="106" cm="1">
        <f t="array" ref="G598">IF($F598=1,IF(SUMPRODUCT(--ISNUMBER(SEARCH(","&amp;$A598&amp;",",'Parts list'!$Z$4:$Z$185)))&gt;0,1,0),0)</f>
        <v>1</v>
      </c>
    </row>
    <row r="599" spans="1:7" x14ac:dyDescent="0.2">
      <c r="A599" s="1" t="s">
        <v>2819</v>
      </c>
      <c r="B599" s="104">
        <v>2</v>
      </c>
      <c r="C599" s="104">
        <v>2</v>
      </c>
      <c r="D599" s="1" t="s">
        <v>2168</v>
      </c>
      <c r="E599" s="4"/>
      <c r="F599" s="106">
        <f>IF(COUNTIF($A$4:$A599,$A599)=1,1,0)</f>
        <v>0</v>
      </c>
      <c r="G599" s="106" cm="1">
        <f t="array" ref="G599">IF($F599=1,IF(SUMPRODUCT(--ISNUMBER(SEARCH(","&amp;$A599&amp;",",'Parts list'!$Z$4:$Z$185)))&gt;0,1,0),0)</f>
        <v>0</v>
      </c>
    </row>
    <row r="600" spans="1:7" x14ac:dyDescent="0.2">
      <c r="A600" s="1" t="s">
        <v>2821</v>
      </c>
      <c r="B600" s="104">
        <v>1</v>
      </c>
      <c r="C600" s="104">
        <v>1</v>
      </c>
      <c r="D600" s="1" t="s">
        <v>2283</v>
      </c>
      <c r="E600" s="4" t="s">
        <v>2814</v>
      </c>
      <c r="F600" s="106">
        <f>IF(COUNTIF($A$4:$A600,$A600)=1,1,0)</f>
        <v>1</v>
      </c>
      <c r="G600" s="106" cm="1">
        <f t="array" ref="G600">IF($F600=1,IF(SUMPRODUCT(--ISNUMBER(SEARCH(","&amp;$A600&amp;",",'Parts list'!$Z$4:$Z$185)))&gt;0,1,0),0)</f>
        <v>1</v>
      </c>
    </row>
    <row r="601" spans="1:7" x14ac:dyDescent="0.2">
      <c r="A601" s="1" t="s">
        <v>2821</v>
      </c>
      <c r="B601" s="104">
        <v>2</v>
      </c>
      <c r="C601" s="104">
        <v>2</v>
      </c>
      <c r="D601" s="1" t="s">
        <v>2307</v>
      </c>
      <c r="E601" s="4"/>
      <c r="F601" s="106">
        <f>IF(COUNTIF($A$4:$A601,$A601)=1,1,0)</f>
        <v>0</v>
      </c>
      <c r="G601" s="106" cm="1">
        <f t="array" ref="G601">IF($F601=1,IF(SUMPRODUCT(--ISNUMBER(SEARCH(","&amp;$A601&amp;",",'Parts list'!$Z$4:$Z$185)))&gt;0,1,0),0)</f>
        <v>0</v>
      </c>
    </row>
    <row r="602" spans="1:7" x14ac:dyDescent="0.2">
      <c r="A602" s="1" t="s">
        <v>2822</v>
      </c>
      <c r="B602" s="104">
        <v>1</v>
      </c>
      <c r="C602" s="104">
        <v>1</v>
      </c>
      <c r="D602" s="1" t="s">
        <v>2249</v>
      </c>
      <c r="E602" s="4" t="s">
        <v>2816</v>
      </c>
      <c r="F602" s="106">
        <f>IF(COUNTIF($A$4:$A602,$A602)=1,1,0)</f>
        <v>1</v>
      </c>
      <c r="G602" s="106" cm="1">
        <f t="array" ref="G602">IF($F602=1,IF(SUMPRODUCT(--ISNUMBER(SEARCH(","&amp;$A602&amp;",",'Parts list'!$Z$4:$Z$185)))&gt;0,1,0),0)</f>
        <v>1</v>
      </c>
    </row>
    <row r="603" spans="1:7" x14ac:dyDescent="0.2">
      <c r="A603" s="1" t="s">
        <v>2822</v>
      </c>
      <c r="B603" s="104">
        <v>2</v>
      </c>
      <c r="C603" s="104">
        <v>2</v>
      </c>
      <c r="D603" s="1" t="s">
        <v>2250</v>
      </c>
      <c r="E603" s="4"/>
      <c r="F603" s="106">
        <f>IF(COUNTIF($A$4:$A603,$A603)=1,1,0)</f>
        <v>0</v>
      </c>
      <c r="G603" s="106" cm="1">
        <f t="array" ref="G603">IF($F603=1,IF(SUMPRODUCT(--ISNUMBER(SEARCH(","&amp;$A603&amp;",",'Parts list'!$Z$4:$Z$185)))&gt;0,1,0),0)</f>
        <v>0</v>
      </c>
    </row>
    <row r="604" spans="1:7" x14ac:dyDescent="0.2">
      <c r="A604" s="1" t="s">
        <v>2823</v>
      </c>
      <c r="B604" s="104">
        <v>1</v>
      </c>
      <c r="C604" s="104">
        <v>1</v>
      </c>
      <c r="D604" s="1" t="s">
        <v>2280</v>
      </c>
      <c r="E604" s="4" t="s">
        <v>2818</v>
      </c>
      <c r="F604" s="106">
        <f>IF(COUNTIF($A$4:$A604,$A604)=1,1,0)</f>
        <v>1</v>
      </c>
      <c r="G604" s="106" cm="1">
        <f t="array" ref="G604">IF($F604=1,IF(SUMPRODUCT(--ISNUMBER(SEARCH(","&amp;$A604&amp;",",'Parts list'!$Z$4:$Z$185)))&gt;0,1,0),0)</f>
        <v>1</v>
      </c>
    </row>
    <row r="605" spans="1:7" x14ac:dyDescent="0.2">
      <c r="A605" s="1" t="s">
        <v>2823</v>
      </c>
      <c r="B605" s="104">
        <v>2</v>
      </c>
      <c r="C605" s="104">
        <v>2</v>
      </c>
      <c r="D605" s="1" t="s">
        <v>2309</v>
      </c>
      <c r="E605" s="4"/>
      <c r="F605" s="106">
        <f>IF(COUNTIF($A$4:$A605,$A605)=1,1,0)</f>
        <v>0</v>
      </c>
      <c r="G605" s="106" cm="1">
        <f t="array" ref="G605">IF($F605=1,IF(SUMPRODUCT(--ISNUMBER(SEARCH(","&amp;$A605&amp;",",'Parts list'!$Z$4:$Z$185)))&gt;0,1,0),0)</f>
        <v>0</v>
      </c>
    </row>
    <row r="606" spans="1:7" x14ac:dyDescent="0.2">
      <c r="A606" s="1" t="s">
        <v>2824</v>
      </c>
      <c r="B606" s="104">
        <v>1</v>
      </c>
      <c r="C606" s="104">
        <v>1</v>
      </c>
      <c r="D606" s="1" t="s">
        <v>2252</v>
      </c>
      <c r="E606" s="4" t="s">
        <v>2820</v>
      </c>
      <c r="F606" s="106">
        <f>IF(COUNTIF($A$4:$A606,$A606)=1,1,0)</f>
        <v>1</v>
      </c>
      <c r="G606" s="106" cm="1">
        <f t="array" ref="G606">IF($F606=1,IF(SUMPRODUCT(--ISNUMBER(SEARCH(","&amp;$A606&amp;",",'Parts list'!$Z$4:$Z$185)))&gt;0,1,0),0)</f>
        <v>1</v>
      </c>
    </row>
    <row r="607" spans="1:7" x14ac:dyDescent="0.2">
      <c r="A607" s="1" t="s">
        <v>2824</v>
      </c>
      <c r="B607" s="104">
        <v>2</v>
      </c>
      <c r="C607" s="104">
        <v>2</v>
      </c>
      <c r="D607" s="1" t="s">
        <v>2168</v>
      </c>
      <c r="E607" s="4"/>
      <c r="F607" s="106">
        <f>IF(COUNTIF($A$4:$A607,$A607)=1,1,0)</f>
        <v>0</v>
      </c>
      <c r="G607" s="106" cm="1">
        <f t="array" ref="G607">IF($F607=1,IF(SUMPRODUCT(--ISNUMBER(SEARCH(","&amp;$A607&amp;",",'Parts list'!$Z$4:$Z$185)))&gt;0,1,0),0)</f>
        <v>0</v>
      </c>
    </row>
    <row r="608" spans="1:7" x14ac:dyDescent="0.2">
      <c r="A608" s="1" t="s">
        <v>2825</v>
      </c>
      <c r="B608" s="104">
        <v>1</v>
      </c>
      <c r="C608" s="104">
        <v>1</v>
      </c>
      <c r="D608" s="1" t="s">
        <v>2286</v>
      </c>
      <c r="E608" s="4" t="s">
        <v>2814</v>
      </c>
      <c r="F608" s="106">
        <f>IF(COUNTIF($A$4:$A608,$A608)=1,1,0)</f>
        <v>1</v>
      </c>
      <c r="G608" s="106" cm="1">
        <f t="array" ref="G608">IF($F608=1,IF(SUMPRODUCT(--ISNUMBER(SEARCH(","&amp;$A608&amp;",",'Parts list'!$Z$4:$Z$185)))&gt;0,1,0),0)</f>
        <v>1</v>
      </c>
    </row>
    <row r="609" spans="1:7" x14ac:dyDescent="0.2">
      <c r="A609" s="1" t="s">
        <v>2825</v>
      </c>
      <c r="B609" s="104">
        <v>2</v>
      </c>
      <c r="C609" s="104">
        <v>2</v>
      </c>
      <c r="D609" s="1" t="s">
        <v>2311</v>
      </c>
      <c r="E609" s="4"/>
      <c r="F609" s="106">
        <f>IF(COUNTIF($A$4:$A609,$A609)=1,1,0)</f>
        <v>0</v>
      </c>
      <c r="G609" s="106" cm="1">
        <f t="array" ref="G609">IF($F609=1,IF(SUMPRODUCT(--ISNUMBER(SEARCH(","&amp;$A609&amp;",",'Parts list'!$Z$4:$Z$185)))&gt;0,1,0),0)</f>
        <v>0</v>
      </c>
    </row>
    <row r="610" spans="1:7" x14ac:dyDescent="0.2">
      <c r="A610" s="1" t="s">
        <v>2826</v>
      </c>
      <c r="B610" s="104">
        <v>1</v>
      </c>
      <c r="C610" s="104">
        <v>1</v>
      </c>
      <c r="D610" s="1" t="s">
        <v>2254</v>
      </c>
      <c r="E610" s="4" t="s">
        <v>2816</v>
      </c>
      <c r="F610" s="106">
        <f>IF(COUNTIF($A$4:$A610,$A610)=1,1,0)</f>
        <v>1</v>
      </c>
      <c r="G610" s="106" cm="1">
        <f t="array" ref="G610">IF($F610=1,IF(SUMPRODUCT(--ISNUMBER(SEARCH(","&amp;$A610&amp;",",'Parts list'!$Z$4:$Z$185)))&gt;0,1,0),0)</f>
        <v>1</v>
      </c>
    </row>
    <row r="611" spans="1:7" x14ac:dyDescent="0.2">
      <c r="A611" s="1" t="s">
        <v>2826</v>
      </c>
      <c r="B611" s="104">
        <v>2</v>
      </c>
      <c r="C611" s="104">
        <v>2</v>
      </c>
      <c r="D611" s="1" t="s">
        <v>2255</v>
      </c>
      <c r="E611" s="4"/>
      <c r="F611" s="106">
        <f>IF(COUNTIF($A$4:$A611,$A611)=1,1,0)</f>
        <v>0</v>
      </c>
      <c r="G611" s="106" cm="1">
        <f t="array" ref="G611">IF($F611=1,IF(SUMPRODUCT(--ISNUMBER(SEARCH(","&amp;$A611&amp;",",'Parts list'!$Z$4:$Z$185)))&gt;0,1,0),0)</f>
        <v>0</v>
      </c>
    </row>
    <row r="612" spans="1:7" x14ac:dyDescent="0.2">
      <c r="A612" s="1" t="s">
        <v>2827</v>
      </c>
      <c r="B612" s="104">
        <v>1</v>
      </c>
      <c r="C612" s="104">
        <v>1</v>
      </c>
      <c r="D612" s="1" t="s">
        <v>2289</v>
      </c>
      <c r="E612" s="4" t="s">
        <v>2818</v>
      </c>
      <c r="F612" s="106">
        <f>IF(COUNTIF($A$4:$A612,$A612)=1,1,0)</f>
        <v>1</v>
      </c>
      <c r="G612" s="106" cm="1">
        <f t="array" ref="G612">IF($F612=1,IF(SUMPRODUCT(--ISNUMBER(SEARCH(","&amp;$A612&amp;",",'Parts list'!$Z$4:$Z$185)))&gt;0,1,0),0)</f>
        <v>1</v>
      </c>
    </row>
    <row r="613" spans="1:7" x14ac:dyDescent="0.2">
      <c r="A613" s="1" t="s">
        <v>2827</v>
      </c>
      <c r="B613" s="104">
        <v>2</v>
      </c>
      <c r="C613" s="104">
        <v>2</v>
      </c>
      <c r="D613" s="1" t="s">
        <v>2313</v>
      </c>
      <c r="E613" s="4"/>
      <c r="F613" s="106">
        <f>IF(COUNTIF($A$4:$A613,$A613)=1,1,0)</f>
        <v>0</v>
      </c>
      <c r="G613" s="106" cm="1">
        <f t="array" ref="G613">IF($F613=1,IF(SUMPRODUCT(--ISNUMBER(SEARCH(","&amp;$A613&amp;",",'Parts list'!$Z$4:$Z$185)))&gt;0,1,0),0)</f>
        <v>0</v>
      </c>
    </row>
    <row r="614" spans="1:7" x14ac:dyDescent="0.2">
      <c r="A614" s="1" t="s">
        <v>2828</v>
      </c>
      <c r="B614" s="104">
        <v>1</v>
      </c>
      <c r="C614" s="104">
        <v>1</v>
      </c>
      <c r="D614" s="1" t="s">
        <v>2257</v>
      </c>
      <c r="E614" s="4" t="s">
        <v>2820</v>
      </c>
      <c r="F614" s="106">
        <f>IF(COUNTIF($A$4:$A614,$A614)=1,1,0)</f>
        <v>1</v>
      </c>
      <c r="G614" s="106" cm="1">
        <f t="array" ref="G614">IF($F614=1,IF(SUMPRODUCT(--ISNUMBER(SEARCH(","&amp;$A614&amp;",",'Parts list'!$Z$4:$Z$185)))&gt;0,1,0),0)</f>
        <v>1</v>
      </c>
    </row>
    <row r="615" spans="1:7" x14ac:dyDescent="0.2">
      <c r="A615" s="1" t="s">
        <v>2828</v>
      </c>
      <c r="B615" s="104">
        <v>2</v>
      </c>
      <c r="C615" s="104">
        <v>2</v>
      </c>
      <c r="D615" s="1" t="s">
        <v>2168</v>
      </c>
      <c r="E615" s="4"/>
      <c r="F615" s="106">
        <f>IF(COUNTIF($A$4:$A615,$A615)=1,1,0)</f>
        <v>0</v>
      </c>
      <c r="G615" s="106" cm="1">
        <f t="array" ref="G615">IF($F615=1,IF(SUMPRODUCT(--ISNUMBER(SEARCH(","&amp;$A615&amp;",",'Parts list'!$Z$4:$Z$185)))&gt;0,1,0),0)</f>
        <v>0</v>
      </c>
    </row>
    <row r="616" spans="1:7" x14ac:dyDescent="0.2">
      <c r="A616" s="1" t="s">
        <v>2829</v>
      </c>
      <c r="B616" s="104">
        <v>1</v>
      </c>
      <c r="C616" s="104">
        <v>1</v>
      </c>
      <c r="D616" s="1" t="s">
        <v>2289</v>
      </c>
      <c r="E616" s="4" t="s">
        <v>2814</v>
      </c>
      <c r="F616" s="106">
        <f>IF(COUNTIF($A$4:$A616,$A616)=1,1,0)</f>
        <v>1</v>
      </c>
      <c r="G616" s="106" cm="1">
        <f t="array" ref="G616">IF($F616=1,IF(SUMPRODUCT(--ISNUMBER(SEARCH(","&amp;$A616&amp;",",'Parts list'!$Z$4:$Z$185)))&gt;0,1,0),0)</f>
        <v>1</v>
      </c>
    </row>
    <row r="617" spans="1:7" x14ac:dyDescent="0.2">
      <c r="A617" s="1" t="s">
        <v>2829</v>
      </c>
      <c r="B617" s="104">
        <v>2</v>
      </c>
      <c r="C617" s="104">
        <v>2</v>
      </c>
      <c r="D617" s="1" t="s">
        <v>2315</v>
      </c>
      <c r="E617" s="4"/>
      <c r="F617" s="106">
        <f>IF(COUNTIF($A$4:$A617,$A617)=1,1,0)</f>
        <v>0</v>
      </c>
      <c r="G617" s="106" cm="1">
        <f t="array" ref="G617">IF($F617=1,IF(SUMPRODUCT(--ISNUMBER(SEARCH(","&amp;$A617&amp;",",'Parts list'!$Z$4:$Z$185)))&gt;0,1,0),0)</f>
        <v>0</v>
      </c>
    </row>
    <row r="618" spans="1:7" x14ac:dyDescent="0.2">
      <c r="A618" s="1" t="s">
        <v>2830</v>
      </c>
      <c r="B618" s="104">
        <v>1</v>
      </c>
      <c r="C618" s="104">
        <v>1</v>
      </c>
      <c r="D618" s="1" t="s">
        <v>2259</v>
      </c>
      <c r="E618" s="4" t="s">
        <v>2816</v>
      </c>
      <c r="F618" s="106">
        <f>IF(COUNTIF($A$4:$A618,$A618)=1,1,0)</f>
        <v>1</v>
      </c>
      <c r="G618" s="106" cm="1">
        <f t="array" ref="G618">IF($F618=1,IF(SUMPRODUCT(--ISNUMBER(SEARCH(","&amp;$A618&amp;",",'Parts list'!$Z$4:$Z$185)))&gt;0,1,0),0)</f>
        <v>1</v>
      </c>
    </row>
    <row r="619" spans="1:7" x14ac:dyDescent="0.2">
      <c r="A619" s="1" t="s">
        <v>2830</v>
      </c>
      <c r="B619" s="104">
        <v>2</v>
      </c>
      <c r="C619" s="104">
        <v>2</v>
      </c>
      <c r="D619" s="1" t="s">
        <v>2260</v>
      </c>
      <c r="E619" s="4"/>
      <c r="F619" s="106">
        <f>IF(COUNTIF($A$4:$A619,$A619)=1,1,0)</f>
        <v>0</v>
      </c>
      <c r="G619" s="106" cm="1">
        <f t="array" ref="G619">IF($F619=1,IF(SUMPRODUCT(--ISNUMBER(SEARCH(","&amp;$A619&amp;",",'Parts list'!$Z$4:$Z$185)))&gt;0,1,0),0)</f>
        <v>0</v>
      </c>
    </row>
    <row r="620" spans="1:7" x14ac:dyDescent="0.2">
      <c r="A620" s="1" t="s">
        <v>2831</v>
      </c>
      <c r="B620" s="104">
        <v>1</v>
      </c>
      <c r="C620" s="104">
        <v>1</v>
      </c>
      <c r="D620" s="1" t="s">
        <v>2286</v>
      </c>
      <c r="E620" s="4" t="s">
        <v>2818</v>
      </c>
      <c r="F620" s="106">
        <f>IF(COUNTIF($A$4:$A620,$A620)=1,1,0)</f>
        <v>1</v>
      </c>
      <c r="G620" s="106" cm="1">
        <f t="array" ref="G620">IF($F620=1,IF(SUMPRODUCT(--ISNUMBER(SEARCH(","&amp;$A620&amp;",",'Parts list'!$Z$4:$Z$185)))&gt;0,1,0),0)</f>
        <v>1</v>
      </c>
    </row>
    <row r="621" spans="1:7" x14ac:dyDescent="0.2">
      <c r="A621" s="1" t="s">
        <v>2831</v>
      </c>
      <c r="B621" s="104">
        <v>2</v>
      </c>
      <c r="C621" s="104">
        <v>2</v>
      </c>
      <c r="D621" s="1" t="s">
        <v>2317</v>
      </c>
      <c r="E621" s="4"/>
      <c r="F621" s="106">
        <f>IF(COUNTIF($A$4:$A621,$A621)=1,1,0)</f>
        <v>0</v>
      </c>
      <c r="G621" s="106" cm="1">
        <f t="array" ref="G621">IF($F621=1,IF(SUMPRODUCT(--ISNUMBER(SEARCH(","&amp;$A621&amp;",",'Parts list'!$Z$4:$Z$185)))&gt;0,1,0),0)</f>
        <v>0</v>
      </c>
    </row>
    <row r="622" spans="1:7" x14ac:dyDescent="0.2">
      <c r="A622" s="1" t="s">
        <v>2832</v>
      </c>
      <c r="B622" s="104">
        <v>1</v>
      </c>
      <c r="C622" s="104">
        <v>1</v>
      </c>
      <c r="D622" s="1" t="s">
        <v>2262</v>
      </c>
      <c r="E622" s="4" t="s">
        <v>2820</v>
      </c>
      <c r="F622" s="106">
        <f>IF(COUNTIF($A$4:$A622,$A622)=1,1,0)</f>
        <v>1</v>
      </c>
      <c r="G622" s="106" cm="1">
        <f t="array" ref="G622">IF($F622=1,IF(SUMPRODUCT(--ISNUMBER(SEARCH(","&amp;$A622&amp;",",'Parts list'!$Z$4:$Z$185)))&gt;0,1,0),0)</f>
        <v>1</v>
      </c>
    </row>
    <row r="623" spans="1:7" x14ac:dyDescent="0.2">
      <c r="A623" s="1" t="s">
        <v>2832</v>
      </c>
      <c r="B623" s="104">
        <v>2</v>
      </c>
      <c r="C623" s="104">
        <v>2</v>
      </c>
      <c r="D623" s="1" t="s">
        <v>2168</v>
      </c>
      <c r="E623" s="4"/>
      <c r="F623" s="106">
        <f>IF(COUNTIF($A$4:$A623,$A623)=1,1,0)</f>
        <v>0</v>
      </c>
      <c r="G623" s="106" cm="1">
        <f t="array" ref="G623">IF($F623=1,IF(SUMPRODUCT(--ISNUMBER(SEARCH(","&amp;$A623&amp;",",'Parts list'!$Z$4:$Z$185)))&gt;0,1,0),0)</f>
        <v>0</v>
      </c>
    </row>
    <row r="624" spans="1:7" ht="27.75" customHeight="1" x14ac:dyDescent="0.2">
      <c r="A624" s="1" t="s">
        <v>2833</v>
      </c>
      <c r="B624" s="104">
        <v>1</v>
      </c>
      <c r="C624" s="104">
        <v>1</v>
      </c>
      <c r="D624" s="1" t="s">
        <v>2244</v>
      </c>
      <c r="E624" s="4" t="s">
        <v>2834</v>
      </c>
      <c r="F624" s="106">
        <f>IF(COUNTIF($A$4:$A624,$A624)=1,1,0)</f>
        <v>1</v>
      </c>
      <c r="G624" s="106" cm="1">
        <f t="array" ref="G624">IF($F624=1,IF(SUMPRODUCT(--ISNUMBER(SEARCH(","&amp;$A624&amp;",",'Parts list'!$Z$4:$Z$185)))&gt;0,1,0),0)</f>
        <v>1</v>
      </c>
    </row>
    <row r="625" spans="1:7" x14ac:dyDescent="0.2">
      <c r="A625" s="1" t="s">
        <v>2833</v>
      </c>
      <c r="B625" s="104">
        <v>2</v>
      </c>
      <c r="C625" s="104">
        <v>2</v>
      </c>
      <c r="D625" s="1" t="s">
        <v>2607</v>
      </c>
      <c r="E625" s="4"/>
      <c r="F625" s="106">
        <f>IF(COUNTIF($A$4:$A625,$A625)=1,1,0)</f>
        <v>0</v>
      </c>
      <c r="G625" s="106" cm="1">
        <f t="array" ref="G625">IF($F625=1,IF(SUMPRODUCT(--ISNUMBER(SEARCH(","&amp;$A625&amp;",",'Parts list'!$Z$4:$Z$185)))&gt;0,1,0),0)</f>
        <v>0</v>
      </c>
    </row>
    <row r="626" spans="1:7" ht="27.75" customHeight="1" x14ac:dyDescent="0.2">
      <c r="A626" s="1" t="s">
        <v>2835</v>
      </c>
      <c r="B626" s="104">
        <v>1</v>
      </c>
      <c r="C626" s="104">
        <v>1</v>
      </c>
      <c r="D626" s="1" t="s">
        <v>2250</v>
      </c>
      <c r="E626" s="4" t="s">
        <v>2836</v>
      </c>
      <c r="F626" s="106">
        <f>IF(COUNTIF($A$4:$A626,$A626)=1,1,0)</f>
        <v>1</v>
      </c>
      <c r="G626" s="106" cm="1">
        <f t="array" ref="G626">IF($F626=1,IF(SUMPRODUCT(--ISNUMBER(SEARCH(","&amp;$A626&amp;",",'Parts list'!$Z$4:$Z$185)))&gt;0,1,0),0)</f>
        <v>1</v>
      </c>
    </row>
    <row r="627" spans="1:7" x14ac:dyDescent="0.2">
      <c r="A627" s="1" t="s">
        <v>2835</v>
      </c>
      <c r="B627" s="104">
        <v>2</v>
      </c>
      <c r="C627" s="104">
        <v>2</v>
      </c>
      <c r="D627" s="1" t="s">
        <v>2612</v>
      </c>
      <c r="E627" s="4"/>
      <c r="F627" s="106">
        <f>IF(COUNTIF($A$4:$A627,$A627)=1,1,0)</f>
        <v>0</v>
      </c>
      <c r="G627" s="106" cm="1">
        <f t="array" ref="G627">IF($F627=1,IF(SUMPRODUCT(--ISNUMBER(SEARCH(","&amp;$A627&amp;",",'Parts list'!$Z$4:$Z$185)))&gt;0,1,0),0)</f>
        <v>0</v>
      </c>
    </row>
    <row r="628" spans="1:7" ht="27.75" customHeight="1" x14ac:dyDescent="0.2">
      <c r="A628" s="1" t="s">
        <v>2837</v>
      </c>
      <c r="B628" s="104">
        <v>1</v>
      </c>
      <c r="C628" s="104">
        <v>1</v>
      </c>
      <c r="D628" s="1" t="s">
        <v>2255</v>
      </c>
      <c r="E628" s="4" t="s">
        <v>2838</v>
      </c>
      <c r="F628" s="106">
        <f>IF(COUNTIF($A$4:$A628,$A628)=1,1,0)</f>
        <v>1</v>
      </c>
      <c r="G628" s="106" cm="1">
        <f t="array" ref="G628">IF($F628=1,IF(SUMPRODUCT(--ISNUMBER(SEARCH(","&amp;$A628&amp;",",'Parts list'!$Z$4:$Z$185)))&gt;0,1,0),0)</f>
        <v>1</v>
      </c>
    </row>
    <row r="629" spans="1:7" x14ac:dyDescent="0.2">
      <c r="A629" s="1" t="s">
        <v>2837</v>
      </c>
      <c r="B629" s="104">
        <v>2</v>
      </c>
      <c r="C629" s="104">
        <v>2</v>
      </c>
      <c r="D629" s="1" t="s">
        <v>2616</v>
      </c>
      <c r="E629" s="4"/>
      <c r="F629" s="106">
        <f>IF(COUNTIF($A$4:$A629,$A629)=1,1,0)</f>
        <v>0</v>
      </c>
      <c r="G629" s="106" cm="1">
        <f t="array" ref="G629">IF($F629=1,IF(SUMPRODUCT(--ISNUMBER(SEARCH(","&amp;$A629&amp;",",'Parts list'!$Z$4:$Z$185)))&gt;0,1,0),0)</f>
        <v>0</v>
      </c>
    </row>
    <row r="630" spans="1:7" ht="27.75" customHeight="1" x14ac:dyDescent="0.2">
      <c r="A630" s="1" t="s">
        <v>2839</v>
      </c>
      <c r="B630" s="104">
        <v>1</v>
      </c>
      <c r="C630" s="104">
        <v>1</v>
      </c>
      <c r="D630" s="1" t="s">
        <v>2260</v>
      </c>
      <c r="E630" s="4" t="s">
        <v>2840</v>
      </c>
      <c r="F630" s="106">
        <f>IF(COUNTIF($A$4:$A630,$A630)=1,1,0)</f>
        <v>1</v>
      </c>
      <c r="G630" s="106" cm="1">
        <f t="array" ref="G630">IF($F630=1,IF(SUMPRODUCT(--ISNUMBER(SEARCH(","&amp;$A630&amp;",",'Parts list'!$Z$4:$Z$185)))&gt;0,1,0),0)</f>
        <v>1</v>
      </c>
    </row>
    <row r="631" spans="1:7" x14ac:dyDescent="0.2">
      <c r="A631" s="1" t="s">
        <v>2839</v>
      </c>
      <c r="B631" s="104">
        <v>2</v>
      </c>
      <c r="C631" s="104">
        <v>2</v>
      </c>
      <c r="D631" s="1" t="s">
        <v>2620</v>
      </c>
      <c r="E631" s="4"/>
      <c r="F631" s="106">
        <f>IF(COUNTIF($A$4:$A631,$A631)=1,1,0)</f>
        <v>0</v>
      </c>
      <c r="G631" s="106" cm="1">
        <f t="array" ref="G631">IF($F631=1,IF(SUMPRODUCT(--ISNUMBER(SEARCH(","&amp;$A631&amp;",",'Parts list'!$Z$4:$Z$185)))&gt;0,1,0),0)</f>
        <v>0</v>
      </c>
    </row>
    <row r="632" spans="1:7" x14ac:dyDescent="0.2">
      <c r="A632" s="1" t="s">
        <v>2841</v>
      </c>
      <c r="B632" s="104">
        <v>1</v>
      </c>
      <c r="C632" s="104">
        <v>1</v>
      </c>
      <c r="D632" s="1" t="s">
        <v>2278</v>
      </c>
      <c r="E632" s="4" t="s">
        <v>2842</v>
      </c>
      <c r="F632" s="106">
        <f>IF(COUNTIF($A$4:$A632,$A632)=1,1,0)</f>
        <v>1</v>
      </c>
      <c r="G632" s="106" cm="1">
        <f t="array" ref="G632">IF($F632=1,IF(SUMPRODUCT(--ISNUMBER(SEARCH(","&amp;$A632&amp;",",'Parts list'!$Z$4:$Z$185)))&gt;0,1,0),0)</f>
        <v>1</v>
      </c>
    </row>
    <row r="633" spans="1:7" x14ac:dyDescent="0.2">
      <c r="A633" s="1" t="s">
        <v>2841</v>
      </c>
      <c r="B633" s="104">
        <v>2</v>
      </c>
      <c r="C633" s="104">
        <v>2</v>
      </c>
      <c r="D633" s="1" t="s">
        <v>2280</v>
      </c>
      <c r="E633" s="4"/>
      <c r="F633" s="106">
        <f>IF(COUNTIF($A$4:$A633,$A633)=1,1,0)</f>
        <v>0</v>
      </c>
      <c r="G633" s="106" cm="1">
        <f t="array" ref="G633">IF($F633=1,IF(SUMPRODUCT(--ISNUMBER(SEARCH(","&amp;$A633&amp;",",'Parts list'!$Z$4:$Z$185)))&gt;0,1,0),0)</f>
        <v>0</v>
      </c>
    </row>
    <row r="634" spans="1:7" x14ac:dyDescent="0.2">
      <c r="A634" s="1" t="s">
        <v>2843</v>
      </c>
      <c r="B634" s="104">
        <v>1</v>
      </c>
      <c r="C634" s="104">
        <v>1</v>
      </c>
      <c r="D634" s="1" t="s">
        <v>2282</v>
      </c>
      <c r="E634" s="4" t="s">
        <v>2842</v>
      </c>
      <c r="F634" s="106">
        <f>IF(COUNTIF($A$4:$A634,$A634)=1,1,0)</f>
        <v>1</v>
      </c>
      <c r="G634" s="106" cm="1">
        <f t="array" ref="G634">IF($F634=1,IF(SUMPRODUCT(--ISNUMBER(SEARCH(","&amp;$A634&amp;",",'Parts list'!$Z$4:$Z$185)))&gt;0,1,0),0)</f>
        <v>1</v>
      </c>
    </row>
    <row r="635" spans="1:7" x14ac:dyDescent="0.2">
      <c r="A635" s="1" t="s">
        <v>2843</v>
      </c>
      <c r="B635" s="104">
        <v>2</v>
      </c>
      <c r="C635" s="104">
        <v>2</v>
      </c>
      <c r="D635" s="1" t="s">
        <v>2283</v>
      </c>
      <c r="E635" s="4"/>
      <c r="F635" s="106">
        <f>IF(COUNTIF($A$4:$A635,$A635)=1,1,0)</f>
        <v>0</v>
      </c>
      <c r="G635" s="106" cm="1">
        <f t="array" ref="G635">IF($F635=1,IF(SUMPRODUCT(--ISNUMBER(SEARCH(","&amp;$A635&amp;",",'Parts list'!$Z$4:$Z$185)))&gt;0,1,0),0)</f>
        <v>0</v>
      </c>
    </row>
    <row r="636" spans="1:7" x14ac:dyDescent="0.2">
      <c r="A636" s="1" t="s">
        <v>2844</v>
      </c>
      <c r="B636" s="104">
        <v>1</v>
      </c>
      <c r="C636" s="104">
        <v>1</v>
      </c>
      <c r="D636" s="1" t="s">
        <v>2285</v>
      </c>
      <c r="E636" s="4" t="s">
        <v>2842</v>
      </c>
      <c r="F636" s="106">
        <f>IF(COUNTIF($A$4:$A636,$A636)=1,1,0)</f>
        <v>1</v>
      </c>
      <c r="G636" s="106" cm="1">
        <f t="array" ref="G636">IF($F636=1,IF(SUMPRODUCT(--ISNUMBER(SEARCH(","&amp;$A636&amp;",",'Parts list'!$Z$4:$Z$185)))&gt;0,1,0),0)</f>
        <v>1</v>
      </c>
    </row>
    <row r="637" spans="1:7" x14ac:dyDescent="0.2">
      <c r="A637" s="1" t="s">
        <v>2844</v>
      </c>
      <c r="B637" s="104">
        <v>2</v>
      </c>
      <c r="C637" s="104">
        <v>2</v>
      </c>
      <c r="D637" s="1" t="s">
        <v>2286</v>
      </c>
      <c r="E637" s="4"/>
      <c r="F637" s="106">
        <f>IF(COUNTIF($A$4:$A637,$A637)=1,1,0)</f>
        <v>0</v>
      </c>
      <c r="G637" s="106" cm="1">
        <f t="array" ref="G637">IF($F637=1,IF(SUMPRODUCT(--ISNUMBER(SEARCH(","&amp;$A637&amp;",",'Parts list'!$Z$4:$Z$185)))&gt;0,1,0),0)</f>
        <v>0</v>
      </c>
    </row>
    <row r="638" spans="1:7" x14ac:dyDescent="0.2">
      <c r="A638" s="1" t="s">
        <v>2845</v>
      </c>
      <c r="B638" s="104">
        <v>1</v>
      </c>
      <c r="C638" s="104">
        <v>1</v>
      </c>
      <c r="D638" s="1" t="s">
        <v>2288</v>
      </c>
      <c r="E638" s="4" t="s">
        <v>2842</v>
      </c>
      <c r="F638" s="106">
        <f>IF(COUNTIF($A$4:$A638,$A638)=1,1,0)</f>
        <v>1</v>
      </c>
      <c r="G638" s="106" cm="1">
        <f t="array" ref="G638">IF($F638=1,IF(SUMPRODUCT(--ISNUMBER(SEARCH(","&amp;$A638&amp;",",'Parts list'!$Z$4:$Z$185)))&gt;0,1,0),0)</f>
        <v>1</v>
      </c>
    </row>
    <row r="639" spans="1:7" x14ac:dyDescent="0.2">
      <c r="A639" s="1" t="s">
        <v>2845</v>
      </c>
      <c r="B639" s="104">
        <v>2</v>
      </c>
      <c r="C639" s="104">
        <v>2</v>
      </c>
      <c r="D639" s="1" t="s">
        <v>2289</v>
      </c>
      <c r="E639" s="4"/>
      <c r="F639" s="106">
        <f>IF(COUNTIF($A$4:$A639,$A639)=1,1,0)</f>
        <v>0</v>
      </c>
      <c r="G639" s="106" cm="1">
        <f t="array" ref="G639">IF($F639=1,IF(SUMPRODUCT(--ISNUMBER(SEARCH(","&amp;$A639&amp;",",'Parts list'!$Z$4:$Z$185)))&gt;0,1,0),0)</f>
        <v>0</v>
      </c>
    </row>
    <row r="640" spans="1:7" x14ac:dyDescent="0.2">
      <c r="A640" s="1" t="s">
        <v>739</v>
      </c>
      <c r="B640" s="104">
        <v>1</v>
      </c>
      <c r="C640" s="104">
        <v>1</v>
      </c>
      <c r="D640" s="1" t="s">
        <v>2221</v>
      </c>
      <c r="E640" s="4" t="s">
        <v>2846</v>
      </c>
      <c r="F640" s="106">
        <f>IF(COUNTIF($A$4:$A640,$A640)=1,1,0)</f>
        <v>1</v>
      </c>
      <c r="G640" s="106" cm="1">
        <f t="array" ref="G640">IF($F640=1,IF(SUMPRODUCT(--ISNUMBER(SEARCH(","&amp;$A640&amp;",",'Parts list'!$Z$4:$Z$185)))&gt;0,1,0),0)</f>
        <v>1</v>
      </c>
    </row>
    <row r="641" spans="1:7" x14ac:dyDescent="0.2">
      <c r="A641" s="1" t="s">
        <v>739</v>
      </c>
      <c r="B641" s="104">
        <v>2</v>
      </c>
      <c r="C641" s="104">
        <v>2</v>
      </c>
      <c r="D641" s="1" t="s">
        <v>2290</v>
      </c>
      <c r="E641" s="4"/>
      <c r="F641" s="106">
        <f>IF(COUNTIF($A$4:$A641,$A641)=1,1,0)</f>
        <v>0</v>
      </c>
      <c r="G641" s="106" cm="1">
        <f t="array" ref="G641">IF($F641=1,IF(SUMPRODUCT(--ISNUMBER(SEARCH(","&amp;$A641&amp;",",'Parts list'!$Z$4:$Z$185)))&gt;0,1,0),0)</f>
        <v>0</v>
      </c>
    </row>
    <row r="642" spans="1:7" x14ac:dyDescent="0.2">
      <c r="A642" s="1" t="s">
        <v>748</v>
      </c>
      <c r="B642" s="104">
        <v>1</v>
      </c>
      <c r="C642" s="104">
        <v>1</v>
      </c>
      <c r="D642" s="1" t="s">
        <v>2290</v>
      </c>
      <c r="E642" s="4" t="s">
        <v>2847</v>
      </c>
      <c r="F642" s="106">
        <f>IF(COUNTIF($A$4:$A642,$A642)=1,1,0)</f>
        <v>1</v>
      </c>
      <c r="G642" s="106" cm="1">
        <f t="array" ref="G642">IF($F642=1,IF(SUMPRODUCT(--ISNUMBER(SEARCH(","&amp;$A642&amp;",",'Parts list'!$Z$4:$Z$185)))&gt;0,1,0),0)</f>
        <v>1</v>
      </c>
    </row>
    <row r="643" spans="1:7" x14ac:dyDescent="0.2">
      <c r="A643" s="1" t="s">
        <v>748</v>
      </c>
      <c r="B643" s="104">
        <v>2</v>
      </c>
      <c r="C643" s="104">
        <v>2</v>
      </c>
      <c r="D643" s="1" t="s">
        <v>2168</v>
      </c>
      <c r="E643" s="4"/>
      <c r="F643" s="106">
        <f>IF(COUNTIF($A$4:$A643,$A643)=1,1,0)</f>
        <v>0</v>
      </c>
      <c r="G643" s="106" cm="1">
        <f t="array" ref="G643">IF($F643=1,IF(SUMPRODUCT(--ISNUMBER(SEARCH(","&amp;$A643&amp;",",'Parts list'!$Z$4:$Z$185)))&gt;0,1,0),0)</f>
        <v>0</v>
      </c>
    </row>
    <row r="644" spans="1:7" x14ac:dyDescent="0.2">
      <c r="A644" s="1" t="s">
        <v>2848</v>
      </c>
      <c r="B644" s="104">
        <v>1</v>
      </c>
      <c r="C644" s="104">
        <v>1</v>
      </c>
      <c r="D644" s="1" t="s">
        <v>2302</v>
      </c>
      <c r="E644" s="4" t="s">
        <v>2849</v>
      </c>
      <c r="F644" s="106">
        <f>IF(COUNTIF($A$4:$A644,$A644)=1,1,0)</f>
        <v>1</v>
      </c>
      <c r="G644" s="106" cm="1">
        <f t="array" ref="G644">IF($F644=1,IF(SUMPRODUCT(--ISNUMBER(SEARCH(","&amp;$A644&amp;",",'Parts list'!$Z$4:$Z$185)))&gt;0,1,0),0)</f>
        <v>1</v>
      </c>
    </row>
    <row r="645" spans="1:7" x14ac:dyDescent="0.2">
      <c r="A645" s="1" t="s">
        <v>2848</v>
      </c>
      <c r="B645" s="104">
        <v>2</v>
      </c>
      <c r="C645" s="104">
        <v>2</v>
      </c>
      <c r="D645" s="1" t="s">
        <v>2242</v>
      </c>
      <c r="E645" s="4"/>
      <c r="F645" s="106">
        <f>IF(COUNTIF($A$4:$A645,$A645)=1,1,0)</f>
        <v>0</v>
      </c>
      <c r="G645" s="106" cm="1">
        <f t="array" ref="G645">IF($F645=1,IF(SUMPRODUCT(--ISNUMBER(SEARCH(","&amp;$A645&amp;",",'Parts list'!$Z$4:$Z$185)))&gt;0,1,0),0)</f>
        <v>0</v>
      </c>
    </row>
    <row r="646" spans="1:7" x14ac:dyDescent="0.2">
      <c r="A646" s="1" t="s">
        <v>2850</v>
      </c>
      <c r="B646" s="104">
        <v>1</v>
      </c>
      <c r="C646" s="104">
        <v>1</v>
      </c>
      <c r="D646" s="1" t="s">
        <v>2305</v>
      </c>
      <c r="E646" s="4" t="s">
        <v>2851</v>
      </c>
      <c r="F646" s="106">
        <f>IF(COUNTIF($A$4:$A646,$A646)=1,1,0)</f>
        <v>1</v>
      </c>
      <c r="G646" s="106" cm="1">
        <f t="array" ref="G646">IF($F646=1,IF(SUMPRODUCT(--ISNUMBER(SEARCH(","&amp;$A646&amp;",",'Parts list'!$Z$4:$Z$185)))&gt;0,1,0),0)</f>
        <v>1</v>
      </c>
    </row>
    <row r="647" spans="1:7" x14ac:dyDescent="0.2">
      <c r="A647" s="1" t="s">
        <v>2850</v>
      </c>
      <c r="B647" s="104">
        <v>2</v>
      </c>
      <c r="C647" s="104">
        <v>2</v>
      </c>
      <c r="D647" s="1" t="s">
        <v>2246</v>
      </c>
      <c r="E647" s="4"/>
      <c r="F647" s="106">
        <f>IF(COUNTIF($A$4:$A647,$A647)=1,1,0)</f>
        <v>0</v>
      </c>
      <c r="G647" s="106" cm="1">
        <f t="array" ref="G647">IF($F647=1,IF(SUMPRODUCT(--ISNUMBER(SEARCH(","&amp;$A647&amp;",",'Parts list'!$Z$4:$Z$185)))&gt;0,1,0),0)</f>
        <v>0</v>
      </c>
    </row>
    <row r="648" spans="1:7" x14ac:dyDescent="0.2">
      <c r="A648" s="1" t="s">
        <v>2852</v>
      </c>
      <c r="B648" s="104">
        <v>1</v>
      </c>
      <c r="C648" s="104">
        <v>1</v>
      </c>
      <c r="D648" s="1" t="s">
        <v>2307</v>
      </c>
      <c r="E648" s="4" t="s">
        <v>2849</v>
      </c>
      <c r="F648" s="106">
        <f>IF(COUNTIF($A$4:$A648,$A648)=1,1,0)</f>
        <v>1</v>
      </c>
      <c r="G648" s="106" cm="1">
        <f t="array" ref="G648">IF($F648=1,IF(SUMPRODUCT(--ISNUMBER(SEARCH(","&amp;$A648&amp;",",'Parts list'!$Z$4:$Z$185)))&gt;0,1,0),0)</f>
        <v>1</v>
      </c>
    </row>
    <row r="649" spans="1:7" x14ac:dyDescent="0.2">
      <c r="A649" s="1" t="s">
        <v>2852</v>
      </c>
      <c r="B649" s="104">
        <v>2</v>
      </c>
      <c r="C649" s="104">
        <v>2</v>
      </c>
      <c r="D649" s="1" t="s">
        <v>2249</v>
      </c>
      <c r="E649" s="4"/>
      <c r="F649" s="106">
        <f>IF(COUNTIF($A$4:$A649,$A649)=1,1,0)</f>
        <v>0</v>
      </c>
      <c r="G649" s="106" cm="1">
        <f t="array" ref="G649">IF($F649=1,IF(SUMPRODUCT(--ISNUMBER(SEARCH(","&amp;$A649&amp;",",'Parts list'!$Z$4:$Z$185)))&gt;0,1,0),0)</f>
        <v>0</v>
      </c>
    </row>
    <row r="650" spans="1:7" x14ac:dyDescent="0.2">
      <c r="A650" s="1" t="s">
        <v>2853</v>
      </c>
      <c r="B650" s="104">
        <v>1</v>
      </c>
      <c r="C650" s="104">
        <v>1</v>
      </c>
      <c r="D650" s="1" t="s">
        <v>2309</v>
      </c>
      <c r="E650" s="4" t="s">
        <v>2851</v>
      </c>
      <c r="F650" s="106">
        <f>IF(COUNTIF($A$4:$A650,$A650)=1,1,0)</f>
        <v>1</v>
      </c>
      <c r="G650" s="106" cm="1">
        <f t="array" ref="G650">IF($F650=1,IF(SUMPRODUCT(--ISNUMBER(SEARCH(","&amp;$A650&amp;",",'Parts list'!$Z$4:$Z$185)))&gt;0,1,0),0)</f>
        <v>1</v>
      </c>
    </row>
    <row r="651" spans="1:7" x14ac:dyDescent="0.2">
      <c r="A651" s="1" t="s">
        <v>2853</v>
      </c>
      <c r="B651" s="104">
        <v>2</v>
      </c>
      <c r="C651" s="104">
        <v>2</v>
      </c>
      <c r="D651" s="1" t="s">
        <v>2252</v>
      </c>
      <c r="E651" s="4"/>
      <c r="F651" s="106">
        <f>IF(COUNTIF($A$4:$A651,$A651)=1,1,0)</f>
        <v>0</v>
      </c>
      <c r="G651" s="106" cm="1">
        <f t="array" ref="G651">IF($F651=1,IF(SUMPRODUCT(--ISNUMBER(SEARCH(","&amp;$A651&amp;",",'Parts list'!$Z$4:$Z$185)))&gt;0,1,0),0)</f>
        <v>0</v>
      </c>
    </row>
    <row r="652" spans="1:7" x14ac:dyDescent="0.2">
      <c r="A652" s="1" t="s">
        <v>2854</v>
      </c>
      <c r="B652" s="104">
        <v>1</v>
      </c>
      <c r="C652" s="104">
        <v>1</v>
      </c>
      <c r="D652" s="1" t="s">
        <v>2311</v>
      </c>
      <c r="E652" s="4" t="s">
        <v>2849</v>
      </c>
      <c r="F652" s="106">
        <f>IF(COUNTIF($A$4:$A652,$A652)=1,1,0)</f>
        <v>1</v>
      </c>
      <c r="G652" s="106" cm="1">
        <f t="array" ref="G652">IF($F652=1,IF(SUMPRODUCT(--ISNUMBER(SEARCH(","&amp;$A652&amp;",",'Parts list'!$Z$4:$Z$185)))&gt;0,1,0),0)</f>
        <v>1</v>
      </c>
    </row>
    <row r="653" spans="1:7" x14ac:dyDescent="0.2">
      <c r="A653" s="1" t="s">
        <v>2854</v>
      </c>
      <c r="B653" s="104">
        <v>2</v>
      </c>
      <c r="C653" s="104">
        <v>2</v>
      </c>
      <c r="D653" s="1" t="s">
        <v>2254</v>
      </c>
      <c r="E653" s="4"/>
      <c r="F653" s="106">
        <f>IF(COUNTIF($A$4:$A653,$A653)=1,1,0)</f>
        <v>0</v>
      </c>
      <c r="G653" s="106" cm="1">
        <f t="array" ref="G653">IF($F653=1,IF(SUMPRODUCT(--ISNUMBER(SEARCH(","&amp;$A653&amp;",",'Parts list'!$Z$4:$Z$185)))&gt;0,1,0),0)</f>
        <v>0</v>
      </c>
    </row>
    <row r="654" spans="1:7" x14ac:dyDescent="0.2">
      <c r="A654" s="1" t="s">
        <v>2855</v>
      </c>
      <c r="B654" s="104">
        <v>1</v>
      </c>
      <c r="C654" s="104">
        <v>1</v>
      </c>
      <c r="D654" s="1" t="s">
        <v>2313</v>
      </c>
      <c r="E654" s="4" t="s">
        <v>2851</v>
      </c>
      <c r="F654" s="106">
        <f>IF(COUNTIF($A$4:$A654,$A654)=1,1,0)</f>
        <v>1</v>
      </c>
      <c r="G654" s="106" cm="1">
        <f t="array" ref="G654">IF($F654=1,IF(SUMPRODUCT(--ISNUMBER(SEARCH(","&amp;$A654&amp;",",'Parts list'!$Z$4:$Z$185)))&gt;0,1,0),0)</f>
        <v>1</v>
      </c>
    </row>
    <row r="655" spans="1:7" x14ac:dyDescent="0.2">
      <c r="A655" s="1" t="s">
        <v>2855</v>
      </c>
      <c r="B655" s="104">
        <v>2</v>
      </c>
      <c r="C655" s="104">
        <v>2</v>
      </c>
      <c r="D655" s="1" t="s">
        <v>2257</v>
      </c>
      <c r="E655" s="4"/>
      <c r="F655" s="106">
        <f>IF(COUNTIF($A$4:$A655,$A655)=1,1,0)</f>
        <v>0</v>
      </c>
      <c r="G655" s="106" cm="1">
        <f t="array" ref="G655">IF($F655=1,IF(SUMPRODUCT(--ISNUMBER(SEARCH(","&amp;$A655&amp;",",'Parts list'!$Z$4:$Z$185)))&gt;0,1,0),0)</f>
        <v>0</v>
      </c>
    </row>
    <row r="656" spans="1:7" x14ac:dyDescent="0.2">
      <c r="A656" s="1" t="s">
        <v>2856</v>
      </c>
      <c r="B656" s="104">
        <v>1</v>
      </c>
      <c r="C656" s="104">
        <v>1</v>
      </c>
      <c r="D656" s="1" t="s">
        <v>2315</v>
      </c>
      <c r="E656" s="4" t="s">
        <v>2849</v>
      </c>
      <c r="F656" s="106">
        <f>IF(COUNTIF($A$4:$A656,$A656)=1,1,0)</f>
        <v>1</v>
      </c>
      <c r="G656" s="106" cm="1">
        <f t="array" ref="G656">IF($F656=1,IF(SUMPRODUCT(--ISNUMBER(SEARCH(","&amp;$A656&amp;",",'Parts list'!$Z$4:$Z$185)))&gt;0,1,0),0)</f>
        <v>1</v>
      </c>
    </row>
    <row r="657" spans="1:7" x14ac:dyDescent="0.2">
      <c r="A657" s="1" t="s">
        <v>2856</v>
      </c>
      <c r="B657" s="104">
        <v>2</v>
      </c>
      <c r="C657" s="104">
        <v>2</v>
      </c>
      <c r="D657" s="1" t="s">
        <v>2259</v>
      </c>
      <c r="E657" s="4"/>
      <c r="F657" s="106">
        <f>IF(COUNTIF($A$4:$A657,$A657)=1,1,0)</f>
        <v>0</v>
      </c>
      <c r="G657" s="106" cm="1">
        <f t="array" ref="G657">IF($F657=1,IF(SUMPRODUCT(--ISNUMBER(SEARCH(","&amp;$A657&amp;",",'Parts list'!$Z$4:$Z$185)))&gt;0,1,0),0)</f>
        <v>0</v>
      </c>
    </row>
    <row r="658" spans="1:7" x14ac:dyDescent="0.2">
      <c r="A658" s="1" t="s">
        <v>2857</v>
      </c>
      <c r="B658" s="104">
        <v>1</v>
      </c>
      <c r="C658" s="104">
        <v>1</v>
      </c>
      <c r="D658" s="1" t="s">
        <v>2317</v>
      </c>
      <c r="E658" s="4" t="s">
        <v>2851</v>
      </c>
      <c r="F658" s="106">
        <f>IF(COUNTIF($A$4:$A658,$A658)=1,1,0)</f>
        <v>1</v>
      </c>
      <c r="G658" s="106" cm="1">
        <f t="array" ref="G658">IF($F658=1,IF(SUMPRODUCT(--ISNUMBER(SEARCH(","&amp;$A658&amp;",",'Parts list'!$Z$4:$Z$185)))&gt;0,1,0),0)</f>
        <v>1</v>
      </c>
    </row>
    <row r="659" spans="1:7" x14ac:dyDescent="0.2">
      <c r="A659" s="1" t="s">
        <v>2857</v>
      </c>
      <c r="B659" s="104">
        <v>2</v>
      </c>
      <c r="C659" s="104">
        <v>2</v>
      </c>
      <c r="D659" s="1" t="s">
        <v>2262</v>
      </c>
      <c r="E659" s="4"/>
      <c r="F659" s="106">
        <f>IF(COUNTIF($A$4:$A659,$A659)=1,1,0)</f>
        <v>0</v>
      </c>
      <c r="G659" s="106" cm="1">
        <f t="array" ref="G659">IF($F659=1,IF(SUMPRODUCT(--ISNUMBER(SEARCH(","&amp;$A659&amp;",",'Parts list'!$Z$4:$Z$185)))&gt;0,1,0),0)</f>
        <v>0</v>
      </c>
    </row>
    <row r="660" spans="1:7" x14ac:dyDescent="0.2">
      <c r="A660" s="1" t="s">
        <v>2858</v>
      </c>
      <c r="B660" s="104">
        <v>1</v>
      </c>
      <c r="C660" s="104">
        <v>1</v>
      </c>
      <c r="D660" s="1" t="s">
        <v>2221</v>
      </c>
      <c r="E660" s="4" t="s">
        <v>2859</v>
      </c>
      <c r="F660" s="106">
        <f>IF(COUNTIF($A$4:$A660,$A660)=1,1,0)</f>
        <v>1</v>
      </c>
      <c r="G660" s="106" cm="1">
        <f t="array" ref="G660">IF($F660=1,IF(SUMPRODUCT(--ISNUMBER(SEARCH(","&amp;$A660&amp;",",'Parts list'!$Z$4:$Z$185)))&gt;0,1,0),0)</f>
        <v>1</v>
      </c>
    </row>
    <row r="661" spans="1:7" x14ac:dyDescent="0.2">
      <c r="A661" s="1" t="s">
        <v>2858</v>
      </c>
      <c r="B661" s="104">
        <v>2</v>
      </c>
      <c r="C661" s="104">
        <v>2</v>
      </c>
      <c r="D661" s="1" t="s">
        <v>2290</v>
      </c>
      <c r="E661" s="4"/>
      <c r="F661" s="106">
        <f>IF(COUNTIF($A$4:$A661,$A661)=1,1,0)</f>
        <v>0</v>
      </c>
      <c r="G661" s="106" cm="1">
        <f t="array" ref="G661">IF($F661=1,IF(SUMPRODUCT(--ISNUMBER(SEARCH(","&amp;$A661&amp;",",'Parts list'!$Z$4:$Z$185)))&gt;0,1,0),0)</f>
        <v>0</v>
      </c>
    </row>
    <row r="662" spans="1:7" x14ac:dyDescent="0.2">
      <c r="A662" s="1" t="s">
        <v>2860</v>
      </c>
      <c r="B662" s="104">
        <v>1</v>
      </c>
      <c r="C662" s="104">
        <v>1</v>
      </c>
      <c r="D662" s="1" t="s">
        <v>2290</v>
      </c>
      <c r="E662" s="4" t="s">
        <v>2861</v>
      </c>
      <c r="F662" s="106">
        <f>IF(COUNTIF($A$4:$A662,$A662)=1,1,0)</f>
        <v>1</v>
      </c>
      <c r="G662" s="106" cm="1">
        <f t="array" ref="G662">IF($F662=1,IF(SUMPRODUCT(--ISNUMBER(SEARCH(","&amp;$A662&amp;",",'Parts list'!$Z$4:$Z$185)))&gt;0,1,0),0)</f>
        <v>1</v>
      </c>
    </row>
    <row r="663" spans="1:7" x14ac:dyDescent="0.2">
      <c r="A663" s="1" t="s">
        <v>2860</v>
      </c>
      <c r="B663" s="104">
        <v>2</v>
      </c>
      <c r="C663" s="104">
        <v>2</v>
      </c>
      <c r="D663" s="1" t="s">
        <v>2168</v>
      </c>
      <c r="E663" s="4"/>
      <c r="F663" s="106">
        <f>IF(COUNTIF($A$4:$A663,$A663)=1,1,0)</f>
        <v>0</v>
      </c>
      <c r="G663" s="106" cm="1">
        <f t="array" ref="G663">IF($F663=1,IF(SUMPRODUCT(--ISNUMBER(SEARCH(","&amp;$A663&amp;",",'Parts list'!$Z$4:$Z$185)))&gt;0,1,0),0)</f>
        <v>0</v>
      </c>
    </row>
    <row r="664" spans="1:7" x14ac:dyDescent="0.2">
      <c r="A664" s="1" t="s">
        <v>870</v>
      </c>
      <c r="B664" s="104">
        <v>1</v>
      </c>
      <c r="C664" s="104">
        <v>1</v>
      </c>
      <c r="D664" s="1" t="s">
        <v>2264</v>
      </c>
      <c r="E664" s="4"/>
      <c r="F664" s="106">
        <f>IF(COUNTIF($A$4:$A664,$A664)=1,1,0)</f>
        <v>1</v>
      </c>
      <c r="G664" s="106" cm="1">
        <f t="array" ref="G664">IF($F664=1,IF(SUMPRODUCT(--ISNUMBER(SEARCH(","&amp;$A664&amp;",",'Parts list'!$Z$4:$Z$185)))&gt;0,1,0),0)</f>
        <v>1</v>
      </c>
    </row>
    <row r="665" spans="1:7" x14ac:dyDescent="0.2">
      <c r="A665" s="1" t="s">
        <v>870</v>
      </c>
      <c r="B665" s="104">
        <v>2</v>
      </c>
      <c r="C665" s="104">
        <v>2</v>
      </c>
      <c r="D665" s="1" t="s">
        <v>2862</v>
      </c>
      <c r="E665" s="4"/>
      <c r="F665" s="106">
        <f>IF(COUNTIF($A$4:$A665,$A665)=1,1,0)</f>
        <v>0</v>
      </c>
      <c r="G665" s="106" cm="1">
        <f t="array" ref="G665">IF($F665=1,IF(SUMPRODUCT(--ISNUMBER(SEARCH(","&amp;$A665&amp;",",'Parts list'!$Z$4:$Z$185)))&gt;0,1,0),0)</f>
        <v>0</v>
      </c>
    </row>
    <row r="666" spans="1:7" x14ac:dyDescent="0.2">
      <c r="A666" s="1" t="s">
        <v>2863</v>
      </c>
      <c r="B666" s="104">
        <v>1</v>
      </c>
      <c r="C666" s="104">
        <v>1</v>
      </c>
      <c r="D666" s="1" t="s">
        <v>2862</v>
      </c>
      <c r="E666" s="4"/>
      <c r="F666" s="106">
        <f>IF(COUNTIF($A$4:$A666,$A666)=1,1,0)</f>
        <v>1</v>
      </c>
      <c r="G666" s="106" cm="1">
        <f t="array" ref="G666">IF($F666=1,IF(SUMPRODUCT(--ISNUMBER(SEARCH(","&amp;$A666&amp;",",'Parts list'!$Z$4:$Z$185)))&gt;0,1,0),0)</f>
        <v>1</v>
      </c>
    </row>
    <row r="667" spans="1:7" x14ac:dyDescent="0.2">
      <c r="A667" s="1" t="s">
        <v>2863</v>
      </c>
      <c r="B667" s="104">
        <v>2</v>
      </c>
      <c r="C667" s="104">
        <v>2</v>
      </c>
      <c r="D667" s="1" t="s">
        <v>2168</v>
      </c>
      <c r="E667" s="4"/>
      <c r="F667" s="106">
        <f>IF(COUNTIF($A$4:$A667,$A667)=1,1,0)</f>
        <v>0</v>
      </c>
      <c r="G667" s="106" cm="1">
        <f t="array" ref="G667">IF($F667=1,IF(SUMPRODUCT(--ISNUMBER(SEARCH(","&amp;$A667&amp;",",'Parts list'!$Z$4:$Z$185)))&gt;0,1,0),0)</f>
        <v>0</v>
      </c>
    </row>
    <row r="668" spans="1:7" x14ac:dyDescent="0.2">
      <c r="A668" s="1" t="s">
        <v>887</v>
      </c>
      <c r="B668" s="104">
        <v>1</v>
      </c>
      <c r="C668" s="104">
        <v>1</v>
      </c>
      <c r="D668" s="1" t="s">
        <v>2267</v>
      </c>
      <c r="E668" s="4"/>
      <c r="F668" s="106">
        <f>IF(COUNTIF($A$4:$A668,$A668)=1,1,0)</f>
        <v>1</v>
      </c>
      <c r="G668" s="106" cm="1">
        <f t="array" ref="G668">IF($F668=1,IF(SUMPRODUCT(--ISNUMBER(SEARCH(","&amp;$A668&amp;",",'Parts list'!$Z$4:$Z$185)))&gt;0,1,0),0)</f>
        <v>1</v>
      </c>
    </row>
    <row r="669" spans="1:7" x14ac:dyDescent="0.2">
      <c r="A669" s="1" t="s">
        <v>887</v>
      </c>
      <c r="B669" s="104">
        <v>2</v>
      </c>
      <c r="C669" s="104">
        <v>2</v>
      </c>
      <c r="D669" s="1" t="s">
        <v>2864</v>
      </c>
      <c r="E669" s="4"/>
      <c r="F669" s="106">
        <f>IF(COUNTIF($A$4:$A669,$A669)=1,1,0)</f>
        <v>0</v>
      </c>
      <c r="G669" s="106" cm="1">
        <f t="array" ref="G669">IF($F669=1,IF(SUMPRODUCT(--ISNUMBER(SEARCH(","&amp;$A669&amp;",",'Parts list'!$Z$4:$Z$185)))&gt;0,1,0),0)</f>
        <v>0</v>
      </c>
    </row>
    <row r="670" spans="1:7" x14ac:dyDescent="0.2">
      <c r="A670" s="1" t="s">
        <v>2865</v>
      </c>
      <c r="B670" s="104">
        <v>1</v>
      </c>
      <c r="C670" s="104">
        <v>1</v>
      </c>
      <c r="D670" s="1" t="s">
        <v>2864</v>
      </c>
      <c r="E670" s="4"/>
      <c r="F670" s="106">
        <f>IF(COUNTIF($A$4:$A670,$A670)=1,1,0)</f>
        <v>1</v>
      </c>
      <c r="G670" s="106" cm="1">
        <f t="array" ref="G670">IF($F670=1,IF(SUMPRODUCT(--ISNUMBER(SEARCH(","&amp;$A670&amp;",",'Parts list'!$Z$4:$Z$185)))&gt;0,1,0),0)</f>
        <v>1</v>
      </c>
    </row>
    <row r="671" spans="1:7" x14ac:dyDescent="0.2">
      <c r="A671" s="1" t="s">
        <v>2865</v>
      </c>
      <c r="B671" s="104">
        <v>2</v>
      </c>
      <c r="C671" s="104">
        <v>2</v>
      </c>
      <c r="D671" s="1" t="s">
        <v>2168</v>
      </c>
      <c r="E671" s="4"/>
      <c r="F671" s="106">
        <f>IF(COUNTIF($A$4:$A671,$A671)=1,1,0)</f>
        <v>0</v>
      </c>
      <c r="G671" s="106" cm="1">
        <f t="array" ref="G671">IF($F671=1,IF(SUMPRODUCT(--ISNUMBER(SEARCH(","&amp;$A671&amp;",",'Parts list'!$Z$4:$Z$185)))&gt;0,1,0),0)</f>
        <v>0</v>
      </c>
    </row>
    <row r="672" spans="1:7" x14ac:dyDescent="0.2">
      <c r="A672" s="1" t="s">
        <v>896</v>
      </c>
      <c r="B672" s="104">
        <v>1</v>
      </c>
      <c r="C672" s="104">
        <v>1</v>
      </c>
      <c r="D672" s="1" t="s">
        <v>2866</v>
      </c>
      <c r="E672" s="4"/>
      <c r="F672" s="106">
        <f>IF(COUNTIF($A$4:$A672,$A672)=1,1,0)</f>
        <v>1</v>
      </c>
      <c r="G672" s="106" cm="1">
        <f t="array" ref="G672">IF($F672=1,IF(SUMPRODUCT(--ISNUMBER(SEARCH(","&amp;$A672&amp;",",'Parts list'!$Z$4:$Z$185)))&gt;0,1,0),0)</f>
        <v>1</v>
      </c>
    </row>
    <row r="673" spans="1:7" x14ac:dyDescent="0.2">
      <c r="A673" s="1" t="s">
        <v>896</v>
      </c>
      <c r="B673" s="104">
        <v>2</v>
      </c>
      <c r="C673" s="104">
        <v>2</v>
      </c>
      <c r="D673" s="1" t="s">
        <v>2331</v>
      </c>
      <c r="E673" s="4"/>
      <c r="F673" s="106">
        <f>IF(COUNTIF($A$4:$A673,$A673)=1,1,0)</f>
        <v>0</v>
      </c>
      <c r="G673" s="106" cm="1">
        <f t="array" ref="G673">IF($F673=1,IF(SUMPRODUCT(--ISNUMBER(SEARCH(","&amp;$A673&amp;",",'Parts list'!$Z$4:$Z$185)))&gt;0,1,0),0)</f>
        <v>0</v>
      </c>
    </row>
    <row r="674" spans="1:7" x14ac:dyDescent="0.2">
      <c r="A674" s="1" t="s">
        <v>900</v>
      </c>
      <c r="B674" s="104">
        <v>1</v>
      </c>
      <c r="C674" s="104">
        <v>1</v>
      </c>
      <c r="D674" s="1" t="s">
        <v>2636</v>
      </c>
      <c r="E674" s="4"/>
      <c r="F674" s="106">
        <f>IF(COUNTIF($A$4:$A674,$A674)=1,1,0)</f>
        <v>1</v>
      </c>
      <c r="G674" s="106" cm="1">
        <f t="array" ref="G674">IF($F674=1,IF(SUMPRODUCT(--ISNUMBER(SEARCH(","&amp;$A674&amp;",",'Parts list'!$Z$4:$Z$185)))&gt;0,1,0),0)</f>
        <v>1</v>
      </c>
    </row>
    <row r="675" spans="1:7" x14ac:dyDescent="0.2">
      <c r="A675" s="1" t="s">
        <v>900</v>
      </c>
      <c r="B675" s="104">
        <v>2</v>
      </c>
      <c r="C675" s="104">
        <v>2</v>
      </c>
      <c r="D675" s="1" t="s">
        <v>2168</v>
      </c>
      <c r="E675" s="4"/>
      <c r="F675" s="106">
        <f>IF(COUNTIF($A$4:$A675,$A675)=1,1,0)</f>
        <v>0</v>
      </c>
      <c r="G675" s="106" cm="1">
        <f t="array" ref="G675">IF($F675=1,IF(SUMPRODUCT(--ISNUMBER(SEARCH(","&amp;$A675&amp;",",'Parts list'!$Z$4:$Z$185)))&gt;0,1,0),0)</f>
        <v>0</v>
      </c>
    </row>
    <row r="676" spans="1:7" x14ac:dyDescent="0.2">
      <c r="A676" s="1" t="s">
        <v>904</v>
      </c>
      <c r="B676" s="104">
        <v>1</v>
      </c>
      <c r="C676" s="104">
        <v>1</v>
      </c>
      <c r="D676" s="1" t="s">
        <v>2867</v>
      </c>
      <c r="E676" s="4" t="s">
        <v>2868</v>
      </c>
      <c r="F676" s="106">
        <f>IF(COUNTIF($A$4:$A676,$A676)=1,1,0)</f>
        <v>1</v>
      </c>
      <c r="G676" s="106" cm="1">
        <f t="array" ref="G676">IF($F676=1,IF(SUMPRODUCT(--ISNUMBER(SEARCH(","&amp;$A676&amp;",",'Parts list'!$Z$4:$Z$185)))&gt;0,1,0),0)</f>
        <v>1</v>
      </c>
    </row>
    <row r="677" spans="1:7" x14ac:dyDescent="0.2">
      <c r="A677" s="1" t="s">
        <v>904</v>
      </c>
      <c r="B677" s="104">
        <v>2</v>
      </c>
      <c r="C677" s="104">
        <v>2</v>
      </c>
      <c r="D677" s="1" t="s">
        <v>2168</v>
      </c>
      <c r="E677" s="4" t="s">
        <v>2868</v>
      </c>
      <c r="F677" s="106">
        <f>IF(COUNTIF($A$4:$A677,$A677)=1,1,0)</f>
        <v>0</v>
      </c>
      <c r="G677" s="106" cm="1">
        <f t="array" ref="G677">IF($F677=1,IF(SUMPRODUCT(--ISNUMBER(SEARCH(","&amp;$A677&amp;",",'Parts list'!$Z$4:$Z$185)))&gt;0,1,0),0)</f>
        <v>0</v>
      </c>
    </row>
    <row r="678" spans="1:7" x14ac:dyDescent="0.2">
      <c r="A678" s="1" t="s">
        <v>913</v>
      </c>
      <c r="B678" s="104">
        <v>1</v>
      </c>
      <c r="C678" s="104">
        <v>1</v>
      </c>
      <c r="D678" s="1" t="s">
        <v>2867</v>
      </c>
      <c r="E678" s="4"/>
      <c r="F678" s="106">
        <f>IF(COUNTIF($A$4:$A678,$A678)=1,1,0)</f>
        <v>1</v>
      </c>
      <c r="G678" s="106" cm="1">
        <f t="array" ref="G678">IF($F678=1,IF(SUMPRODUCT(--ISNUMBER(SEARCH(","&amp;$A678&amp;",",'Parts list'!$Z$4:$Z$185)))&gt;0,1,0),0)</f>
        <v>1</v>
      </c>
    </row>
    <row r="679" spans="1:7" x14ac:dyDescent="0.2">
      <c r="A679" s="1" t="s">
        <v>913</v>
      </c>
      <c r="B679" s="104">
        <v>2</v>
      </c>
      <c r="C679" s="104">
        <v>2</v>
      </c>
      <c r="D679" s="1" t="s">
        <v>2869</v>
      </c>
      <c r="E679" s="4"/>
      <c r="F679" s="106">
        <f>IF(COUNTIF($A$4:$A679,$A679)=1,1,0)</f>
        <v>0</v>
      </c>
      <c r="G679" s="106" cm="1">
        <f t="array" ref="G679">IF($F679=1,IF(SUMPRODUCT(--ISNUMBER(SEARCH(","&amp;$A679&amp;",",'Parts list'!$Z$4:$Z$185)))&gt;0,1,0),0)</f>
        <v>0</v>
      </c>
    </row>
    <row r="680" spans="1:7" x14ac:dyDescent="0.2">
      <c r="A680" s="1" t="s">
        <v>921</v>
      </c>
      <c r="B680" s="104">
        <v>1</v>
      </c>
      <c r="C680" s="104">
        <v>1</v>
      </c>
      <c r="D680" s="1" t="s">
        <v>2870</v>
      </c>
      <c r="E680" s="4"/>
      <c r="F680" s="106">
        <f>IF(COUNTIF($A$4:$A680,$A680)=1,1,0)</f>
        <v>1</v>
      </c>
      <c r="G680" s="106" cm="1">
        <f t="array" ref="G680">IF($F680=1,IF(SUMPRODUCT(--ISNUMBER(SEARCH(","&amp;$A680&amp;",",'Parts list'!$Z$4:$Z$185)))&gt;0,1,0),0)</f>
        <v>1</v>
      </c>
    </row>
    <row r="681" spans="1:7" x14ac:dyDescent="0.2">
      <c r="A681" s="1" t="s">
        <v>921</v>
      </c>
      <c r="B681" s="104">
        <v>2</v>
      </c>
      <c r="C681" s="104">
        <v>2</v>
      </c>
      <c r="D681" s="1" t="s">
        <v>2168</v>
      </c>
      <c r="E681" s="4"/>
      <c r="F681" s="106">
        <f>IF(COUNTIF($A$4:$A681,$A681)=1,1,0)</f>
        <v>0</v>
      </c>
      <c r="G681" s="106" cm="1">
        <f t="array" ref="G681">IF($F681=1,IF(SUMPRODUCT(--ISNUMBER(SEARCH(","&amp;$A681&amp;",",'Parts list'!$Z$4:$Z$185)))&gt;0,1,0),0)</f>
        <v>0</v>
      </c>
    </row>
    <row r="682" spans="1:7" x14ac:dyDescent="0.2">
      <c r="A682" s="1" t="s">
        <v>924</v>
      </c>
      <c r="B682" s="104">
        <v>1</v>
      </c>
      <c r="C682" s="104">
        <v>1</v>
      </c>
      <c r="D682" s="1" t="s">
        <v>2871</v>
      </c>
      <c r="E682" s="4"/>
      <c r="F682" s="106">
        <f>IF(COUNTIF($A$4:$A682,$A682)=1,1,0)</f>
        <v>1</v>
      </c>
      <c r="G682" s="106" cm="1">
        <f t="array" ref="G682">IF($F682=1,IF(SUMPRODUCT(--ISNUMBER(SEARCH(","&amp;$A682&amp;",",'Parts list'!$Z$4:$Z$185)))&gt;0,1,0),0)</f>
        <v>1</v>
      </c>
    </row>
    <row r="683" spans="1:7" x14ac:dyDescent="0.2">
      <c r="A683" s="1" t="s">
        <v>924</v>
      </c>
      <c r="B683" s="104">
        <v>2</v>
      </c>
      <c r="C683" s="104">
        <v>2</v>
      </c>
      <c r="D683" s="1" t="s">
        <v>2181</v>
      </c>
      <c r="E683" s="4"/>
      <c r="F683" s="106">
        <f>IF(COUNTIF($A$4:$A683,$A683)=1,1,0)</f>
        <v>0</v>
      </c>
      <c r="G683" s="106" cm="1">
        <f t="array" ref="G683">IF($F683=1,IF(SUMPRODUCT(--ISNUMBER(SEARCH(","&amp;$A683&amp;",",'Parts list'!$Z$4:$Z$185)))&gt;0,1,0),0)</f>
        <v>0</v>
      </c>
    </row>
    <row r="684" spans="1:7" x14ac:dyDescent="0.2">
      <c r="A684" s="1" t="s">
        <v>927</v>
      </c>
      <c r="B684" s="104">
        <v>1</v>
      </c>
      <c r="C684" s="104">
        <v>1</v>
      </c>
      <c r="D684" s="1" t="s">
        <v>2872</v>
      </c>
      <c r="E684" s="4"/>
      <c r="F684" s="106">
        <f>IF(COUNTIF($A$4:$A684,$A684)=1,1,0)</f>
        <v>1</v>
      </c>
      <c r="G684" s="106" cm="1">
        <f t="array" ref="G684">IF($F684=1,IF(SUMPRODUCT(--ISNUMBER(SEARCH(","&amp;$A684&amp;",",'Parts list'!$Z$4:$Z$185)))&gt;0,1,0),0)</f>
        <v>1</v>
      </c>
    </row>
    <row r="685" spans="1:7" x14ac:dyDescent="0.2">
      <c r="A685" s="1" t="s">
        <v>927</v>
      </c>
      <c r="B685" s="104">
        <v>2</v>
      </c>
      <c r="C685" s="104">
        <v>2</v>
      </c>
      <c r="D685" s="1" t="s">
        <v>2168</v>
      </c>
      <c r="E685" s="4"/>
      <c r="F685" s="106">
        <f>IF(COUNTIF($A$4:$A685,$A685)=1,1,0)</f>
        <v>0</v>
      </c>
      <c r="G685" s="106" cm="1">
        <f t="array" ref="G685">IF($F685=1,IF(SUMPRODUCT(--ISNUMBER(SEARCH(","&amp;$A685&amp;",",'Parts list'!$Z$4:$Z$185)))&gt;0,1,0),0)</f>
        <v>0</v>
      </c>
    </row>
    <row r="686" spans="1:7" x14ac:dyDescent="0.2">
      <c r="A686" s="1" t="s">
        <v>930</v>
      </c>
      <c r="B686" s="104">
        <v>1</v>
      </c>
      <c r="C686" s="104">
        <v>1</v>
      </c>
      <c r="D686" s="1" t="s">
        <v>2866</v>
      </c>
      <c r="E686" s="4"/>
      <c r="F686" s="106">
        <f>IF(COUNTIF($A$4:$A686,$A686)=1,1,0)</f>
        <v>1</v>
      </c>
      <c r="G686" s="106" cm="1">
        <f t="array" ref="G686">IF($F686=1,IF(SUMPRODUCT(--ISNUMBER(SEARCH(","&amp;$A686&amp;",",'Parts list'!$Z$4:$Z$185)))&gt;0,1,0),0)</f>
        <v>1</v>
      </c>
    </row>
    <row r="687" spans="1:7" x14ac:dyDescent="0.2">
      <c r="A687" s="1" t="s">
        <v>930</v>
      </c>
      <c r="B687" s="104">
        <v>2</v>
      </c>
      <c r="C687" s="104">
        <v>2</v>
      </c>
      <c r="D687" s="1" t="s">
        <v>2873</v>
      </c>
      <c r="E687" s="4"/>
      <c r="F687" s="106">
        <f>IF(COUNTIF($A$4:$A687,$A687)=1,1,0)</f>
        <v>0</v>
      </c>
      <c r="G687" s="106" cm="1">
        <f t="array" ref="G687">IF($F687=1,IF(SUMPRODUCT(--ISNUMBER(SEARCH(","&amp;$A687&amp;",",'Parts list'!$Z$4:$Z$185)))&gt;0,1,0),0)</f>
        <v>0</v>
      </c>
    </row>
    <row r="688" spans="1:7" x14ac:dyDescent="0.2">
      <c r="A688" s="1" t="s">
        <v>2874</v>
      </c>
      <c r="B688" s="104">
        <v>1</v>
      </c>
      <c r="C688" s="104">
        <v>1</v>
      </c>
      <c r="D688" s="1" t="s">
        <v>2181</v>
      </c>
      <c r="E688" s="4"/>
      <c r="F688" s="106">
        <f>IF(COUNTIF($A$4:$A688,$A688)=1,1,0)</f>
        <v>1</v>
      </c>
      <c r="G688" s="106" cm="1">
        <f t="array" ref="G688">IF($F688=1,IF(SUMPRODUCT(--ISNUMBER(SEARCH(","&amp;$A688&amp;",",'Parts list'!$Z$4:$Z$185)))&gt;0,1,0),0)</f>
        <v>1</v>
      </c>
    </row>
    <row r="689" spans="1:7" x14ac:dyDescent="0.2">
      <c r="A689" s="1" t="s">
        <v>2874</v>
      </c>
      <c r="B689" s="104">
        <v>2</v>
      </c>
      <c r="C689" s="104">
        <v>2</v>
      </c>
      <c r="D689" s="1" t="s">
        <v>2631</v>
      </c>
      <c r="E689" s="4"/>
      <c r="F689" s="106">
        <f>IF(COUNTIF($A$4:$A689,$A689)=1,1,0)</f>
        <v>0</v>
      </c>
      <c r="G689" s="106" cm="1">
        <f t="array" ref="G689">IF($F689=1,IF(SUMPRODUCT(--ISNUMBER(SEARCH(","&amp;$A689&amp;",",'Parts list'!$Z$4:$Z$185)))&gt;0,1,0),0)</f>
        <v>0</v>
      </c>
    </row>
    <row r="690" spans="1:7" x14ac:dyDescent="0.2">
      <c r="A690" s="1" t="s">
        <v>2875</v>
      </c>
      <c r="B690" s="104">
        <v>1</v>
      </c>
      <c r="C690" s="104">
        <v>1</v>
      </c>
      <c r="D690" s="1" t="s">
        <v>2221</v>
      </c>
      <c r="E690" s="4"/>
      <c r="F690" s="106">
        <f>IF(COUNTIF($A$4:$A690,$A690)=1,1,0)</f>
        <v>1</v>
      </c>
      <c r="G690" s="106" cm="1">
        <f t="array" ref="G690">IF($F690=1,IF(SUMPRODUCT(--ISNUMBER(SEARCH(","&amp;$A690&amp;",",'Parts list'!$Z$4:$Z$185)))&gt;0,1,0),0)</f>
        <v>1</v>
      </c>
    </row>
    <row r="691" spans="1:7" x14ac:dyDescent="0.2">
      <c r="A691" s="1" t="s">
        <v>2875</v>
      </c>
      <c r="B691" s="104">
        <v>2</v>
      </c>
      <c r="C691" s="104">
        <v>2</v>
      </c>
      <c r="D691" s="1" t="s">
        <v>2634</v>
      </c>
      <c r="E691" s="4"/>
      <c r="F691" s="106">
        <f>IF(COUNTIF($A$4:$A691,$A691)=1,1,0)</f>
        <v>0</v>
      </c>
      <c r="G691" s="106" cm="1">
        <f t="array" ref="G691">IF($F691=1,IF(SUMPRODUCT(--ISNUMBER(SEARCH(","&amp;$A691&amp;",",'Parts list'!$Z$4:$Z$185)))&gt;0,1,0),0)</f>
        <v>0</v>
      </c>
    </row>
    <row r="692" spans="1:7" x14ac:dyDescent="0.2">
      <c r="A692" s="1" t="s">
        <v>2876</v>
      </c>
      <c r="B692" s="104">
        <v>1</v>
      </c>
      <c r="C692" s="104">
        <v>1</v>
      </c>
      <c r="D692" s="1" t="s">
        <v>2181</v>
      </c>
      <c r="E692" s="4"/>
      <c r="F692" s="106">
        <f>IF(COUNTIF($A$4:$A692,$A692)=1,1,0)</f>
        <v>1</v>
      </c>
      <c r="G692" s="106" cm="1">
        <f t="array" ref="G692">IF($F692=1,IF(SUMPRODUCT(--ISNUMBER(SEARCH(","&amp;$A692&amp;",",'Parts list'!$Z$4:$Z$185)))&gt;0,1,0),0)</f>
        <v>1</v>
      </c>
    </row>
    <row r="693" spans="1:7" x14ac:dyDescent="0.2">
      <c r="A693" s="1" t="s">
        <v>2876</v>
      </c>
      <c r="B693" s="104">
        <v>2</v>
      </c>
      <c r="C693" s="104">
        <v>2</v>
      </c>
      <c r="D693" s="1" t="s">
        <v>2638</v>
      </c>
      <c r="E693" s="4"/>
      <c r="F693" s="106">
        <f>IF(COUNTIF($A$4:$A693,$A693)=1,1,0)</f>
        <v>0</v>
      </c>
      <c r="G693" s="106" cm="1">
        <f t="array" ref="G693">IF($F693=1,IF(SUMPRODUCT(--ISNUMBER(SEARCH(","&amp;$A693&amp;",",'Parts list'!$Z$4:$Z$185)))&gt;0,1,0),0)</f>
        <v>0</v>
      </c>
    </row>
    <row r="694" spans="1:7" x14ac:dyDescent="0.2">
      <c r="A694" s="1" t="s">
        <v>2877</v>
      </c>
      <c r="B694" s="104">
        <v>1</v>
      </c>
      <c r="C694" s="104">
        <v>1</v>
      </c>
      <c r="D694" s="1" t="s">
        <v>2208</v>
      </c>
      <c r="E694" s="4"/>
      <c r="F694" s="106">
        <f>IF(COUNTIF($A$4:$A694,$A694)=1,1,0)</f>
        <v>1</v>
      </c>
      <c r="G694" s="106" cm="1">
        <f t="array" ref="G694">IF($F694=1,IF(SUMPRODUCT(--ISNUMBER(SEARCH(","&amp;$A694&amp;",",'Parts list'!$Z$4:$Z$185)))&gt;0,1,0),0)</f>
        <v>1</v>
      </c>
    </row>
    <row r="695" spans="1:7" x14ac:dyDescent="0.2">
      <c r="A695" s="1" t="s">
        <v>2877</v>
      </c>
      <c r="B695" s="104">
        <v>2</v>
      </c>
      <c r="C695" s="104">
        <v>2</v>
      </c>
      <c r="D695" s="1" t="s">
        <v>2641</v>
      </c>
      <c r="E695" s="4"/>
      <c r="F695" s="106">
        <f>IF(COUNTIF($A$4:$A695,$A695)=1,1,0)</f>
        <v>0</v>
      </c>
      <c r="G695" s="106" cm="1">
        <f t="array" ref="G695">IF($F695=1,IF(SUMPRODUCT(--ISNUMBER(SEARCH(","&amp;$A695&amp;",",'Parts list'!$Z$4:$Z$185)))&gt;0,1,0),0)</f>
        <v>0</v>
      </c>
    </row>
    <row r="696" spans="1:7" x14ac:dyDescent="0.2">
      <c r="A696" s="1" t="s">
        <v>949</v>
      </c>
      <c r="B696" s="104">
        <v>1</v>
      </c>
      <c r="C696" s="104">
        <v>1</v>
      </c>
      <c r="D696" s="1" t="s">
        <v>2237</v>
      </c>
      <c r="E696" s="4"/>
      <c r="F696" s="106">
        <f>IF(COUNTIF($A$4:$A696,$A696)=1,1,0)</f>
        <v>1</v>
      </c>
      <c r="G696" s="106" cm="1">
        <f t="array" ref="G696">IF($F696=1,IF(SUMPRODUCT(--ISNUMBER(SEARCH(","&amp;$A696&amp;",",'Parts list'!$Z$4:$Z$185)))&gt;0,1,0),0)</f>
        <v>1</v>
      </c>
    </row>
    <row r="697" spans="1:7" x14ac:dyDescent="0.2">
      <c r="A697" s="1" t="s">
        <v>949</v>
      </c>
      <c r="B697" s="104">
        <v>2</v>
      </c>
      <c r="C697" s="104">
        <v>2</v>
      </c>
      <c r="D697" s="1" t="s">
        <v>2644</v>
      </c>
      <c r="E697" s="4"/>
      <c r="F697" s="106">
        <f>IF(COUNTIF($A$4:$A697,$A697)=1,1,0)</f>
        <v>0</v>
      </c>
      <c r="G697" s="106" cm="1">
        <f t="array" ref="G697">IF($F697=1,IF(SUMPRODUCT(--ISNUMBER(SEARCH(","&amp;$A697&amp;",",'Parts list'!$Z$4:$Z$185)))&gt;0,1,0),0)</f>
        <v>0</v>
      </c>
    </row>
    <row r="698" spans="1:7" x14ac:dyDescent="0.2">
      <c r="A698" s="1" t="s">
        <v>958</v>
      </c>
      <c r="B698" s="104">
        <v>1</v>
      </c>
      <c r="C698" s="104">
        <v>1</v>
      </c>
      <c r="D698" s="1" t="s">
        <v>2331</v>
      </c>
      <c r="E698" s="4" t="s">
        <v>771</v>
      </c>
      <c r="F698" s="106">
        <f>IF(COUNTIF($A$4:$A698,$A698)=1,1,0)</f>
        <v>1</v>
      </c>
      <c r="G698" s="106" cm="1">
        <f t="array" ref="G698">IF($F698=1,IF(SUMPRODUCT(--ISNUMBER(SEARCH(","&amp;$A698&amp;",",'Parts list'!$Z$4:$Z$185)))&gt;0,1,0),0)</f>
        <v>1</v>
      </c>
    </row>
    <row r="699" spans="1:7" x14ac:dyDescent="0.2">
      <c r="A699" s="1" t="s">
        <v>958</v>
      </c>
      <c r="B699" s="104">
        <v>2</v>
      </c>
      <c r="C699" s="104">
        <v>2</v>
      </c>
      <c r="D699" s="1" t="s">
        <v>2338</v>
      </c>
      <c r="E699" s="4" t="s">
        <v>771</v>
      </c>
      <c r="F699" s="106">
        <f>IF(COUNTIF($A$4:$A699,$A699)=1,1,0)</f>
        <v>0</v>
      </c>
      <c r="G699" s="106" cm="1">
        <f t="array" ref="G699">IF($F699=1,IF(SUMPRODUCT(--ISNUMBER(SEARCH(","&amp;$A699&amp;",",'Parts list'!$Z$4:$Z$185)))&gt;0,1,0),0)</f>
        <v>0</v>
      </c>
    </row>
    <row r="700" spans="1:7" x14ac:dyDescent="0.2">
      <c r="A700" s="1" t="s">
        <v>967</v>
      </c>
      <c r="B700" s="104">
        <v>1</v>
      </c>
      <c r="C700" s="104">
        <v>1</v>
      </c>
      <c r="D700" s="1" t="s">
        <v>2873</v>
      </c>
      <c r="E700" s="4" t="s">
        <v>2878</v>
      </c>
      <c r="F700" s="106">
        <f>IF(COUNTIF($A$4:$A700,$A700)=1,1,0)</f>
        <v>1</v>
      </c>
      <c r="G700" s="106" cm="1">
        <f t="array" ref="G700">IF($F700=1,IF(SUMPRODUCT(--ISNUMBER(SEARCH(","&amp;$A700&amp;",",'Parts list'!$Z$4:$Z$185)))&gt;0,1,0),0)</f>
        <v>1</v>
      </c>
    </row>
    <row r="701" spans="1:7" x14ac:dyDescent="0.2">
      <c r="A701" s="1" t="s">
        <v>967</v>
      </c>
      <c r="B701" s="104">
        <v>2</v>
      </c>
      <c r="C701" s="104">
        <v>2</v>
      </c>
      <c r="D701" s="1" t="s">
        <v>2168</v>
      </c>
      <c r="E701" s="4" t="s">
        <v>2878</v>
      </c>
      <c r="F701" s="106">
        <f>IF(COUNTIF($A$4:$A701,$A701)=1,1,0)</f>
        <v>0</v>
      </c>
      <c r="G701" s="106" cm="1">
        <f t="array" ref="G701">IF($F701=1,IF(SUMPRODUCT(--ISNUMBER(SEARCH(","&amp;$A701&amp;",",'Parts list'!$Z$4:$Z$185)))&gt;0,1,0),0)</f>
        <v>0</v>
      </c>
    </row>
    <row r="702" spans="1:7" x14ac:dyDescent="0.2">
      <c r="A702" s="1" t="s">
        <v>569</v>
      </c>
      <c r="B702" s="104">
        <v>1</v>
      </c>
      <c r="C702" s="104">
        <v>1</v>
      </c>
      <c r="D702" s="1" t="s">
        <v>2237</v>
      </c>
      <c r="E702" s="4" t="s">
        <v>2879</v>
      </c>
      <c r="F702" s="106">
        <f>IF(COUNTIF($A$4:$A702,$A702)=1,1,0)</f>
        <v>1</v>
      </c>
      <c r="G702" s="106" cm="1">
        <f t="array" ref="G702">IF($F702=1,IF(SUMPRODUCT(--ISNUMBER(SEARCH(","&amp;$A702&amp;",",'Parts list'!$Z$4:$Z$185)))&gt;0,1,0),0)</f>
        <v>1</v>
      </c>
    </row>
    <row r="703" spans="1:7" x14ac:dyDescent="0.2">
      <c r="A703" s="1" t="s">
        <v>569</v>
      </c>
      <c r="B703" s="104">
        <v>2</v>
      </c>
      <c r="C703" s="104">
        <v>2</v>
      </c>
      <c r="D703" s="1" t="s">
        <v>2880</v>
      </c>
      <c r="E703" s="4" t="s">
        <v>2879</v>
      </c>
      <c r="F703" s="106">
        <f>IF(COUNTIF($A$4:$A703,$A703)=1,1,0)</f>
        <v>0</v>
      </c>
      <c r="G703" s="106" cm="1">
        <f t="array" ref="G703">IF($F703=1,IF(SUMPRODUCT(--ISNUMBER(SEARCH(","&amp;$A703&amp;",",'Parts list'!$Z$4:$Z$185)))&gt;0,1,0),0)</f>
        <v>0</v>
      </c>
    </row>
    <row r="704" spans="1:7" x14ac:dyDescent="0.2">
      <c r="A704" s="1" t="s">
        <v>580</v>
      </c>
      <c r="B704" s="104">
        <v>1</v>
      </c>
      <c r="C704" s="104">
        <v>1</v>
      </c>
      <c r="D704" s="1" t="s">
        <v>2880</v>
      </c>
      <c r="E704" s="4" t="s">
        <v>2881</v>
      </c>
      <c r="F704" s="106">
        <f>IF(COUNTIF($A$4:$A704,$A704)=1,1,0)</f>
        <v>1</v>
      </c>
      <c r="G704" s="106" cm="1">
        <f t="array" ref="G704">IF($F704=1,IF(SUMPRODUCT(--ISNUMBER(SEARCH(","&amp;$A704&amp;",",'Parts list'!$Z$4:$Z$185)))&gt;0,1,0),0)</f>
        <v>1</v>
      </c>
    </row>
    <row r="705" spans="1:7" x14ac:dyDescent="0.2">
      <c r="A705" s="1" t="s">
        <v>580</v>
      </c>
      <c r="B705" s="104">
        <v>2</v>
      </c>
      <c r="C705" s="104">
        <v>2</v>
      </c>
      <c r="D705" s="1" t="s">
        <v>2168</v>
      </c>
      <c r="E705" s="4" t="s">
        <v>2881</v>
      </c>
      <c r="F705" s="106">
        <f>IF(COUNTIF($A$4:$A705,$A705)=1,1,0)</f>
        <v>0</v>
      </c>
      <c r="G705" s="106" cm="1">
        <f t="array" ref="G705">IF($F705=1,IF(SUMPRODUCT(--ISNUMBER(SEARCH(","&amp;$A705&amp;",",'Parts list'!$Z$4:$Z$185)))&gt;0,1,0),0)</f>
        <v>0</v>
      </c>
    </row>
    <row r="706" spans="1:7" x14ac:dyDescent="0.2">
      <c r="A706" s="1" t="s">
        <v>972</v>
      </c>
      <c r="B706" s="104">
        <v>1</v>
      </c>
      <c r="C706" s="104">
        <v>1</v>
      </c>
      <c r="D706" s="1" t="s">
        <v>2331</v>
      </c>
      <c r="E706" s="4" t="s">
        <v>2882</v>
      </c>
      <c r="F706" s="106">
        <f>IF(COUNTIF($A$4:$A706,$A706)=1,1,0)</f>
        <v>1</v>
      </c>
      <c r="G706" s="106" cm="1">
        <f t="array" ref="G706">IF($F706=1,IF(SUMPRODUCT(--ISNUMBER(SEARCH(","&amp;$A706&amp;",",'Parts list'!$Z$4:$Z$185)))&gt;0,1,0),0)</f>
        <v>1</v>
      </c>
    </row>
    <row r="707" spans="1:7" x14ac:dyDescent="0.2">
      <c r="A707" s="1" t="s">
        <v>972</v>
      </c>
      <c r="B707" s="104">
        <v>2</v>
      </c>
      <c r="C707" s="104">
        <v>2</v>
      </c>
      <c r="D707" s="1" t="s">
        <v>2342</v>
      </c>
      <c r="E707" s="4" t="s">
        <v>2882</v>
      </c>
      <c r="F707" s="106">
        <f>IF(COUNTIF($A$4:$A707,$A707)=1,1,0)</f>
        <v>0</v>
      </c>
      <c r="G707" s="106" cm="1">
        <f t="array" ref="G707">IF($F707=1,IF(SUMPRODUCT(--ISNUMBER(SEARCH(","&amp;$A707&amp;",",'Parts list'!$Z$4:$Z$185)))&gt;0,1,0),0)</f>
        <v>0</v>
      </c>
    </row>
    <row r="708" spans="1:7" x14ac:dyDescent="0.2">
      <c r="A708" s="1" t="s">
        <v>977</v>
      </c>
      <c r="B708" s="104">
        <v>1</v>
      </c>
      <c r="C708" s="104">
        <v>1</v>
      </c>
      <c r="D708" s="1" t="s">
        <v>2342</v>
      </c>
      <c r="E708" s="4" t="s">
        <v>2883</v>
      </c>
      <c r="F708" s="106">
        <f>IF(COUNTIF($A$4:$A708,$A708)=1,1,0)</f>
        <v>1</v>
      </c>
      <c r="G708" s="106" cm="1">
        <f t="array" ref="G708">IF($F708=1,IF(SUMPRODUCT(--ISNUMBER(SEARCH(","&amp;$A708&amp;",",'Parts list'!$Z$4:$Z$185)))&gt;0,1,0),0)</f>
        <v>1</v>
      </c>
    </row>
    <row r="709" spans="1:7" x14ac:dyDescent="0.2">
      <c r="A709" s="1" t="s">
        <v>977</v>
      </c>
      <c r="B709" s="104">
        <v>2</v>
      </c>
      <c r="C709" s="104">
        <v>2</v>
      </c>
      <c r="D709" s="1" t="s">
        <v>2168</v>
      </c>
      <c r="E709" s="4" t="s">
        <v>2883</v>
      </c>
      <c r="F709" s="106">
        <f>IF(COUNTIF($A$4:$A709,$A709)=1,1,0)</f>
        <v>0</v>
      </c>
      <c r="G709" s="106" cm="1">
        <f t="array" ref="G709">IF($F709=1,IF(SUMPRODUCT(--ISNUMBER(SEARCH(","&amp;$A709&amp;",",'Parts list'!$Z$4:$Z$185)))&gt;0,1,0),0)</f>
        <v>0</v>
      </c>
    </row>
    <row r="710" spans="1:7" x14ac:dyDescent="0.2">
      <c r="A710" s="1" t="s">
        <v>982</v>
      </c>
      <c r="B710" s="104">
        <v>1</v>
      </c>
      <c r="C710" s="104">
        <v>1</v>
      </c>
      <c r="D710" s="1" t="s">
        <v>2884</v>
      </c>
      <c r="E710" s="4" t="s">
        <v>2885</v>
      </c>
      <c r="F710" s="106">
        <f>IF(COUNTIF($A$4:$A710,$A710)=1,1,0)</f>
        <v>1</v>
      </c>
      <c r="G710" s="106" cm="1">
        <f t="array" ref="G710">IF($F710=1,IF(SUMPRODUCT(--ISNUMBER(SEARCH(","&amp;$A710&amp;",",'Parts list'!$Z$4:$Z$185)))&gt;0,1,0),0)</f>
        <v>1</v>
      </c>
    </row>
    <row r="711" spans="1:7" x14ac:dyDescent="0.2">
      <c r="A711" s="1" t="s">
        <v>982</v>
      </c>
      <c r="B711" s="104">
        <v>2</v>
      </c>
      <c r="C711" s="104">
        <v>2</v>
      </c>
      <c r="D711" s="1" t="s">
        <v>2646</v>
      </c>
      <c r="E711" s="4" t="s">
        <v>2885</v>
      </c>
      <c r="F711" s="106">
        <f>IF(COUNTIF($A$4:$A711,$A711)=1,1,0)</f>
        <v>0</v>
      </c>
      <c r="G711" s="106" cm="1">
        <f t="array" ref="G711">IF($F711=1,IF(SUMPRODUCT(--ISNUMBER(SEARCH(","&amp;$A711&amp;",",'Parts list'!$Z$4:$Z$185)))&gt;0,1,0),0)</f>
        <v>0</v>
      </c>
    </row>
    <row r="712" spans="1:7" x14ac:dyDescent="0.2">
      <c r="A712" s="1" t="s">
        <v>986</v>
      </c>
      <c r="B712" s="104">
        <v>1</v>
      </c>
      <c r="C712" s="104">
        <v>1</v>
      </c>
      <c r="D712" s="1" t="s">
        <v>2646</v>
      </c>
      <c r="E712" s="4" t="s">
        <v>2886</v>
      </c>
      <c r="F712" s="106">
        <f>IF(COUNTIF($A$4:$A712,$A712)=1,1,0)</f>
        <v>1</v>
      </c>
      <c r="G712" s="106" cm="1">
        <f t="array" ref="G712">IF($F712=1,IF(SUMPRODUCT(--ISNUMBER(SEARCH(","&amp;$A712&amp;",",'Parts list'!$Z$4:$Z$185)))&gt;0,1,0),0)</f>
        <v>1</v>
      </c>
    </row>
    <row r="713" spans="1:7" x14ac:dyDescent="0.2">
      <c r="A713" s="1" t="s">
        <v>986</v>
      </c>
      <c r="B713" s="104">
        <v>2</v>
      </c>
      <c r="C713" s="104">
        <v>2</v>
      </c>
      <c r="D713" s="1" t="s">
        <v>2168</v>
      </c>
      <c r="E713" s="4" t="s">
        <v>2886</v>
      </c>
      <c r="F713" s="106">
        <f>IF(COUNTIF($A$4:$A713,$A713)=1,1,0)</f>
        <v>0</v>
      </c>
      <c r="G713" s="106" cm="1">
        <f t="array" ref="G713">IF($F713=1,IF(SUMPRODUCT(--ISNUMBER(SEARCH(","&amp;$A713&amp;",",'Parts list'!$Z$4:$Z$185)))&gt;0,1,0),0)</f>
        <v>0</v>
      </c>
    </row>
    <row r="714" spans="1:7" x14ac:dyDescent="0.2">
      <c r="A714" s="1" t="s">
        <v>2887</v>
      </c>
      <c r="B714" s="104">
        <v>1</v>
      </c>
      <c r="C714" s="104">
        <v>1</v>
      </c>
      <c r="D714" s="1" t="s">
        <v>2607</v>
      </c>
      <c r="E714" s="4" t="s">
        <v>2888</v>
      </c>
      <c r="F714" s="106">
        <f>IF(COUNTIF($A$4:$A714,$A714)=1,1,0)</f>
        <v>1</v>
      </c>
      <c r="G714" s="106" cm="1">
        <f t="array" ref="G714">IF($F714=1,IF(SUMPRODUCT(--ISNUMBER(SEARCH(","&amp;$A714&amp;",",'Parts list'!$Z$4:$Z$185)))&gt;0,1,0),0)</f>
        <v>1</v>
      </c>
    </row>
    <row r="715" spans="1:7" x14ac:dyDescent="0.2">
      <c r="A715" s="1" t="s">
        <v>2887</v>
      </c>
      <c r="B715" s="104">
        <v>2</v>
      </c>
      <c r="C715" s="104">
        <v>2</v>
      </c>
      <c r="D715" s="1" t="s">
        <v>2345</v>
      </c>
      <c r="E715" s="4"/>
      <c r="F715" s="106">
        <f>IF(COUNTIF($A$4:$A715,$A715)=1,1,0)</f>
        <v>0</v>
      </c>
      <c r="G715" s="106" cm="1">
        <f t="array" ref="G715">IF($F715=1,IF(SUMPRODUCT(--ISNUMBER(SEARCH(","&amp;$A715&amp;",",'Parts list'!$Z$4:$Z$185)))&gt;0,1,0),0)</f>
        <v>0</v>
      </c>
    </row>
    <row r="716" spans="1:7" x14ac:dyDescent="0.2">
      <c r="A716" s="1" t="s">
        <v>2889</v>
      </c>
      <c r="B716" s="104">
        <v>1</v>
      </c>
      <c r="C716" s="104">
        <v>1</v>
      </c>
      <c r="D716" s="1" t="s">
        <v>2612</v>
      </c>
      <c r="E716" s="4" t="s">
        <v>2888</v>
      </c>
      <c r="F716" s="106">
        <f>IF(COUNTIF($A$4:$A716,$A716)=1,1,0)</f>
        <v>1</v>
      </c>
      <c r="G716" s="106" cm="1">
        <f t="array" ref="G716">IF($F716=1,IF(SUMPRODUCT(--ISNUMBER(SEARCH(","&amp;$A716&amp;",",'Parts list'!$Z$4:$Z$185)))&gt;0,1,0),0)</f>
        <v>1</v>
      </c>
    </row>
    <row r="717" spans="1:7" x14ac:dyDescent="0.2">
      <c r="A717" s="1" t="s">
        <v>2889</v>
      </c>
      <c r="B717" s="104">
        <v>2</v>
      </c>
      <c r="C717" s="104">
        <v>2</v>
      </c>
      <c r="D717" s="1" t="s">
        <v>2348</v>
      </c>
      <c r="E717" s="4"/>
      <c r="F717" s="106">
        <f>IF(COUNTIF($A$4:$A717,$A717)=1,1,0)</f>
        <v>0</v>
      </c>
      <c r="G717" s="106" cm="1">
        <f t="array" ref="G717">IF($F717=1,IF(SUMPRODUCT(--ISNUMBER(SEARCH(","&amp;$A717&amp;",",'Parts list'!$Z$4:$Z$185)))&gt;0,1,0),0)</f>
        <v>0</v>
      </c>
    </row>
    <row r="718" spans="1:7" x14ac:dyDescent="0.2">
      <c r="A718" s="1" t="s">
        <v>2890</v>
      </c>
      <c r="B718" s="104">
        <v>1</v>
      </c>
      <c r="C718" s="104">
        <v>1</v>
      </c>
      <c r="D718" s="1" t="s">
        <v>2616</v>
      </c>
      <c r="E718" s="4" t="s">
        <v>2888</v>
      </c>
      <c r="F718" s="106">
        <f>IF(COUNTIF($A$4:$A718,$A718)=1,1,0)</f>
        <v>1</v>
      </c>
      <c r="G718" s="106" cm="1">
        <f t="array" ref="G718">IF($F718=1,IF(SUMPRODUCT(--ISNUMBER(SEARCH(","&amp;$A718&amp;",",'Parts list'!$Z$4:$Z$185)))&gt;0,1,0),0)</f>
        <v>1</v>
      </c>
    </row>
    <row r="719" spans="1:7" x14ac:dyDescent="0.2">
      <c r="A719" s="1" t="s">
        <v>2890</v>
      </c>
      <c r="B719" s="104">
        <v>2</v>
      </c>
      <c r="C719" s="104">
        <v>2</v>
      </c>
      <c r="D719" s="1" t="s">
        <v>2350</v>
      </c>
      <c r="E719" s="4"/>
      <c r="F719" s="106">
        <f>IF(COUNTIF($A$4:$A719,$A719)=1,1,0)</f>
        <v>0</v>
      </c>
      <c r="G719" s="106" cm="1">
        <f t="array" ref="G719">IF($F719=1,IF(SUMPRODUCT(--ISNUMBER(SEARCH(","&amp;$A719&amp;",",'Parts list'!$Z$4:$Z$185)))&gt;0,1,0),0)</f>
        <v>0</v>
      </c>
    </row>
    <row r="720" spans="1:7" x14ac:dyDescent="0.2">
      <c r="A720" s="1" t="s">
        <v>2891</v>
      </c>
      <c r="B720" s="104">
        <v>1</v>
      </c>
      <c r="C720" s="104">
        <v>1</v>
      </c>
      <c r="D720" s="1" t="s">
        <v>2620</v>
      </c>
      <c r="E720" s="4" t="s">
        <v>2888</v>
      </c>
      <c r="F720" s="106">
        <f>IF(COUNTIF($A$4:$A720,$A720)=1,1,0)</f>
        <v>1</v>
      </c>
      <c r="G720" s="106" cm="1">
        <f t="array" ref="G720">IF($F720=1,IF(SUMPRODUCT(--ISNUMBER(SEARCH(","&amp;$A720&amp;",",'Parts list'!$Z$4:$Z$185)))&gt;0,1,0),0)</f>
        <v>1</v>
      </c>
    </row>
    <row r="721" spans="1:7" x14ac:dyDescent="0.2">
      <c r="A721" s="1" t="s">
        <v>2891</v>
      </c>
      <c r="B721" s="104">
        <v>2</v>
      </c>
      <c r="C721" s="104">
        <v>2</v>
      </c>
      <c r="D721" s="1" t="s">
        <v>2352</v>
      </c>
      <c r="E721" s="4"/>
      <c r="F721" s="106">
        <f>IF(COUNTIF($A$4:$A721,$A721)=1,1,0)</f>
        <v>0</v>
      </c>
      <c r="G721" s="106" cm="1">
        <f t="array" ref="G721">IF($F721=1,IF(SUMPRODUCT(--ISNUMBER(SEARCH(","&amp;$A721&amp;",",'Parts list'!$Z$4:$Z$185)))&gt;0,1,0),0)</f>
        <v>0</v>
      </c>
    </row>
    <row r="722" spans="1:7" x14ac:dyDescent="0.2">
      <c r="A722" s="1" t="s">
        <v>2892</v>
      </c>
      <c r="B722" s="104">
        <v>1</v>
      </c>
      <c r="C722" s="104">
        <v>1</v>
      </c>
      <c r="D722" s="1" t="s">
        <v>2345</v>
      </c>
      <c r="E722" s="4" t="s">
        <v>2893</v>
      </c>
      <c r="F722" s="106">
        <f>IF(COUNTIF($A$4:$A722,$A722)=1,1,0)</f>
        <v>1</v>
      </c>
      <c r="G722" s="106" cm="1">
        <f t="array" ref="G722">IF($F722=1,IF(SUMPRODUCT(--ISNUMBER(SEARCH(","&amp;$A722&amp;",",'Parts list'!$Z$4:$Z$185)))&gt;0,1,0),0)</f>
        <v>1</v>
      </c>
    </row>
    <row r="723" spans="1:7" x14ac:dyDescent="0.2">
      <c r="A723" s="1" t="s">
        <v>2892</v>
      </c>
      <c r="B723" s="104">
        <v>2</v>
      </c>
      <c r="C723" s="104">
        <v>2</v>
      </c>
      <c r="D723" s="1" t="s">
        <v>2221</v>
      </c>
      <c r="E723" s="4"/>
      <c r="F723" s="106">
        <f>IF(COUNTIF($A$4:$A723,$A723)=1,1,0)</f>
        <v>0</v>
      </c>
      <c r="G723" s="106" cm="1">
        <f t="array" ref="G723">IF($F723=1,IF(SUMPRODUCT(--ISNUMBER(SEARCH(","&amp;$A723&amp;",",'Parts list'!$Z$4:$Z$185)))&gt;0,1,0),0)</f>
        <v>0</v>
      </c>
    </row>
    <row r="724" spans="1:7" x14ac:dyDescent="0.2">
      <c r="A724" s="1" t="s">
        <v>2894</v>
      </c>
      <c r="B724" s="104">
        <v>1</v>
      </c>
      <c r="C724" s="104">
        <v>1</v>
      </c>
      <c r="D724" s="1" t="s">
        <v>2348</v>
      </c>
      <c r="E724" s="4" t="s">
        <v>2893</v>
      </c>
      <c r="F724" s="106">
        <f>IF(COUNTIF($A$4:$A724,$A724)=1,1,0)</f>
        <v>1</v>
      </c>
      <c r="G724" s="106" cm="1">
        <f t="array" ref="G724">IF($F724=1,IF(SUMPRODUCT(--ISNUMBER(SEARCH(","&amp;$A724&amp;",",'Parts list'!$Z$4:$Z$185)))&gt;0,1,0),0)</f>
        <v>1</v>
      </c>
    </row>
    <row r="725" spans="1:7" x14ac:dyDescent="0.2">
      <c r="A725" s="1" t="s">
        <v>2894</v>
      </c>
      <c r="B725" s="104">
        <v>2</v>
      </c>
      <c r="C725" s="104">
        <v>2</v>
      </c>
      <c r="D725" s="1" t="s">
        <v>2221</v>
      </c>
      <c r="E725" s="4"/>
      <c r="F725" s="106">
        <f>IF(COUNTIF($A$4:$A725,$A725)=1,1,0)</f>
        <v>0</v>
      </c>
      <c r="G725" s="106" cm="1">
        <f t="array" ref="G725">IF($F725=1,IF(SUMPRODUCT(--ISNUMBER(SEARCH(","&amp;$A725&amp;",",'Parts list'!$Z$4:$Z$185)))&gt;0,1,0),0)</f>
        <v>0</v>
      </c>
    </row>
    <row r="726" spans="1:7" x14ac:dyDescent="0.2">
      <c r="A726" s="1" t="s">
        <v>2895</v>
      </c>
      <c r="B726" s="104">
        <v>1</v>
      </c>
      <c r="C726" s="104">
        <v>1</v>
      </c>
      <c r="D726" s="1" t="s">
        <v>2350</v>
      </c>
      <c r="E726" s="4" t="s">
        <v>2893</v>
      </c>
      <c r="F726" s="106">
        <f>IF(COUNTIF($A$4:$A726,$A726)=1,1,0)</f>
        <v>1</v>
      </c>
      <c r="G726" s="106" cm="1">
        <f t="array" ref="G726">IF($F726=1,IF(SUMPRODUCT(--ISNUMBER(SEARCH(","&amp;$A726&amp;",",'Parts list'!$Z$4:$Z$185)))&gt;0,1,0),0)</f>
        <v>1</v>
      </c>
    </row>
    <row r="727" spans="1:7" x14ac:dyDescent="0.2">
      <c r="A727" s="1" t="s">
        <v>2895</v>
      </c>
      <c r="B727" s="104">
        <v>2</v>
      </c>
      <c r="C727" s="104">
        <v>2</v>
      </c>
      <c r="D727" s="1" t="s">
        <v>2221</v>
      </c>
      <c r="E727" s="4"/>
      <c r="F727" s="106">
        <f>IF(COUNTIF($A$4:$A727,$A727)=1,1,0)</f>
        <v>0</v>
      </c>
      <c r="G727" s="106" cm="1">
        <f t="array" ref="G727">IF($F727=1,IF(SUMPRODUCT(--ISNUMBER(SEARCH(","&amp;$A727&amp;",",'Parts list'!$Z$4:$Z$185)))&gt;0,1,0),0)</f>
        <v>0</v>
      </c>
    </row>
    <row r="728" spans="1:7" x14ac:dyDescent="0.2">
      <c r="A728" s="1" t="s">
        <v>2896</v>
      </c>
      <c r="B728" s="104">
        <v>1</v>
      </c>
      <c r="C728" s="104">
        <v>1</v>
      </c>
      <c r="D728" s="1" t="s">
        <v>2352</v>
      </c>
      <c r="E728" s="4" t="s">
        <v>2893</v>
      </c>
      <c r="F728" s="106">
        <f>IF(COUNTIF($A$4:$A728,$A728)=1,1,0)</f>
        <v>1</v>
      </c>
      <c r="G728" s="106" cm="1">
        <f t="array" ref="G728">IF($F728=1,IF(SUMPRODUCT(--ISNUMBER(SEARCH(","&amp;$A728&amp;",",'Parts list'!$Z$4:$Z$185)))&gt;0,1,0),0)</f>
        <v>1</v>
      </c>
    </row>
    <row r="729" spans="1:7" x14ac:dyDescent="0.2">
      <c r="A729" s="1" t="s">
        <v>2896</v>
      </c>
      <c r="B729" s="104">
        <v>2</v>
      </c>
      <c r="C729" s="104">
        <v>2</v>
      </c>
      <c r="D729" s="1" t="s">
        <v>2221</v>
      </c>
      <c r="E729" s="4"/>
      <c r="F729" s="106">
        <f>IF(COUNTIF($A$4:$A729,$A729)=1,1,0)</f>
        <v>0</v>
      </c>
      <c r="G729" s="106" cm="1">
        <f t="array" ref="G729">IF($F729=1,IF(SUMPRODUCT(--ISNUMBER(SEARCH(","&amp;$A729&amp;",",'Parts list'!$Z$4:$Z$185)))&gt;0,1,0),0)</f>
        <v>0</v>
      </c>
    </row>
    <row r="730" spans="1:7" x14ac:dyDescent="0.2">
      <c r="A730" s="1" t="s">
        <v>2897</v>
      </c>
      <c r="B730" s="104">
        <v>1</v>
      </c>
      <c r="C730" s="104">
        <v>1</v>
      </c>
      <c r="D730" s="1" t="s">
        <v>2345</v>
      </c>
      <c r="E730" s="4" t="s">
        <v>2898</v>
      </c>
      <c r="F730" s="106">
        <f>IF(COUNTIF($A$4:$A730,$A730)=1,1,0)</f>
        <v>1</v>
      </c>
      <c r="G730" s="106" cm="1">
        <f t="array" ref="G730">IF($F730=1,IF(SUMPRODUCT(--ISNUMBER(SEARCH(","&amp;$A730&amp;",",'Parts list'!$Z$4:$Z$185)))&gt;0,1,0),0)</f>
        <v>1</v>
      </c>
    </row>
    <row r="731" spans="1:7" x14ac:dyDescent="0.2">
      <c r="A731" s="1" t="s">
        <v>2897</v>
      </c>
      <c r="B731" s="104">
        <v>2</v>
      </c>
      <c r="C731" s="104">
        <v>2</v>
      </c>
      <c r="D731" s="1" t="s">
        <v>2168</v>
      </c>
      <c r="E731" s="4"/>
      <c r="F731" s="106">
        <f>IF(COUNTIF($A$4:$A731,$A731)=1,1,0)</f>
        <v>0</v>
      </c>
      <c r="G731" s="106" cm="1">
        <f t="array" ref="G731">IF($F731=1,IF(SUMPRODUCT(--ISNUMBER(SEARCH(","&amp;$A731&amp;",",'Parts list'!$Z$4:$Z$185)))&gt;0,1,0),0)</f>
        <v>0</v>
      </c>
    </row>
    <row r="732" spans="1:7" x14ac:dyDescent="0.2">
      <c r="A732" s="1" t="s">
        <v>2899</v>
      </c>
      <c r="B732" s="104">
        <v>1</v>
      </c>
      <c r="C732" s="104">
        <v>1</v>
      </c>
      <c r="D732" s="1" t="s">
        <v>2348</v>
      </c>
      <c r="E732" s="4" t="s">
        <v>2898</v>
      </c>
      <c r="F732" s="106">
        <f>IF(COUNTIF($A$4:$A732,$A732)=1,1,0)</f>
        <v>1</v>
      </c>
      <c r="G732" s="106" cm="1">
        <f t="array" ref="G732">IF($F732=1,IF(SUMPRODUCT(--ISNUMBER(SEARCH(","&amp;$A732&amp;",",'Parts list'!$Z$4:$Z$185)))&gt;0,1,0),0)</f>
        <v>1</v>
      </c>
    </row>
    <row r="733" spans="1:7" x14ac:dyDescent="0.2">
      <c r="A733" s="1" t="s">
        <v>2899</v>
      </c>
      <c r="B733" s="104">
        <v>2</v>
      </c>
      <c r="C733" s="104">
        <v>2</v>
      </c>
      <c r="D733" s="1" t="s">
        <v>2168</v>
      </c>
      <c r="E733" s="4"/>
      <c r="F733" s="106">
        <f>IF(COUNTIF($A$4:$A733,$A733)=1,1,0)</f>
        <v>0</v>
      </c>
      <c r="G733" s="106" cm="1">
        <f t="array" ref="G733">IF($F733=1,IF(SUMPRODUCT(--ISNUMBER(SEARCH(","&amp;$A733&amp;",",'Parts list'!$Z$4:$Z$185)))&gt;0,1,0),0)</f>
        <v>0</v>
      </c>
    </row>
    <row r="734" spans="1:7" x14ac:dyDescent="0.2">
      <c r="A734" s="1" t="s">
        <v>2900</v>
      </c>
      <c r="B734" s="104">
        <v>1</v>
      </c>
      <c r="C734" s="104">
        <v>1</v>
      </c>
      <c r="D734" s="1" t="s">
        <v>2350</v>
      </c>
      <c r="E734" s="4" t="s">
        <v>2898</v>
      </c>
      <c r="F734" s="106">
        <f>IF(COUNTIF($A$4:$A734,$A734)=1,1,0)</f>
        <v>1</v>
      </c>
      <c r="G734" s="106" cm="1">
        <f t="array" ref="G734">IF($F734=1,IF(SUMPRODUCT(--ISNUMBER(SEARCH(","&amp;$A734&amp;",",'Parts list'!$Z$4:$Z$185)))&gt;0,1,0),0)</f>
        <v>1</v>
      </c>
    </row>
    <row r="735" spans="1:7" x14ac:dyDescent="0.2">
      <c r="A735" s="1" t="s">
        <v>2900</v>
      </c>
      <c r="B735" s="104">
        <v>2</v>
      </c>
      <c r="C735" s="104">
        <v>2</v>
      </c>
      <c r="D735" s="1" t="s">
        <v>2168</v>
      </c>
      <c r="E735" s="4"/>
      <c r="F735" s="106">
        <f>IF(COUNTIF($A$4:$A735,$A735)=1,1,0)</f>
        <v>0</v>
      </c>
      <c r="G735" s="106" cm="1">
        <f t="array" ref="G735">IF($F735=1,IF(SUMPRODUCT(--ISNUMBER(SEARCH(","&amp;$A735&amp;",",'Parts list'!$Z$4:$Z$185)))&gt;0,1,0),0)</f>
        <v>0</v>
      </c>
    </row>
    <row r="736" spans="1:7" x14ac:dyDescent="0.2">
      <c r="A736" s="1" t="s">
        <v>2901</v>
      </c>
      <c r="B736" s="104">
        <v>1</v>
      </c>
      <c r="C736" s="104">
        <v>1</v>
      </c>
      <c r="D736" s="1" t="s">
        <v>2352</v>
      </c>
      <c r="E736" s="4" t="s">
        <v>2898</v>
      </c>
      <c r="F736" s="106">
        <f>IF(COUNTIF($A$4:$A736,$A736)=1,1,0)</f>
        <v>1</v>
      </c>
      <c r="G736" s="106" cm="1">
        <f t="array" ref="G736">IF($F736=1,IF(SUMPRODUCT(--ISNUMBER(SEARCH(","&amp;$A736&amp;",",'Parts list'!$Z$4:$Z$185)))&gt;0,1,0),0)</f>
        <v>1</v>
      </c>
    </row>
    <row r="737" spans="1:7" x14ac:dyDescent="0.2">
      <c r="A737" s="1" t="s">
        <v>2901</v>
      </c>
      <c r="B737" s="104">
        <v>2</v>
      </c>
      <c r="C737" s="104">
        <v>2</v>
      </c>
      <c r="D737" s="1" t="s">
        <v>2168</v>
      </c>
      <c r="E737" s="4"/>
      <c r="F737" s="106">
        <f>IF(COUNTIF($A$4:$A737,$A737)=1,1,0)</f>
        <v>0</v>
      </c>
      <c r="G737" s="106" cm="1">
        <f t="array" ref="G737">IF($F737=1,IF(SUMPRODUCT(--ISNUMBER(SEARCH(","&amp;$A737&amp;",",'Parts list'!$Z$4:$Z$185)))&gt;0,1,0),0)</f>
        <v>0</v>
      </c>
    </row>
    <row r="738" spans="1:7" x14ac:dyDescent="0.2">
      <c r="A738" s="1" t="s">
        <v>2902</v>
      </c>
      <c r="B738" s="104">
        <v>1</v>
      </c>
      <c r="C738" s="104">
        <v>1</v>
      </c>
      <c r="D738" s="1" t="s">
        <v>2354</v>
      </c>
      <c r="E738" s="4" t="s">
        <v>2903</v>
      </c>
      <c r="F738" s="106">
        <f>IF(COUNTIF($A$4:$A738,$A738)=1,1,0)</f>
        <v>1</v>
      </c>
      <c r="G738" s="106" cm="1">
        <f t="array" ref="G738">IF($F738=1,IF(SUMPRODUCT(--ISNUMBER(SEARCH(","&amp;$A738&amp;",",'Parts list'!$Z$4:$Z$185)))&gt;0,1,0),0)</f>
        <v>1</v>
      </c>
    </row>
    <row r="739" spans="1:7" x14ac:dyDescent="0.2">
      <c r="A739" s="1" t="s">
        <v>2902</v>
      </c>
      <c r="B739" s="104">
        <v>2</v>
      </c>
      <c r="C739" s="104">
        <v>2</v>
      </c>
      <c r="D739" s="1" t="s">
        <v>2221</v>
      </c>
      <c r="E739" s="4"/>
      <c r="F739" s="106">
        <f>IF(COUNTIF($A$4:$A739,$A739)=1,1,0)</f>
        <v>0</v>
      </c>
      <c r="G739" s="106" cm="1">
        <f t="array" ref="G739">IF($F739=1,IF(SUMPRODUCT(--ISNUMBER(SEARCH(","&amp;$A739&amp;",",'Parts list'!$Z$4:$Z$185)))&gt;0,1,0),0)</f>
        <v>0</v>
      </c>
    </row>
    <row r="740" spans="1:7" x14ac:dyDescent="0.2">
      <c r="A740" s="1" t="s">
        <v>2904</v>
      </c>
      <c r="B740" s="104">
        <v>1</v>
      </c>
      <c r="C740" s="104">
        <v>1</v>
      </c>
      <c r="D740" s="1" t="s">
        <v>2354</v>
      </c>
      <c r="E740" s="4" t="s">
        <v>2905</v>
      </c>
      <c r="F740" s="106">
        <f>IF(COUNTIF($A$4:$A740,$A740)=1,1,0)</f>
        <v>1</v>
      </c>
      <c r="G740" s="106" cm="1">
        <f t="array" ref="G740">IF($F740=1,IF(SUMPRODUCT(--ISNUMBER(SEARCH(","&amp;$A740&amp;",",'Parts list'!$Z$4:$Z$185)))&gt;0,1,0),0)</f>
        <v>1</v>
      </c>
    </row>
    <row r="741" spans="1:7" x14ac:dyDescent="0.2">
      <c r="A741" s="1" t="s">
        <v>2904</v>
      </c>
      <c r="B741" s="104">
        <v>2</v>
      </c>
      <c r="C741" s="104">
        <v>2</v>
      </c>
      <c r="D741" s="1" t="s">
        <v>2168</v>
      </c>
      <c r="E741" s="4"/>
      <c r="F741" s="106">
        <f>IF(COUNTIF($A$4:$A741,$A741)=1,1,0)</f>
        <v>0</v>
      </c>
      <c r="G741" s="106" cm="1">
        <f t="array" ref="G741">IF($F741=1,IF(SUMPRODUCT(--ISNUMBER(SEARCH(","&amp;$A741&amp;",",'Parts list'!$Z$4:$Z$185)))&gt;0,1,0),0)</f>
        <v>0</v>
      </c>
    </row>
    <row r="742" spans="1:7" x14ac:dyDescent="0.2">
      <c r="A742" s="1" t="s">
        <v>2906</v>
      </c>
      <c r="B742" s="104">
        <v>1</v>
      </c>
      <c r="C742" s="104">
        <v>1</v>
      </c>
      <c r="D742" s="1" t="s">
        <v>2653</v>
      </c>
      <c r="E742" s="4" t="s">
        <v>2907</v>
      </c>
      <c r="F742" s="106">
        <f>IF(COUNTIF($A$4:$A742,$A742)=1,1,0)</f>
        <v>1</v>
      </c>
      <c r="G742" s="106" cm="1">
        <f t="array" ref="G742">IF($F742=1,IF(SUMPRODUCT(--ISNUMBER(SEARCH(","&amp;$A742&amp;",",'Parts list'!$Z$4:$Z$185)))&gt;0,1,0),0)</f>
        <v>1</v>
      </c>
    </row>
    <row r="743" spans="1:7" x14ac:dyDescent="0.2">
      <c r="A743" s="1" t="s">
        <v>2906</v>
      </c>
      <c r="B743" s="104">
        <v>2</v>
      </c>
      <c r="C743" s="104">
        <v>2</v>
      </c>
      <c r="D743" s="1" t="s">
        <v>2662</v>
      </c>
      <c r="E743" s="4"/>
      <c r="F743" s="106">
        <f>IF(COUNTIF($A$4:$A743,$A743)=1,1,0)</f>
        <v>0</v>
      </c>
      <c r="G743" s="106" cm="1">
        <f t="array" ref="G743">IF($F743=1,IF(SUMPRODUCT(--ISNUMBER(SEARCH(","&amp;$A743&amp;",",'Parts list'!$Z$4:$Z$185)))&gt;0,1,0),0)</f>
        <v>0</v>
      </c>
    </row>
    <row r="744" spans="1:7" x14ac:dyDescent="0.2">
      <c r="A744" s="1" t="s">
        <v>2908</v>
      </c>
      <c r="B744" s="104">
        <v>1</v>
      </c>
      <c r="C744" s="104">
        <v>1</v>
      </c>
      <c r="D744" s="1" t="s">
        <v>2657</v>
      </c>
      <c r="E744" s="4" t="s">
        <v>2909</v>
      </c>
      <c r="F744" s="106">
        <f>IF(COUNTIF($A$4:$A744,$A744)=1,1,0)</f>
        <v>1</v>
      </c>
      <c r="G744" s="106" cm="1">
        <f t="array" ref="G744">IF($F744=1,IF(SUMPRODUCT(--ISNUMBER(SEARCH(","&amp;$A744&amp;",",'Parts list'!$Z$4:$Z$185)))&gt;0,1,0),0)</f>
        <v>1</v>
      </c>
    </row>
    <row r="745" spans="1:7" x14ac:dyDescent="0.2">
      <c r="A745" s="1" t="s">
        <v>2908</v>
      </c>
      <c r="B745" s="104">
        <v>2</v>
      </c>
      <c r="C745" s="104">
        <v>2</v>
      </c>
      <c r="D745" s="1" t="s">
        <v>2662</v>
      </c>
      <c r="E745" s="4"/>
      <c r="F745" s="106">
        <f>IF(COUNTIF($A$4:$A745,$A745)=1,1,0)</f>
        <v>0</v>
      </c>
      <c r="G745" s="106" cm="1">
        <f t="array" ref="G745">IF($F745=1,IF(SUMPRODUCT(--ISNUMBER(SEARCH(","&amp;$A745&amp;",",'Parts list'!$Z$4:$Z$185)))&gt;0,1,0),0)</f>
        <v>0</v>
      </c>
    </row>
    <row r="746" spans="1:7" x14ac:dyDescent="0.2">
      <c r="A746" s="1" t="s">
        <v>2910</v>
      </c>
      <c r="B746" s="104">
        <v>1</v>
      </c>
      <c r="C746" s="104">
        <v>1</v>
      </c>
      <c r="D746" s="1" t="s">
        <v>2911</v>
      </c>
      <c r="E746" s="4" t="s">
        <v>2912</v>
      </c>
      <c r="F746" s="106">
        <f>IF(COUNTIF($A$4:$A746,$A746)=1,1,0)</f>
        <v>1</v>
      </c>
      <c r="G746" s="106" cm="1">
        <f t="array" ref="G746">IF($F746=1,IF(SUMPRODUCT(--ISNUMBER(SEARCH(","&amp;$A746&amp;",",'Parts list'!$Z$4:$Z$185)))&gt;0,1,0),0)</f>
        <v>1</v>
      </c>
    </row>
    <row r="747" spans="1:7" x14ac:dyDescent="0.2">
      <c r="A747" s="1" t="s">
        <v>2910</v>
      </c>
      <c r="B747" s="104">
        <v>2</v>
      </c>
      <c r="C747" s="104">
        <v>2</v>
      </c>
      <c r="D747" s="1" t="s">
        <v>2651</v>
      </c>
      <c r="E747" s="4"/>
      <c r="F747" s="106">
        <f>IF(COUNTIF($A$4:$A747,$A747)=1,1,0)</f>
        <v>0</v>
      </c>
      <c r="G747" s="106" cm="1">
        <f t="array" ref="G747">IF($F747=1,IF(SUMPRODUCT(--ISNUMBER(SEARCH(","&amp;$A747&amp;",",'Parts list'!$Z$4:$Z$185)))&gt;0,1,0),0)</f>
        <v>0</v>
      </c>
    </row>
    <row r="748" spans="1:7" x14ac:dyDescent="0.2">
      <c r="A748" s="1" t="s">
        <v>2913</v>
      </c>
      <c r="B748" s="104">
        <v>1</v>
      </c>
      <c r="C748" s="104">
        <v>1</v>
      </c>
      <c r="D748" s="1" t="s">
        <v>2914</v>
      </c>
      <c r="E748" s="4" t="s">
        <v>2915</v>
      </c>
      <c r="F748" s="106">
        <f>IF(COUNTIF($A$4:$A748,$A748)=1,1,0)</f>
        <v>1</v>
      </c>
      <c r="G748" s="106" cm="1">
        <f t="array" ref="G748">IF($F748=1,IF(SUMPRODUCT(--ISNUMBER(SEARCH(","&amp;$A748&amp;",",'Parts list'!$Z$4:$Z$185)))&gt;0,1,0),0)</f>
        <v>1</v>
      </c>
    </row>
    <row r="749" spans="1:7" x14ac:dyDescent="0.2">
      <c r="A749" s="1" t="s">
        <v>2913</v>
      </c>
      <c r="B749" s="104">
        <v>2</v>
      </c>
      <c r="C749" s="104">
        <v>2</v>
      </c>
      <c r="D749" s="1" t="s">
        <v>2655</v>
      </c>
      <c r="E749" s="4"/>
      <c r="F749" s="106">
        <f>IF(COUNTIF($A$4:$A749,$A749)=1,1,0)</f>
        <v>0</v>
      </c>
      <c r="G749" s="106" cm="1">
        <f t="array" ref="G749">IF($F749=1,IF(SUMPRODUCT(--ISNUMBER(SEARCH(","&amp;$A749&amp;",",'Parts list'!$Z$4:$Z$185)))&gt;0,1,0),0)</f>
        <v>0</v>
      </c>
    </row>
    <row r="750" spans="1:7" ht="27.75" customHeight="1" x14ac:dyDescent="0.2">
      <c r="A750" s="1" t="s">
        <v>2916</v>
      </c>
      <c r="B750" s="104">
        <v>1</v>
      </c>
      <c r="C750" s="104">
        <v>1</v>
      </c>
      <c r="D750" s="1" t="s">
        <v>2780</v>
      </c>
      <c r="E750" s="4" t="s">
        <v>2917</v>
      </c>
      <c r="F750" s="106">
        <f>IF(COUNTIF($A$4:$A750,$A750)=1,1,0)</f>
        <v>1</v>
      </c>
      <c r="G750" s="106" cm="1">
        <f t="array" ref="G750">IF($F750=1,IF(SUMPRODUCT(--ISNUMBER(SEARCH(","&amp;$A750&amp;",",'Parts list'!$Z$4:$Z$185)))&gt;0,1,0),0)</f>
        <v>1</v>
      </c>
    </row>
    <row r="751" spans="1:7" x14ac:dyDescent="0.2">
      <c r="A751" s="1" t="s">
        <v>2916</v>
      </c>
      <c r="B751" s="104">
        <v>2</v>
      </c>
      <c r="C751" s="104">
        <v>2</v>
      </c>
      <c r="D751" s="1" t="s">
        <v>2659</v>
      </c>
      <c r="E751" s="4"/>
      <c r="F751" s="106">
        <f>IF(COUNTIF($A$4:$A751,$A751)=1,1,0)</f>
        <v>0</v>
      </c>
      <c r="G751" s="106" cm="1">
        <f t="array" ref="G751">IF($F751=1,IF(SUMPRODUCT(--ISNUMBER(SEARCH(","&amp;$A751&amp;",",'Parts list'!$Z$4:$Z$185)))&gt;0,1,0),0)</f>
        <v>0</v>
      </c>
    </row>
    <row r="752" spans="1:7" x14ac:dyDescent="0.2">
      <c r="A752" s="1" t="s">
        <v>2918</v>
      </c>
      <c r="B752" s="104">
        <v>1</v>
      </c>
      <c r="C752" s="104">
        <v>1</v>
      </c>
      <c r="D752" s="1" t="s">
        <v>2919</v>
      </c>
      <c r="E752" s="4" t="s">
        <v>2920</v>
      </c>
      <c r="F752" s="106">
        <f>IF(COUNTIF($A$4:$A752,$A752)=1,1,0)</f>
        <v>1</v>
      </c>
      <c r="G752" s="106" cm="1">
        <f t="array" ref="G752">IF($F752=1,IF(SUMPRODUCT(--ISNUMBER(SEARCH(","&amp;$A752&amp;",",'Parts list'!$Z$4:$Z$185)))&gt;0,1,0),0)</f>
        <v>1</v>
      </c>
    </row>
    <row r="753" spans="1:7" x14ac:dyDescent="0.2">
      <c r="A753" s="1" t="s">
        <v>2918</v>
      </c>
      <c r="B753" s="104">
        <v>2</v>
      </c>
      <c r="C753" s="104">
        <v>2</v>
      </c>
      <c r="D753" s="1" t="s">
        <v>2168</v>
      </c>
      <c r="E753" s="4"/>
      <c r="F753" s="106">
        <f>IF(COUNTIF($A$4:$A753,$A753)=1,1,0)</f>
        <v>0</v>
      </c>
      <c r="G753" s="106" cm="1">
        <f t="array" ref="G753">IF($F753=1,IF(SUMPRODUCT(--ISNUMBER(SEARCH(","&amp;$A753&amp;",",'Parts list'!$Z$4:$Z$185)))&gt;0,1,0),0)</f>
        <v>0</v>
      </c>
    </row>
    <row r="754" spans="1:7" x14ac:dyDescent="0.2">
      <c r="A754" s="1" t="s">
        <v>2921</v>
      </c>
      <c r="B754" s="104">
        <v>1</v>
      </c>
      <c r="C754" s="104">
        <v>1</v>
      </c>
      <c r="D754" s="1" t="s">
        <v>2264</v>
      </c>
      <c r="E754" s="4" t="s">
        <v>2922</v>
      </c>
      <c r="F754" s="106">
        <f>IF(COUNTIF($A$4:$A754,$A754)=1,1,0)</f>
        <v>1</v>
      </c>
      <c r="G754" s="106" cm="1">
        <f t="array" ref="G754">IF($F754=1,IF(SUMPRODUCT(--ISNUMBER(SEARCH(","&amp;$A754&amp;",",'Parts list'!$Z$4:$Z$185)))&gt;0,1,0),0)</f>
        <v>1</v>
      </c>
    </row>
    <row r="755" spans="1:7" x14ac:dyDescent="0.2">
      <c r="A755" s="1" t="s">
        <v>2921</v>
      </c>
      <c r="B755" s="104">
        <v>2</v>
      </c>
      <c r="C755" s="104">
        <v>2</v>
      </c>
      <c r="D755" s="1" t="s">
        <v>2356</v>
      </c>
      <c r="E755" s="4"/>
      <c r="F755" s="106">
        <f>IF(COUNTIF($A$4:$A755,$A755)=1,1,0)</f>
        <v>0</v>
      </c>
      <c r="G755" s="106" cm="1">
        <f t="array" ref="G755">IF($F755=1,IF(SUMPRODUCT(--ISNUMBER(SEARCH(","&amp;$A755&amp;",",'Parts list'!$Z$4:$Z$185)))&gt;0,1,0),0)</f>
        <v>0</v>
      </c>
    </row>
    <row r="756" spans="1:7" x14ac:dyDescent="0.2">
      <c r="A756" s="1" t="s">
        <v>2923</v>
      </c>
      <c r="B756" s="104">
        <v>1</v>
      </c>
      <c r="C756" s="104">
        <v>1</v>
      </c>
      <c r="D756" s="1" t="s">
        <v>2669</v>
      </c>
      <c r="E756" s="4" t="s">
        <v>2924</v>
      </c>
      <c r="F756" s="106">
        <f>IF(COUNTIF($A$4:$A756,$A756)=1,1,0)</f>
        <v>1</v>
      </c>
      <c r="G756" s="106" cm="1">
        <f t="array" ref="G756">IF($F756=1,IF(SUMPRODUCT(--ISNUMBER(SEARCH(","&amp;$A756&amp;",",'Parts list'!$Z$4:$Z$185)))&gt;0,1,0),0)</f>
        <v>1</v>
      </c>
    </row>
    <row r="757" spans="1:7" x14ac:dyDescent="0.2">
      <c r="A757" s="1" t="s">
        <v>2923</v>
      </c>
      <c r="B757" s="104">
        <v>2</v>
      </c>
      <c r="C757" s="104">
        <v>2</v>
      </c>
      <c r="D757" s="1" t="s">
        <v>2181</v>
      </c>
      <c r="E757" s="4"/>
      <c r="F757" s="106">
        <f>IF(COUNTIF($A$4:$A757,$A757)=1,1,0)</f>
        <v>0</v>
      </c>
      <c r="G757" s="106" cm="1">
        <f t="array" ref="G757">IF($F757=1,IF(SUMPRODUCT(--ISNUMBER(SEARCH(","&amp;$A757&amp;",",'Parts list'!$Z$4:$Z$185)))&gt;0,1,0),0)</f>
        <v>0</v>
      </c>
    </row>
    <row r="758" spans="1:7" x14ac:dyDescent="0.2">
      <c r="A758" s="1" t="s">
        <v>2925</v>
      </c>
      <c r="B758" s="104">
        <v>1</v>
      </c>
      <c r="C758" s="104">
        <v>1</v>
      </c>
      <c r="D758" s="1" t="s">
        <v>2280</v>
      </c>
      <c r="E758" s="4" t="s">
        <v>2926</v>
      </c>
      <c r="F758" s="106">
        <f>IF(COUNTIF($A$4:$A758,$A758)=1,1,0)</f>
        <v>1</v>
      </c>
      <c r="G758" s="106" cm="1">
        <f t="array" ref="G758">IF($F758=1,IF(SUMPRODUCT(--ISNUMBER(SEARCH(","&amp;$A758&amp;",",'Parts list'!$Z$4:$Z$185)))&gt;0,1,0),0)</f>
        <v>1</v>
      </c>
    </row>
    <row r="759" spans="1:7" x14ac:dyDescent="0.2">
      <c r="A759" s="1" t="s">
        <v>2925</v>
      </c>
      <c r="B759" s="104">
        <v>2</v>
      </c>
      <c r="C759" s="104">
        <v>2</v>
      </c>
      <c r="D759" s="1" t="s">
        <v>2363</v>
      </c>
      <c r="E759" s="4"/>
      <c r="F759" s="106">
        <f>IF(COUNTIF($A$4:$A759,$A759)=1,1,0)</f>
        <v>0</v>
      </c>
      <c r="G759" s="106" cm="1">
        <f t="array" ref="G759">IF($F759=1,IF(SUMPRODUCT(--ISNUMBER(SEARCH(","&amp;$A759&amp;",",'Parts list'!$Z$4:$Z$185)))&gt;0,1,0),0)</f>
        <v>0</v>
      </c>
    </row>
    <row r="760" spans="1:7" x14ac:dyDescent="0.2">
      <c r="A760" s="1" t="s">
        <v>2927</v>
      </c>
      <c r="B760" s="104">
        <v>1</v>
      </c>
      <c r="C760" s="104">
        <v>1</v>
      </c>
      <c r="D760" s="1" t="s">
        <v>2283</v>
      </c>
      <c r="E760" s="4" t="s">
        <v>2928</v>
      </c>
      <c r="F760" s="106">
        <f>IF(COUNTIF($A$4:$A760,$A760)=1,1,0)</f>
        <v>1</v>
      </c>
      <c r="G760" s="106" cm="1">
        <f t="array" ref="G760">IF($F760=1,IF(SUMPRODUCT(--ISNUMBER(SEARCH(","&amp;$A760&amp;",",'Parts list'!$Z$4:$Z$185)))&gt;0,1,0),0)</f>
        <v>1</v>
      </c>
    </row>
    <row r="761" spans="1:7" x14ac:dyDescent="0.2">
      <c r="A761" s="1" t="s">
        <v>2927</v>
      </c>
      <c r="B761" s="104">
        <v>2</v>
      </c>
      <c r="C761" s="104">
        <v>2</v>
      </c>
      <c r="D761" s="1" t="s">
        <v>2363</v>
      </c>
      <c r="E761" s="4"/>
      <c r="F761" s="106">
        <f>IF(COUNTIF($A$4:$A761,$A761)=1,1,0)</f>
        <v>0</v>
      </c>
      <c r="G761" s="106" cm="1">
        <f t="array" ref="G761">IF($F761=1,IF(SUMPRODUCT(--ISNUMBER(SEARCH(","&amp;$A761&amp;",",'Parts list'!$Z$4:$Z$185)))&gt;0,1,0),0)</f>
        <v>0</v>
      </c>
    </row>
    <row r="762" spans="1:7" x14ac:dyDescent="0.2">
      <c r="A762" s="1" t="s">
        <v>2929</v>
      </c>
      <c r="B762" s="104">
        <v>1</v>
      </c>
      <c r="C762" s="104">
        <v>1</v>
      </c>
      <c r="D762" s="1" t="s">
        <v>2286</v>
      </c>
      <c r="E762" s="4" t="s">
        <v>2930</v>
      </c>
      <c r="F762" s="106">
        <f>IF(COUNTIF($A$4:$A762,$A762)=1,1,0)</f>
        <v>1</v>
      </c>
      <c r="G762" s="106" cm="1">
        <f t="array" ref="G762">IF($F762=1,IF(SUMPRODUCT(--ISNUMBER(SEARCH(","&amp;$A762&amp;",",'Parts list'!$Z$4:$Z$185)))&gt;0,1,0),0)</f>
        <v>1</v>
      </c>
    </row>
    <row r="763" spans="1:7" x14ac:dyDescent="0.2">
      <c r="A763" s="1" t="s">
        <v>2929</v>
      </c>
      <c r="B763" s="104">
        <v>2</v>
      </c>
      <c r="C763" s="104">
        <v>2</v>
      </c>
      <c r="D763" s="1" t="s">
        <v>2366</v>
      </c>
      <c r="E763" s="4"/>
      <c r="F763" s="106">
        <f>IF(COUNTIF($A$4:$A763,$A763)=1,1,0)</f>
        <v>0</v>
      </c>
      <c r="G763" s="106" cm="1">
        <f t="array" ref="G763">IF($F763=1,IF(SUMPRODUCT(--ISNUMBER(SEARCH(","&amp;$A763&amp;",",'Parts list'!$Z$4:$Z$185)))&gt;0,1,0),0)</f>
        <v>0</v>
      </c>
    </row>
    <row r="764" spans="1:7" x14ac:dyDescent="0.2">
      <c r="A764" s="1" t="s">
        <v>2931</v>
      </c>
      <c r="B764" s="104">
        <v>1</v>
      </c>
      <c r="C764" s="104">
        <v>1</v>
      </c>
      <c r="D764" s="1" t="s">
        <v>2289</v>
      </c>
      <c r="E764" s="4" t="s">
        <v>2932</v>
      </c>
      <c r="F764" s="106">
        <f>IF(COUNTIF($A$4:$A764,$A764)=1,1,0)</f>
        <v>1</v>
      </c>
      <c r="G764" s="106" cm="1">
        <f t="array" ref="G764">IF($F764=1,IF(SUMPRODUCT(--ISNUMBER(SEARCH(","&amp;$A764&amp;",",'Parts list'!$Z$4:$Z$185)))&gt;0,1,0),0)</f>
        <v>1</v>
      </c>
    </row>
    <row r="765" spans="1:7" x14ac:dyDescent="0.2">
      <c r="A765" s="1" t="s">
        <v>2931</v>
      </c>
      <c r="B765" s="104">
        <v>2</v>
      </c>
      <c r="C765" s="104">
        <v>2</v>
      </c>
      <c r="D765" s="1" t="s">
        <v>2366</v>
      </c>
      <c r="E765" s="4"/>
      <c r="F765" s="106">
        <f>IF(COUNTIF($A$4:$A765,$A765)=1,1,0)</f>
        <v>0</v>
      </c>
      <c r="G765" s="106" cm="1">
        <f t="array" ref="G765">IF($F765=1,IF(SUMPRODUCT(--ISNUMBER(SEARCH(","&amp;$A765&amp;",",'Parts list'!$Z$4:$Z$185)))&gt;0,1,0),0)</f>
        <v>0</v>
      </c>
    </row>
    <row r="766" spans="1:7" x14ac:dyDescent="0.2">
      <c r="A766" s="1" t="s">
        <v>2933</v>
      </c>
      <c r="B766" s="104">
        <v>1</v>
      </c>
      <c r="C766" s="104">
        <v>1</v>
      </c>
      <c r="D766" s="1" t="s">
        <v>2221</v>
      </c>
      <c r="E766" s="4" t="s">
        <v>2934</v>
      </c>
      <c r="F766" s="106">
        <f>IF(COUNTIF($A$4:$A766,$A766)=1,1,0)</f>
        <v>1</v>
      </c>
      <c r="G766" s="106" cm="1">
        <f t="array" ref="G766">IF($F766=1,IF(SUMPRODUCT(--ISNUMBER(SEARCH(","&amp;$A766&amp;",",'Parts list'!$Z$4:$Z$185)))&gt;0,1,0),0)</f>
        <v>1</v>
      </c>
    </row>
    <row r="767" spans="1:7" x14ac:dyDescent="0.2">
      <c r="A767" s="1" t="s">
        <v>2933</v>
      </c>
      <c r="B767" s="104">
        <v>2</v>
      </c>
      <c r="C767" s="104">
        <v>2</v>
      </c>
      <c r="D767" s="1" t="s">
        <v>2935</v>
      </c>
      <c r="E767" s="4"/>
      <c r="F767" s="106">
        <f>IF(COUNTIF($A$4:$A767,$A767)=1,1,0)</f>
        <v>0</v>
      </c>
      <c r="G767" s="106" cm="1">
        <f t="array" ref="G767">IF($F767=1,IF(SUMPRODUCT(--ISNUMBER(SEARCH(","&amp;$A767&amp;",",'Parts list'!$Z$4:$Z$185)))&gt;0,1,0),0)</f>
        <v>0</v>
      </c>
    </row>
    <row r="768" spans="1:7" x14ac:dyDescent="0.2">
      <c r="A768" s="1" t="s">
        <v>2936</v>
      </c>
      <c r="B768" s="104">
        <v>1</v>
      </c>
      <c r="C768" s="104">
        <v>1</v>
      </c>
      <c r="D768" s="1" t="s">
        <v>2935</v>
      </c>
      <c r="E768" s="4" t="s">
        <v>2937</v>
      </c>
      <c r="F768" s="106">
        <f>IF(COUNTIF($A$4:$A768,$A768)=1,1,0)</f>
        <v>1</v>
      </c>
      <c r="G768" s="106" cm="1">
        <f t="array" ref="G768">IF($F768=1,IF(SUMPRODUCT(--ISNUMBER(SEARCH(","&amp;$A768&amp;",",'Parts list'!$Z$4:$Z$185)))&gt;0,1,0),0)</f>
        <v>1</v>
      </c>
    </row>
    <row r="769" spans="1:7" x14ac:dyDescent="0.2">
      <c r="A769" s="1" t="s">
        <v>2936</v>
      </c>
      <c r="B769" s="104">
        <v>2</v>
      </c>
      <c r="C769" s="104">
        <v>2</v>
      </c>
      <c r="D769" s="1" t="s">
        <v>2938</v>
      </c>
      <c r="E769" s="4"/>
      <c r="F769" s="106">
        <f>IF(COUNTIF($A$4:$A769,$A769)=1,1,0)</f>
        <v>0</v>
      </c>
      <c r="G769" s="106" cm="1">
        <f t="array" ref="G769">IF($F769=1,IF(SUMPRODUCT(--ISNUMBER(SEARCH(","&amp;$A769&amp;",",'Parts list'!$Z$4:$Z$185)))&gt;0,1,0),0)</f>
        <v>0</v>
      </c>
    </row>
    <row r="770" spans="1:7" x14ac:dyDescent="0.2">
      <c r="A770" s="1" t="s">
        <v>2939</v>
      </c>
      <c r="B770" s="104">
        <v>1</v>
      </c>
      <c r="C770" s="104">
        <v>1</v>
      </c>
      <c r="D770" s="1" t="s">
        <v>2938</v>
      </c>
      <c r="E770" s="4" t="s">
        <v>2940</v>
      </c>
      <c r="F770" s="106">
        <f>IF(COUNTIF($A$4:$A770,$A770)=1,1,0)</f>
        <v>1</v>
      </c>
      <c r="G770" s="106" cm="1">
        <f t="array" ref="G770">IF($F770=1,IF(SUMPRODUCT(--ISNUMBER(SEARCH(","&amp;$A770&amp;",",'Parts list'!$Z$4:$Z$185)))&gt;0,1,0),0)</f>
        <v>1</v>
      </c>
    </row>
    <row r="771" spans="1:7" x14ac:dyDescent="0.2">
      <c r="A771" s="1" t="s">
        <v>2939</v>
      </c>
      <c r="B771" s="104">
        <v>2</v>
      </c>
      <c r="C771" s="104">
        <v>2</v>
      </c>
      <c r="D771" s="1" t="s">
        <v>2168</v>
      </c>
      <c r="E771" s="4"/>
      <c r="F771" s="106">
        <f>IF(COUNTIF($A$4:$A771,$A771)=1,1,0)</f>
        <v>0</v>
      </c>
      <c r="G771" s="106" cm="1">
        <f t="array" ref="G771">IF($F771=1,IF(SUMPRODUCT(--ISNUMBER(SEARCH(","&amp;$A771&amp;",",'Parts list'!$Z$4:$Z$185)))&gt;0,1,0),0)</f>
        <v>0</v>
      </c>
    </row>
    <row r="772" spans="1:7" x14ac:dyDescent="0.2">
      <c r="A772" s="1" t="s">
        <v>2941</v>
      </c>
      <c r="B772" s="104">
        <v>1</v>
      </c>
      <c r="C772" s="104">
        <v>1</v>
      </c>
      <c r="D772" s="1" t="s">
        <v>2264</v>
      </c>
      <c r="E772" s="4" t="s">
        <v>2942</v>
      </c>
      <c r="F772" s="106">
        <f>IF(COUNTIF($A$4:$A772,$A772)=1,1,0)</f>
        <v>1</v>
      </c>
      <c r="G772" s="106" cm="1">
        <f t="array" ref="G772">IF($F772=1,IF(SUMPRODUCT(--ISNUMBER(SEARCH(","&amp;$A772&amp;",",'Parts list'!$Z$4:$Z$185)))&gt;0,1,0),0)</f>
        <v>1</v>
      </c>
    </row>
    <row r="773" spans="1:7" x14ac:dyDescent="0.2">
      <c r="A773" s="1" t="s">
        <v>2941</v>
      </c>
      <c r="B773" s="104">
        <v>2</v>
      </c>
      <c r="C773" s="104">
        <v>2</v>
      </c>
      <c r="D773" s="1" t="s">
        <v>2938</v>
      </c>
      <c r="E773" s="4"/>
      <c r="F773" s="106">
        <f>IF(COUNTIF($A$4:$A773,$A773)=1,1,0)</f>
        <v>0</v>
      </c>
      <c r="G773" s="106" cm="1">
        <f t="array" ref="G773">IF($F773=1,IF(SUMPRODUCT(--ISNUMBER(SEARCH(","&amp;$A773&amp;",",'Parts list'!$Z$4:$Z$185)))&gt;0,1,0),0)</f>
        <v>0</v>
      </c>
    </row>
    <row r="774" spans="1:7" x14ac:dyDescent="0.2">
      <c r="A774" s="1" t="s">
        <v>2943</v>
      </c>
      <c r="B774" s="104">
        <v>1</v>
      </c>
      <c r="C774" s="104">
        <v>1</v>
      </c>
      <c r="D774" s="1" t="s">
        <v>2354</v>
      </c>
      <c r="E774" s="4" t="s">
        <v>2944</v>
      </c>
      <c r="F774" s="106">
        <f>IF(COUNTIF($A$4:$A774,$A774)=1,1,0)</f>
        <v>1</v>
      </c>
      <c r="G774" s="106" cm="1">
        <f t="array" ref="G774">IF($F774=1,IF(SUMPRODUCT(--ISNUMBER(SEARCH(","&amp;$A774&amp;",",'Parts list'!$Z$4:$Z$185)))&gt;0,1,0),0)</f>
        <v>1</v>
      </c>
    </row>
    <row r="775" spans="1:7" x14ac:dyDescent="0.2">
      <c r="A775" s="1" t="s">
        <v>2943</v>
      </c>
      <c r="B775" s="104">
        <v>2</v>
      </c>
      <c r="C775" s="104">
        <v>2</v>
      </c>
      <c r="D775" s="1" t="s">
        <v>2168</v>
      </c>
      <c r="E775" s="4"/>
      <c r="F775" s="106">
        <f>IF(COUNTIF($A$4:$A775,$A775)=1,1,0)</f>
        <v>0</v>
      </c>
      <c r="G775" s="106" cm="1">
        <f t="array" ref="G775">IF($F775=1,IF(SUMPRODUCT(--ISNUMBER(SEARCH(","&amp;$A775&amp;",",'Parts list'!$Z$4:$Z$185)))&gt;0,1,0),0)</f>
        <v>0</v>
      </c>
    </row>
    <row r="776" spans="1:7" x14ac:dyDescent="0.2">
      <c r="A776" s="1" t="s">
        <v>2945</v>
      </c>
      <c r="B776" s="104">
        <v>1</v>
      </c>
      <c r="C776" s="104">
        <v>1</v>
      </c>
      <c r="D776" s="1" t="s">
        <v>2919</v>
      </c>
      <c r="E776" s="4" t="s">
        <v>2946</v>
      </c>
      <c r="F776" s="106">
        <f>IF(COUNTIF($A$4:$A776,$A776)=1,1,0)</f>
        <v>1</v>
      </c>
      <c r="G776" s="106" cm="1">
        <f t="array" ref="G776">IF($F776=1,IF(SUMPRODUCT(--ISNUMBER(SEARCH(","&amp;$A776&amp;",",'Parts list'!$Z$4:$Z$185)))&gt;0,1,0),0)</f>
        <v>1</v>
      </c>
    </row>
    <row r="777" spans="1:7" x14ac:dyDescent="0.2">
      <c r="A777" s="1" t="s">
        <v>2945</v>
      </c>
      <c r="B777" s="104">
        <v>2</v>
      </c>
      <c r="C777" s="104">
        <v>2</v>
      </c>
      <c r="D777" s="1" t="s">
        <v>2947</v>
      </c>
      <c r="E777" s="4"/>
      <c r="F777" s="106">
        <f>IF(COUNTIF($A$4:$A777,$A777)=1,1,0)</f>
        <v>0</v>
      </c>
      <c r="G777" s="106" cm="1">
        <f t="array" ref="G777">IF($F777=1,IF(SUMPRODUCT(--ISNUMBER(SEARCH(","&amp;$A777&amp;",",'Parts list'!$Z$4:$Z$185)))&gt;0,1,0),0)</f>
        <v>0</v>
      </c>
    </row>
    <row r="778" spans="1:7" x14ac:dyDescent="0.2">
      <c r="A778" s="1" t="s">
        <v>2948</v>
      </c>
      <c r="B778" s="104">
        <v>1</v>
      </c>
      <c r="C778" s="104">
        <v>1</v>
      </c>
      <c r="D778" s="1" t="s">
        <v>2947</v>
      </c>
      <c r="E778" s="4" t="s">
        <v>2949</v>
      </c>
      <c r="F778" s="106">
        <f>IF(COUNTIF($A$4:$A778,$A778)=1,1,0)</f>
        <v>1</v>
      </c>
      <c r="G778" s="106" cm="1">
        <f t="array" ref="G778">IF($F778=1,IF(SUMPRODUCT(--ISNUMBER(SEARCH(","&amp;$A778&amp;",",'Parts list'!$Z$4:$Z$185)))&gt;0,1,0),0)</f>
        <v>1</v>
      </c>
    </row>
    <row r="779" spans="1:7" x14ac:dyDescent="0.2">
      <c r="A779" s="1" t="s">
        <v>2948</v>
      </c>
      <c r="B779" s="104">
        <v>2</v>
      </c>
      <c r="C779" s="104">
        <v>2</v>
      </c>
      <c r="D779" s="1" t="s">
        <v>2168</v>
      </c>
      <c r="E779" s="4"/>
      <c r="F779" s="106">
        <f>IF(COUNTIF($A$4:$A779,$A779)=1,1,0)</f>
        <v>0</v>
      </c>
      <c r="G779" s="106" cm="1">
        <f t="array" ref="G779">IF($F779=1,IF(SUMPRODUCT(--ISNUMBER(SEARCH(","&amp;$A779&amp;",",'Parts list'!$Z$4:$Z$185)))&gt;0,1,0),0)</f>
        <v>0</v>
      </c>
    </row>
    <row r="780" spans="1:7" x14ac:dyDescent="0.2">
      <c r="A780" s="1" t="s">
        <v>1236</v>
      </c>
      <c r="B780" s="104">
        <v>1</v>
      </c>
      <c r="C780" s="104">
        <v>1</v>
      </c>
      <c r="D780" s="1" t="s">
        <v>2713</v>
      </c>
      <c r="E780" s="4" t="s">
        <v>2950</v>
      </c>
      <c r="F780" s="106">
        <f>IF(COUNTIF($A$4:$A780,$A780)=1,1,0)</f>
        <v>1</v>
      </c>
      <c r="G780" s="106" cm="1">
        <f t="array" ref="G780">IF($F780=1,IF(SUMPRODUCT(--ISNUMBER(SEARCH(","&amp;$A780&amp;",",'Parts list'!$Z$4:$Z$185)))&gt;0,1,0),0)</f>
        <v>1</v>
      </c>
    </row>
    <row r="781" spans="1:7" x14ac:dyDescent="0.2">
      <c r="A781" s="1" t="s">
        <v>1236</v>
      </c>
      <c r="B781" s="104">
        <v>2</v>
      </c>
      <c r="C781" s="104">
        <v>2</v>
      </c>
      <c r="D781" s="1" t="s">
        <v>2951</v>
      </c>
      <c r="E781" s="4"/>
      <c r="F781" s="106">
        <f>IF(COUNTIF($A$4:$A781,$A781)=1,1,0)</f>
        <v>0</v>
      </c>
      <c r="G781" s="106" cm="1">
        <f t="array" ref="G781">IF($F781=1,IF(SUMPRODUCT(--ISNUMBER(SEARCH(","&amp;$A781&amp;",",'Parts list'!$Z$4:$Z$185)))&gt;0,1,0),0)</f>
        <v>0</v>
      </c>
    </row>
    <row r="782" spans="1:7" x14ac:dyDescent="0.2">
      <c r="A782" s="1" t="s">
        <v>2952</v>
      </c>
      <c r="B782" s="104">
        <v>1</v>
      </c>
      <c r="C782" s="104">
        <v>1</v>
      </c>
      <c r="D782" s="1" t="s">
        <v>2375</v>
      </c>
      <c r="E782" s="4" t="s">
        <v>2953</v>
      </c>
      <c r="F782" s="106">
        <f>IF(COUNTIF($A$4:$A782,$A782)=1,1,0)</f>
        <v>1</v>
      </c>
      <c r="G782" s="106" cm="1">
        <f t="array" ref="G782">IF($F782=1,IF(SUMPRODUCT(--ISNUMBER(SEARCH(","&amp;$A782&amp;",",'Parts list'!$Z$4:$Z$185)))&gt;0,1,0),0)</f>
        <v>1</v>
      </c>
    </row>
    <row r="783" spans="1:7" x14ac:dyDescent="0.2">
      <c r="A783" s="1" t="s">
        <v>2952</v>
      </c>
      <c r="B783" s="104">
        <v>2</v>
      </c>
      <c r="C783" s="104">
        <v>2</v>
      </c>
      <c r="D783" s="1" t="s">
        <v>2168</v>
      </c>
      <c r="E783" s="4"/>
      <c r="F783" s="106">
        <f>IF(COUNTIF($A$4:$A783,$A783)=1,1,0)</f>
        <v>0</v>
      </c>
      <c r="G783" s="106" cm="1">
        <f t="array" ref="G783">IF($F783=1,IF(SUMPRODUCT(--ISNUMBER(SEARCH(","&amp;$A783&amp;",",'Parts list'!$Z$4:$Z$185)))&gt;0,1,0),0)</f>
        <v>0</v>
      </c>
    </row>
    <row r="784" spans="1:7" x14ac:dyDescent="0.2">
      <c r="A784" s="1" t="s">
        <v>2954</v>
      </c>
      <c r="B784" s="104">
        <v>1</v>
      </c>
      <c r="C784" s="104">
        <v>1</v>
      </c>
      <c r="D784" s="1" t="s">
        <v>2375</v>
      </c>
      <c r="E784" s="4" t="s">
        <v>2955</v>
      </c>
      <c r="F784" s="106">
        <f>IF(COUNTIF($A$4:$A784,$A784)=1,1,0)</f>
        <v>1</v>
      </c>
      <c r="G784" s="106" cm="1">
        <f t="array" ref="G784">IF($F784=1,IF(SUMPRODUCT(--ISNUMBER(SEARCH(","&amp;$A784&amp;",",'Parts list'!$Z$4:$Z$185)))&gt;0,1,0),0)</f>
        <v>1</v>
      </c>
    </row>
    <row r="785" spans="1:7" x14ac:dyDescent="0.2">
      <c r="A785" s="1" t="s">
        <v>2954</v>
      </c>
      <c r="B785" s="104">
        <v>2</v>
      </c>
      <c r="C785" s="104">
        <v>2</v>
      </c>
      <c r="D785" s="1" t="s">
        <v>2956</v>
      </c>
      <c r="E785" s="4"/>
      <c r="F785" s="106">
        <f>IF(COUNTIF($A$4:$A785,$A785)=1,1,0)</f>
        <v>0</v>
      </c>
      <c r="G785" s="106" cm="1">
        <f t="array" ref="G785">IF($F785=1,IF(SUMPRODUCT(--ISNUMBER(SEARCH(","&amp;$A785&amp;",",'Parts list'!$Z$4:$Z$185)))&gt;0,1,0),0)</f>
        <v>0</v>
      </c>
    </row>
    <row r="786" spans="1:7" x14ac:dyDescent="0.2">
      <c r="A786" s="1" t="s">
        <v>2957</v>
      </c>
      <c r="B786" s="104">
        <v>1</v>
      </c>
      <c r="C786" s="104">
        <v>1</v>
      </c>
      <c r="D786" s="1" t="s">
        <v>2264</v>
      </c>
      <c r="E786" s="4" t="s">
        <v>2958</v>
      </c>
      <c r="F786" s="106">
        <f>IF(COUNTIF($A$4:$A786,$A786)=1,1,0)</f>
        <v>1</v>
      </c>
      <c r="G786" s="106" cm="1">
        <f t="array" ref="G786">IF($F786=1,IF(SUMPRODUCT(--ISNUMBER(SEARCH(","&amp;$A786&amp;",",'Parts list'!$Z$4:$Z$185)))&gt;0,1,0),0)</f>
        <v>1</v>
      </c>
    </row>
    <row r="787" spans="1:7" x14ac:dyDescent="0.2">
      <c r="A787" s="1" t="s">
        <v>2957</v>
      </c>
      <c r="B787" s="104">
        <v>2</v>
      </c>
      <c r="C787" s="104">
        <v>2</v>
      </c>
      <c r="D787" s="1" t="s">
        <v>2959</v>
      </c>
      <c r="E787" s="4"/>
      <c r="F787" s="106">
        <f>IF(COUNTIF($A$4:$A787,$A787)=1,1,0)</f>
        <v>0</v>
      </c>
      <c r="G787" s="106" cm="1">
        <f t="array" ref="G787">IF($F787=1,IF(SUMPRODUCT(--ISNUMBER(SEARCH(","&amp;$A787&amp;",",'Parts list'!$Z$4:$Z$185)))&gt;0,1,0),0)</f>
        <v>0</v>
      </c>
    </row>
    <row r="788" spans="1:7" x14ac:dyDescent="0.2">
      <c r="A788" s="1" t="s">
        <v>2960</v>
      </c>
      <c r="B788" s="104">
        <v>1</v>
      </c>
      <c r="C788" s="104">
        <v>1</v>
      </c>
      <c r="D788" s="1" t="s">
        <v>2959</v>
      </c>
      <c r="E788" s="4" t="s">
        <v>2961</v>
      </c>
      <c r="F788" s="106">
        <f>IF(COUNTIF($A$4:$A788,$A788)=1,1,0)</f>
        <v>1</v>
      </c>
      <c r="G788" s="106" cm="1">
        <f t="array" ref="G788">IF($F788=1,IF(SUMPRODUCT(--ISNUMBER(SEARCH(","&amp;$A788&amp;",",'Parts list'!$Z$4:$Z$185)))&gt;0,1,0),0)</f>
        <v>1</v>
      </c>
    </row>
    <row r="789" spans="1:7" x14ac:dyDescent="0.2">
      <c r="A789" s="1" t="s">
        <v>2960</v>
      </c>
      <c r="B789" s="104">
        <v>2</v>
      </c>
      <c r="C789" s="104">
        <v>2</v>
      </c>
      <c r="D789" s="1" t="s">
        <v>2168</v>
      </c>
      <c r="E789" s="4"/>
      <c r="F789" s="106">
        <f>IF(COUNTIF($A$4:$A789,$A789)=1,1,0)</f>
        <v>0</v>
      </c>
      <c r="G789" s="106" cm="1">
        <f t="array" ref="G789">IF($F789=1,IF(SUMPRODUCT(--ISNUMBER(SEARCH(","&amp;$A789&amp;",",'Parts list'!$Z$4:$Z$185)))&gt;0,1,0),0)</f>
        <v>0</v>
      </c>
    </row>
    <row r="790" spans="1:7" x14ac:dyDescent="0.2">
      <c r="A790" s="1" t="s">
        <v>2962</v>
      </c>
      <c r="B790" s="104">
        <v>1</v>
      </c>
      <c r="C790" s="104">
        <v>1</v>
      </c>
      <c r="D790" s="1" t="s">
        <v>2237</v>
      </c>
      <c r="E790" s="4" t="s">
        <v>2963</v>
      </c>
      <c r="F790" s="106">
        <f>IF(COUNTIF($A$4:$A790,$A790)=1,1,0)</f>
        <v>1</v>
      </c>
      <c r="G790" s="106" cm="1">
        <f t="array" ref="G790">IF($F790=1,IF(SUMPRODUCT(--ISNUMBER(SEARCH(","&amp;$A790&amp;",",'Parts list'!$Z$4:$Z$185)))&gt;0,1,0),0)</f>
        <v>1</v>
      </c>
    </row>
    <row r="791" spans="1:7" x14ac:dyDescent="0.2">
      <c r="A791" s="1" t="s">
        <v>2962</v>
      </c>
      <c r="B791" s="104">
        <v>2</v>
      </c>
      <c r="C791" s="104">
        <v>2</v>
      </c>
      <c r="D791" s="1" t="s">
        <v>2384</v>
      </c>
      <c r="E791" s="4"/>
      <c r="F791" s="106">
        <f>IF(COUNTIF($A$4:$A791,$A791)=1,1,0)</f>
        <v>0</v>
      </c>
      <c r="G791" s="106" cm="1">
        <f t="array" ref="G791">IF($F791=1,IF(SUMPRODUCT(--ISNUMBER(SEARCH(","&amp;$A791&amp;",",'Parts list'!$Z$4:$Z$185)))&gt;0,1,0),0)</f>
        <v>0</v>
      </c>
    </row>
    <row r="792" spans="1:7" x14ac:dyDescent="0.2">
      <c r="A792" s="1" t="s">
        <v>1250</v>
      </c>
      <c r="B792" s="104">
        <v>1</v>
      </c>
      <c r="C792" s="104">
        <v>1</v>
      </c>
      <c r="D792" s="1" t="s">
        <v>2356</v>
      </c>
      <c r="E792" s="4" t="s">
        <v>2964</v>
      </c>
      <c r="F792" s="106">
        <f>IF(COUNTIF($A$4:$A792,$A792)=1,1,0)</f>
        <v>1</v>
      </c>
      <c r="G792" s="106" cm="1">
        <f t="array" ref="G792">IF($F792=1,IF(SUMPRODUCT(--ISNUMBER(SEARCH(","&amp;$A792&amp;",",'Parts list'!$Z$4:$Z$185)))&gt;0,1,0),0)</f>
        <v>1</v>
      </c>
    </row>
    <row r="793" spans="1:7" x14ac:dyDescent="0.2">
      <c r="A793" s="1" t="s">
        <v>1250</v>
      </c>
      <c r="B793" s="104">
        <v>2</v>
      </c>
      <c r="C793" s="104">
        <v>2</v>
      </c>
      <c r="D793" s="1" t="s">
        <v>2384</v>
      </c>
      <c r="E793" s="4"/>
      <c r="F793" s="106">
        <f>IF(COUNTIF($A$4:$A793,$A793)=1,1,0)</f>
        <v>0</v>
      </c>
      <c r="G793" s="106" cm="1">
        <f t="array" ref="G793">IF($F793=1,IF(SUMPRODUCT(--ISNUMBER(SEARCH(","&amp;$A793&amp;",",'Parts list'!$Z$4:$Z$185)))&gt;0,1,0),0)</f>
        <v>0</v>
      </c>
    </row>
    <row r="794" spans="1:7" x14ac:dyDescent="0.2">
      <c r="A794" s="1" t="s">
        <v>1260</v>
      </c>
      <c r="B794" s="104">
        <v>1</v>
      </c>
      <c r="C794" s="104">
        <v>1</v>
      </c>
      <c r="D794" s="1" t="s">
        <v>2264</v>
      </c>
      <c r="E794" s="4" t="s">
        <v>2965</v>
      </c>
      <c r="F794" s="106">
        <f>IF(COUNTIF($A$4:$A794,$A794)=1,1,0)</f>
        <v>1</v>
      </c>
      <c r="G794" s="106" cm="1">
        <f t="array" ref="G794">IF($F794=1,IF(SUMPRODUCT(--ISNUMBER(SEARCH(","&amp;$A794&amp;",",'Parts list'!$Z$4:$Z$185)))&gt;0,1,0),0)</f>
        <v>1</v>
      </c>
    </row>
    <row r="795" spans="1:7" x14ac:dyDescent="0.2">
      <c r="A795" s="1" t="s">
        <v>1260</v>
      </c>
      <c r="B795" s="104">
        <v>2</v>
      </c>
      <c r="C795" s="104">
        <v>2</v>
      </c>
      <c r="D795" s="1" t="s">
        <v>2966</v>
      </c>
      <c r="E795" s="4"/>
      <c r="F795" s="106">
        <f>IF(COUNTIF($A$4:$A795,$A795)=1,1,0)</f>
        <v>0</v>
      </c>
      <c r="G795" s="106" cm="1">
        <f t="array" ref="G795">IF($F795=1,IF(SUMPRODUCT(--ISNUMBER(SEARCH(","&amp;$A795&amp;",",'Parts list'!$Z$4:$Z$185)))&gt;0,1,0),0)</f>
        <v>0</v>
      </c>
    </row>
    <row r="796" spans="1:7" x14ac:dyDescent="0.2">
      <c r="A796" s="1" t="s">
        <v>2967</v>
      </c>
      <c r="B796" s="104">
        <v>1</v>
      </c>
      <c r="C796" s="104">
        <v>1</v>
      </c>
      <c r="D796" s="1" t="s">
        <v>2966</v>
      </c>
      <c r="E796" s="4" t="s">
        <v>2968</v>
      </c>
      <c r="F796" s="106">
        <f>IF(COUNTIF($A$4:$A796,$A796)=1,1,0)</f>
        <v>1</v>
      </c>
      <c r="G796" s="106" cm="1">
        <f t="array" ref="G796">IF($F796=1,IF(SUMPRODUCT(--ISNUMBER(SEARCH(","&amp;$A796&amp;",",'Parts list'!$Z$4:$Z$185)))&gt;0,1,0),0)</f>
        <v>1</v>
      </c>
    </row>
    <row r="797" spans="1:7" x14ac:dyDescent="0.2">
      <c r="A797" s="1" t="s">
        <v>2967</v>
      </c>
      <c r="B797" s="104">
        <v>2</v>
      </c>
      <c r="C797" s="104">
        <v>2</v>
      </c>
      <c r="D797" s="1" t="s">
        <v>2168</v>
      </c>
      <c r="E797" s="4"/>
      <c r="F797" s="106">
        <f>IF(COUNTIF($A$4:$A797,$A797)=1,1,0)</f>
        <v>0</v>
      </c>
      <c r="G797" s="106" cm="1">
        <f t="array" ref="G797">IF($F797=1,IF(SUMPRODUCT(--ISNUMBER(SEARCH(","&amp;$A797&amp;",",'Parts list'!$Z$4:$Z$185)))&gt;0,1,0),0)</f>
        <v>0</v>
      </c>
    </row>
    <row r="798" spans="1:7" x14ac:dyDescent="0.2">
      <c r="A798" s="1" t="s">
        <v>1269</v>
      </c>
      <c r="B798" s="104">
        <v>1</v>
      </c>
      <c r="C798" s="104">
        <v>1</v>
      </c>
      <c r="D798" s="1" t="s">
        <v>2384</v>
      </c>
      <c r="E798" s="4" t="s">
        <v>2969</v>
      </c>
      <c r="F798" s="106">
        <f>IF(COUNTIF($A$4:$A798,$A798)=1,1,0)</f>
        <v>1</v>
      </c>
      <c r="G798" s="106" cm="1">
        <f t="array" ref="G798">IF($F798=1,IF(SUMPRODUCT(--ISNUMBER(SEARCH(","&amp;$A798&amp;",",'Parts list'!$Z$4:$Z$185)))&gt;0,1,0),0)</f>
        <v>1</v>
      </c>
    </row>
    <row r="799" spans="1:7" x14ac:dyDescent="0.2">
      <c r="A799" s="1" t="s">
        <v>1269</v>
      </c>
      <c r="B799" s="104">
        <v>2</v>
      </c>
      <c r="C799" s="104">
        <v>2</v>
      </c>
      <c r="D799" s="1" t="s">
        <v>2498</v>
      </c>
      <c r="E799" s="4"/>
      <c r="F799" s="106">
        <f>IF(COUNTIF($A$4:$A799,$A799)=1,1,0)</f>
        <v>0</v>
      </c>
      <c r="G799" s="106" cm="1">
        <f t="array" ref="G799">IF($F799=1,IF(SUMPRODUCT(--ISNUMBER(SEARCH(","&amp;$A799&amp;",",'Parts list'!$Z$4:$Z$185)))&gt;0,1,0),0)</f>
        <v>0</v>
      </c>
    </row>
    <row r="800" spans="1:7" x14ac:dyDescent="0.2">
      <c r="A800" s="1" t="s">
        <v>2970</v>
      </c>
      <c r="B800" s="104">
        <v>1</v>
      </c>
      <c r="C800" s="104">
        <v>1</v>
      </c>
      <c r="D800" s="1" t="s">
        <v>2221</v>
      </c>
      <c r="E800" s="4" t="s">
        <v>2971</v>
      </c>
      <c r="F800" s="106">
        <f>IF(COUNTIF($A$4:$A800,$A800)=1,1,0)</f>
        <v>1</v>
      </c>
      <c r="G800" s="106" cm="1">
        <f t="array" ref="G800">IF($F800=1,IF(SUMPRODUCT(--ISNUMBER(SEARCH(","&amp;$A800&amp;",",'Parts list'!$Z$4:$Z$185)))&gt;0,1,0),0)</f>
        <v>1</v>
      </c>
    </row>
    <row r="801" spans="1:7" x14ac:dyDescent="0.2">
      <c r="A801" s="1" t="s">
        <v>2970</v>
      </c>
      <c r="B801" s="104">
        <v>2</v>
      </c>
      <c r="C801" s="104">
        <v>2</v>
      </c>
      <c r="D801" s="1" t="s">
        <v>2972</v>
      </c>
      <c r="E801" s="4"/>
      <c r="F801" s="106">
        <f>IF(COUNTIF($A$4:$A801,$A801)=1,1,0)</f>
        <v>0</v>
      </c>
      <c r="G801" s="106" cm="1">
        <f t="array" ref="G801">IF($F801=1,IF(SUMPRODUCT(--ISNUMBER(SEARCH(","&amp;$A801&amp;",",'Parts list'!$Z$4:$Z$185)))&gt;0,1,0),0)</f>
        <v>0</v>
      </c>
    </row>
    <row r="802" spans="1:7" x14ac:dyDescent="0.2">
      <c r="A802" s="1" t="s">
        <v>2973</v>
      </c>
      <c r="B802" s="104">
        <v>1</v>
      </c>
      <c r="C802" s="104">
        <v>1</v>
      </c>
      <c r="D802" s="1" t="s">
        <v>2972</v>
      </c>
      <c r="E802" s="4" t="s">
        <v>2974</v>
      </c>
      <c r="F802" s="106">
        <f>IF(COUNTIF($A$4:$A802,$A802)=1,1,0)</f>
        <v>1</v>
      </c>
      <c r="G802" s="106" cm="1">
        <f t="array" ref="G802">IF($F802=1,IF(SUMPRODUCT(--ISNUMBER(SEARCH(","&amp;$A802&amp;",",'Parts list'!$Z$4:$Z$185)))&gt;0,1,0),0)</f>
        <v>1</v>
      </c>
    </row>
    <row r="803" spans="1:7" x14ac:dyDescent="0.2">
      <c r="A803" s="1" t="s">
        <v>2973</v>
      </c>
      <c r="B803" s="104">
        <v>2</v>
      </c>
      <c r="C803" s="104">
        <v>2</v>
      </c>
      <c r="D803" s="1" t="s">
        <v>2168</v>
      </c>
      <c r="E803" s="4"/>
      <c r="F803" s="106">
        <f>IF(COUNTIF($A$4:$A803,$A803)=1,1,0)</f>
        <v>0</v>
      </c>
      <c r="G803" s="106" cm="1">
        <f t="array" ref="G803">IF($F803=1,IF(SUMPRODUCT(--ISNUMBER(SEARCH(","&amp;$A803&amp;",",'Parts list'!$Z$4:$Z$185)))&gt;0,1,0),0)</f>
        <v>0</v>
      </c>
    </row>
    <row r="804" spans="1:7" x14ac:dyDescent="0.2">
      <c r="A804" s="1" t="s">
        <v>2975</v>
      </c>
      <c r="B804" s="104">
        <v>1</v>
      </c>
      <c r="C804" s="104">
        <v>1</v>
      </c>
      <c r="D804" s="1" t="s">
        <v>2181</v>
      </c>
      <c r="E804" s="4" t="s">
        <v>2976</v>
      </c>
      <c r="F804" s="106">
        <f>IF(COUNTIF($A$4:$A804,$A804)=1,1,0)</f>
        <v>1</v>
      </c>
      <c r="G804" s="106" cm="1">
        <f t="array" ref="G804">IF($F804=1,IF(SUMPRODUCT(--ISNUMBER(SEARCH(","&amp;$A804&amp;",",'Parts list'!$Z$4:$Z$185)))&gt;0,1,0),0)</f>
        <v>1</v>
      </c>
    </row>
    <row r="805" spans="1:7" x14ac:dyDescent="0.2">
      <c r="A805" s="1" t="s">
        <v>2975</v>
      </c>
      <c r="B805" s="104">
        <v>2</v>
      </c>
      <c r="C805" s="104">
        <v>2</v>
      </c>
      <c r="D805" s="1" t="s">
        <v>2977</v>
      </c>
      <c r="E805" s="4"/>
      <c r="F805" s="106">
        <f>IF(COUNTIF($A$4:$A805,$A805)=1,1,0)</f>
        <v>0</v>
      </c>
      <c r="G805" s="106" cm="1">
        <f t="array" ref="G805">IF($F805=1,IF(SUMPRODUCT(--ISNUMBER(SEARCH(","&amp;$A805&amp;",",'Parts list'!$Z$4:$Z$185)))&gt;0,1,0),0)</f>
        <v>0</v>
      </c>
    </row>
    <row r="806" spans="1:7" x14ac:dyDescent="0.2">
      <c r="A806" s="1" t="s">
        <v>2978</v>
      </c>
      <c r="B806" s="104">
        <v>1</v>
      </c>
      <c r="C806" s="104">
        <v>1</v>
      </c>
      <c r="D806" s="1" t="s">
        <v>2977</v>
      </c>
      <c r="E806" s="4" t="s">
        <v>2979</v>
      </c>
      <c r="F806" s="106">
        <f>IF(COUNTIF($A$4:$A806,$A806)=1,1,0)</f>
        <v>1</v>
      </c>
      <c r="G806" s="106" cm="1">
        <f t="array" ref="G806">IF($F806=1,IF(SUMPRODUCT(--ISNUMBER(SEARCH(","&amp;$A806&amp;",",'Parts list'!$Z$4:$Z$185)))&gt;0,1,0),0)</f>
        <v>1</v>
      </c>
    </row>
    <row r="807" spans="1:7" x14ac:dyDescent="0.2">
      <c r="A807" s="1" t="s">
        <v>2978</v>
      </c>
      <c r="B807" s="104">
        <v>2</v>
      </c>
      <c r="C807" s="104">
        <v>2</v>
      </c>
      <c r="D807" s="1" t="s">
        <v>2168</v>
      </c>
      <c r="E807" s="4"/>
      <c r="F807" s="106">
        <f>IF(COUNTIF($A$4:$A807,$A807)=1,1,0)</f>
        <v>0</v>
      </c>
      <c r="G807" s="106" cm="1">
        <f t="array" ref="G807">IF($F807=1,IF(SUMPRODUCT(--ISNUMBER(SEARCH(","&amp;$A807&amp;",",'Parts list'!$Z$4:$Z$185)))&gt;0,1,0),0)</f>
        <v>0</v>
      </c>
    </row>
    <row r="808" spans="1:7" x14ac:dyDescent="0.2">
      <c r="A808" s="1" t="s">
        <v>2980</v>
      </c>
      <c r="B808" s="104">
        <v>1</v>
      </c>
      <c r="C808" s="104">
        <v>1</v>
      </c>
      <c r="D808" s="1" t="s">
        <v>2671</v>
      </c>
      <c r="E808" s="4" t="s">
        <v>2981</v>
      </c>
      <c r="F808" s="106">
        <f>IF(COUNTIF($A$4:$A808,$A808)=1,1,0)</f>
        <v>1</v>
      </c>
      <c r="G808" s="106" cm="1">
        <f t="array" ref="G808">IF($F808=1,IF(SUMPRODUCT(--ISNUMBER(SEARCH(","&amp;$A808&amp;",",'Parts list'!$Z$4:$Z$185)))&gt;0,1,0),0)</f>
        <v>1</v>
      </c>
    </row>
    <row r="809" spans="1:7" x14ac:dyDescent="0.2">
      <c r="A809" s="1" t="s">
        <v>2980</v>
      </c>
      <c r="B809" s="104">
        <v>2</v>
      </c>
      <c r="C809" s="104">
        <v>2</v>
      </c>
      <c r="D809" s="1" t="s">
        <v>2977</v>
      </c>
      <c r="E809" s="4"/>
      <c r="F809" s="106">
        <f>IF(COUNTIF($A$4:$A809,$A809)=1,1,0)</f>
        <v>0</v>
      </c>
      <c r="G809" s="106" cm="1">
        <f t="array" ref="G809">IF($F809=1,IF(SUMPRODUCT(--ISNUMBER(SEARCH(","&amp;$A809&amp;",",'Parts list'!$Z$4:$Z$185)))&gt;0,1,0),0)</f>
        <v>0</v>
      </c>
    </row>
    <row r="810" spans="1:7" x14ac:dyDescent="0.2">
      <c r="A810" s="1" t="s">
        <v>2982</v>
      </c>
      <c r="B810" s="104">
        <v>1</v>
      </c>
      <c r="C810" s="104">
        <v>1</v>
      </c>
      <c r="D810" s="1" t="s">
        <v>2181</v>
      </c>
      <c r="E810" s="4" t="s">
        <v>2983</v>
      </c>
      <c r="F810" s="106">
        <f>IF(COUNTIF($A$4:$A810,$A810)=1,1,0)</f>
        <v>1</v>
      </c>
      <c r="G810" s="106" cm="1">
        <f t="array" ref="G810">IF($F810=1,IF(SUMPRODUCT(--ISNUMBER(SEARCH(","&amp;$A810&amp;",",'Parts list'!$Z$4:$Z$185)))&gt;0,1,0),0)</f>
        <v>1</v>
      </c>
    </row>
    <row r="811" spans="1:7" x14ac:dyDescent="0.2">
      <c r="A811" s="1" t="s">
        <v>2982</v>
      </c>
      <c r="B811" s="104">
        <v>2</v>
      </c>
      <c r="C811" s="104">
        <v>2</v>
      </c>
      <c r="D811" s="1" t="s">
        <v>2671</v>
      </c>
      <c r="E811" s="4"/>
      <c r="F811" s="106">
        <f>IF(COUNTIF($A$4:$A811,$A811)=1,1,0)</f>
        <v>0</v>
      </c>
      <c r="G811" s="106" cm="1">
        <f t="array" ref="G811">IF($F811=1,IF(SUMPRODUCT(--ISNUMBER(SEARCH(","&amp;$A811&amp;",",'Parts list'!$Z$4:$Z$185)))&gt;0,1,0),0)</f>
        <v>0</v>
      </c>
    </row>
    <row r="812" spans="1:7" x14ac:dyDescent="0.2">
      <c r="A812" s="1" t="s">
        <v>1318</v>
      </c>
      <c r="B812" s="104">
        <v>1</v>
      </c>
      <c r="C812" s="104">
        <v>1</v>
      </c>
      <c r="D812" s="1" t="s">
        <v>2671</v>
      </c>
      <c r="E812" s="4" t="s">
        <v>2984</v>
      </c>
      <c r="F812" s="106">
        <f>IF(COUNTIF($A$4:$A812,$A812)=1,1,0)</f>
        <v>1</v>
      </c>
      <c r="G812" s="106" cm="1">
        <f t="array" ref="G812">IF($F812=1,IF(SUMPRODUCT(--ISNUMBER(SEARCH(","&amp;$A812&amp;",",'Parts list'!$Z$4:$Z$185)))&gt;0,1,0),0)</f>
        <v>1</v>
      </c>
    </row>
    <row r="813" spans="1:7" x14ac:dyDescent="0.2">
      <c r="A813" s="1" t="s">
        <v>1318</v>
      </c>
      <c r="B813" s="104">
        <v>2</v>
      </c>
      <c r="C813" s="104">
        <v>2</v>
      </c>
      <c r="D813" s="1" t="s">
        <v>2985</v>
      </c>
      <c r="E813" s="4"/>
      <c r="F813" s="106">
        <f>IF(COUNTIF($A$4:$A813,$A813)=1,1,0)</f>
        <v>0</v>
      </c>
      <c r="G813" s="106" cm="1">
        <f t="array" ref="G813">IF($F813=1,IF(SUMPRODUCT(--ISNUMBER(SEARCH(","&amp;$A813&amp;",",'Parts list'!$Z$4:$Z$185)))&gt;0,1,0),0)</f>
        <v>0</v>
      </c>
    </row>
    <row r="814" spans="1:7" x14ac:dyDescent="0.2">
      <c r="A814" s="1" t="s">
        <v>2986</v>
      </c>
      <c r="B814" s="104">
        <v>1</v>
      </c>
      <c r="C814" s="104">
        <v>1</v>
      </c>
      <c r="D814" s="1" t="s">
        <v>2221</v>
      </c>
      <c r="E814" s="4" t="s">
        <v>2987</v>
      </c>
      <c r="F814" s="106">
        <f>IF(COUNTIF($A$4:$A814,$A814)=1,1,0)</f>
        <v>1</v>
      </c>
      <c r="G814" s="106" cm="1">
        <f t="array" ref="G814">IF($F814=1,IF(SUMPRODUCT(--ISNUMBER(SEARCH(","&amp;$A814&amp;",",'Parts list'!$Z$4:$Z$185)))&gt;0,1,0),0)</f>
        <v>1</v>
      </c>
    </row>
    <row r="815" spans="1:7" x14ac:dyDescent="0.2">
      <c r="A815" s="1" t="s">
        <v>2986</v>
      </c>
      <c r="B815" s="104">
        <v>2</v>
      </c>
      <c r="C815" s="104">
        <v>2</v>
      </c>
      <c r="D815" s="1" t="s">
        <v>2988</v>
      </c>
      <c r="E815" s="4"/>
      <c r="F815" s="106">
        <f>IF(COUNTIF($A$4:$A815,$A815)=1,1,0)</f>
        <v>0</v>
      </c>
      <c r="G815" s="106" cm="1">
        <f t="array" ref="G815">IF($F815=1,IF(SUMPRODUCT(--ISNUMBER(SEARCH(","&amp;$A815&amp;",",'Parts list'!$Z$4:$Z$185)))&gt;0,1,0),0)</f>
        <v>0</v>
      </c>
    </row>
    <row r="816" spans="1:7" x14ac:dyDescent="0.2">
      <c r="A816" s="1" t="s">
        <v>2989</v>
      </c>
      <c r="B816" s="104">
        <v>1</v>
      </c>
      <c r="C816" s="104">
        <v>1</v>
      </c>
      <c r="D816" s="1" t="s">
        <v>2988</v>
      </c>
      <c r="E816" s="4" t="s">
        <v>2990</v>
      </c>
      <c r="F816" s="106">
        <f>IF(COUNTIF($A$4:$A816,$A816)=1,1,0)</f>
        <v>1</v>
      </c>
      <c r="G816" s="106" cm="1">
        <f t="array" ref="G816">IF($F816=1,IF(SUMPRODUCT(--ISNUMBER(SEARCH(","&amp;$A816&amp;",",'Parts list'!$Z$4:$Z$185)))&gt;0,1,0),0)</f>
        <v>1</v>
      </c>
    </row>
    <row r="817" spans="1:7" x14ac:dyDescent="0.2">
      <c r="A817" s="1" t="s">
        <v>2989</v>
      </c>
      <c r="B817" s="104">
        <v>2</v>
      </c>
      <c r="C817" s="104">
        <v>2</v>
      </c>
      <c r="D817" s="1" t="s">
        <v>2168</v>
      </c>
      <c r="E817" s="4"/>
      <c r="F817" s="106">
        <f>IF(COUNTIF($A$4:$A817,$A817)=1,1,0)</f>
        <v>0</v>
      </c>
      <c r="G817" s="106" cm="1">
        <f t="array" ref="G817">IF($F817=1,IF(SUMPRODUCT(--ISNUMBER(SEARCH(","&amp;$A817&amp;",",'Parts list'!$Z$4:$Z$185)))&gt;0,1,0),0)</f>
        <v>0</v>
      </c>
    </row>
    <row r="818" spans="1:7" x14ac:dyDescent="0.2">
      <c r="A818" s="1" t="s">
        <v>2991</v>
      </c>
      <c r="B818" s="104">
        <v>1</v>
      </c>
      <c r="C818" s="104">
        <v>1</v>
      </c>
      <c r="D818" s="1" t="s">
        <v>2181</v>
      </c>
      <c r="E818" s="4" t="s">
        <v>2992</v>
      </c>
      <c r="F818" s="106">
        <f>IF(COUNTIF($A$4:$A818,$A818)=1,1,0)</f>
        <v>1</v>
      </c>
      <c r="G818" s="106" cm="1">
        <f t="array" ref="G818">IF($F818=1,IF(SUMPRODUCT(--ISNUMBER(SEARCH(","&amp;$A818&amp;",",'Parts list'!$Z$4:$Z$185)))&gt;0,1,0),0)</f>
        <v>1</v>
      </c>
    </row>
    <row r="819" spans="1:7" x14ac:dyDescent="0.2">
      <c r="A819" s="1" t="s">
        <v>2991</v>
      </c>
      <c r="B819" s="104">
        <v>2</v>
      </c>
      <c r="C819" s="104">
        <v>2</v>
      </c>
      <c r="D819" s="1" t="s">
        <v>2993</v>
      </c>
      <c r="E819" s="4"/>
      <c r="F819" s="106">
        <f>IF(COUNTIF($A$4:$A819,$A819)=1,1,0)</f>
        <v>0</v>
      </c>
      <c r="G819" s="106" cm="1">
        <f t="array" ref="G819">IF($F819=1,IF(SUMPRODUCT(--ISNUMBER(SEARCH(","&amp;$A819&amp;",",'Parts list'!$Z$4:$Z$185)))&gt;0,1,0),0)</f>
        <v>0</v>
      </c>
    </row>
    <row r="820" spans="1:7" x14ac:dyDescent="0.2">
      <c r="A820" s="1" t="s">
        <v>2994</v>
      </c>
      <c r="B820" s="104">
        <v>1</v>
      </c>
      <c r="C820" s="104">
        <v>1</v>
      </c>
      <c r="D820" s="1" t="s">
        <v>2993</v>
      </c>
      <c r="E820" s="4" t="s">
        <v>2995</v>
      </c>
      <c r="F820" s="106">
        <f>IF(COUNTIF($A$4:$A820,$A820)=1,1,0)</f>
        <v>1</v>
      </c>
      <c r="G820" s="106" cm="1">
        <f t="array" ref="G820">IF($F820=1,IF(SUMPRODUCT(--ISNUMBER(SEARCH(","&amp;$A820&amp;",",'Parts list'!$Z$4:$Z$185)))&gt;0,1,0),0)</f>
        <v>1</v>
      </c>
    </row>
    <row r="821" spans="1:7" x14ac:dyDescent="0.2">
      <c r="A821" s="1" t="s">
        <v>2994</v>
      </c>
      <c r="B821" s="104">
        <v>2</v>
      </c>
      <c r="C821" s="104">
        <v>2</v>
      </c>
      <c r="D821" s="1" t="s">
        <v>2168</v>
      </c>
      <c r="E821" s="4"/>
      <c r="F821" s="106">
        <f>IF(COUNTIF($A$4:$A821,$A821)=1,1,0)</f>
        <v>0</v>
      </c>
      <c r="G821" s="106" cm="1">
        <f t="array" ref="G821">IF($F821=1,IF(SUMPRODUCT(--ISNUMBER(SEARCH(","&amp;$A821&amp;",",'Parts list'!$Z$4:$Z$185)))&gt;0,1,0),0)</f>
        <v>0</v>
      </c>
    </row>
    <row r="822" spans="1:7" x14ac:dyDescent="0.2">
      <c r="A822" s="1" t="s">
        <v>2996</v>
      </c>
      <c r="B822" s="104">
        <v>1</v>
      </c>
      <c r="C822" s="104">
        <v>1</v>
      </c>
      <c r="D822" s="1" t="s">
        <v>2675</v>
      </c>
      <c r="E822" s="4" t="s">
        <v>2997</v>
      </c>
      <c r="F822" s="106">
        <f>IF(COUNTIF($A$4:$A822,$A822)=1,1,0)</f>
        <v>1</v>
      </c>
      <c r="G822" s="106" cm="1">
        <f t="array" ref="G822">IF($F822=1,IF(SUMPRODUCT(--ISNUMBER(SEARCH(","&amp;$A822&amp;",",'Parts list'!$Z$4:$Z$185)))&gt;0,1,0),0)</f>
        <v>1</v>
      </c>
    </row>
    <row r="823" spans="1:7" x14ac:dyDescent="0.2">
      <c r="A823" s="1" t="s">
        <v>2996</v>
      </c>
      <c r="B823" s="104">
        <v>2</v>
      </c>
      <c r="C823" s="104">
        <v>2</v>
      </c>
      <c r="D823" s="1" t="s">
        <v>2993</v>
      </c>
      <c r="E823" s="4"/>
      <c r="F823" s="106">
        <f>IF(COUNTIF($A$4:$A823,$A823)=1,1,0)</f>
        <v>0</v>
      </c>
      <c r="G823" s="106" cm="1">
        <f t="array" ref="G823">IF($F823=1,IF(SUMPRODUCT(--ISNUMBER(SEARCH(","&amp;$A823&amp;",",'Parts list'!$Z$4:$Z$185)))&gt;0,1,0),0)</f>
        <v>0</v>
      </c>
    </row>
    <row r="824" spans="1:7" x14ac:dyDescent="0.2">
      <c r="A824" s="1" t="s">
        <v>2998</v>
      </c>
      <c r="B824" s="104">
        <v>1</v>
      </c>
      <c r="C824" s="104">
        <v>1</v>
      </c>
      <c r="D824" s="1" t="s">
        <v>2181</v>
      </c>
      <c r="E824" s="4" t="s">
        <v>2999</v>
      </c>
      <c r="F824" s="106">
        <f>IF(COUNTIF($A$4:$A824,$A824)=1,1,0)</f>
        <v>1</v>
      </c>
      <c r="G824" s="106" cm="1">
        <f t="array" ref="G824">IF($F824=1,IF(SUMPRODUCT(--ISNUMBER(SEARCH(","&amp;$A824&amp;",",'Parts list'!$Z$4:$Z$185)))&gt;0,1,0),0)</f>
        <v>1</v>
      </c>
    </row>
    <row r="825" spans="1:7" x14ac:dyDescent="0.2">
      <c r="A825" s="1" t="s">
        <v>2998</v>
      </c>
      <c r="B825" s="104">
        <v>2</v>
      </c>
      <c r="C825" s="104">
        <v>2</v>
      </c>
      <c r="D825" s="1" t="s">
        <v>2675</v>
      </c>
      <c r="E825" s="4"/>
      <c r="F825" s="106">
        <f>IF(COUNTIF($A$4:$A825,$A825)=1,1,0)</f>
        <v>0</v>
      </c>
      <c r="G825" s="106" cm="1">
        <f t="array" ref="G825">IF($F825=1,IF(SUMPRODUCT(--ISNUMBER(SEARCH(","&amp;$A825&amp;",",'Parts list'!$Z$4:$Z$185)))&gt;0,1,0),0)</f>
        <v>0</v>
      </c>
    </row>
    <row r="826" spans="1:7" x14ac:dyDescent="0.2">
      <c r="A826" s="1" t="s">
        <v>3000</v>
      </c>
      <c r="B826" s="104">
        <v>1</v>
      </c>
      <c r="C826" s="104">
        <v>1</v>
      </c>
      <c r="D826" s="1" t="s">
        <v>2671</v>
      </c>
      <c r="E826" s="4" t="s">
        <v>3001</v>
      </c>
      <c r="F826" s="106">
        <f>IF(COUNTIF($A$4:$A826,$A826)=1,1,0)</f>
        <v>1</v>
      </c>
      <c r="G826" s="106" cm="1">
        <f t="array" ref="G826">IF($F826=1,IF(SUMPRODUCT(--ISNUMBER(SEARCH(","&amp;$A826&amp;",",'Parts list'!$Z$4:$Z$185)))&gt;0,1,0),0)</f>
        <v>1</v>
      </c>
    </row>
    <row r="827" spans="1:7" x14ac:dyDescent="0.2">
      <c r="A827" s="1" t="s">
        <v>3000</v>
      </c>
      <c r="B827" s="104">
        <v>2</v>
      </c>
      <c r="C827" s="104">
        <v>2</v>
      </c>
      <c r="D827" s="1" t="s">
        <v>3002</v>
      </c>
      <c r="E827" s="4"/>
      <c r="F827" s="106">
        <f>IF(COUNTIF($A$4:$A827,$A827)=1,1,0)</f>
        <v>0</v>
      </c>
      <c r="G827" s="106" cm="1">
        <f t="array" ref="G827">IF($F827=1,IF(SUMPRODUCT(--ISNUMBER(SEARCH(","&amp;$A827&amp;",",'Parts list'!$Z$4:$Z$185)))&gt;0,1,0),0)</f>
        <v>0</v>
      </c>
    </row>
    <row r="828" spans="1:7" x14ac:dyDescent="0.2">
      <c r="A828" s="1" t="s">
        <v>3003</v>
      </c>
      <c r="B828" s="104">
        <v>1</v>
      </c>
      <c r="C828" s="104">
        <v>1</v>
      </c>
      <c r="D828" s="1" t="s">
        <v>2675</v>
      </c>
      <c r="E828" s="4" t="s">
        <v>3004</v>
      </c>
      <c r="F828" s="106">
        <f>IF(COUNTIF($A$4:$A828,$A828)=1,1,0)</f>
        <v>1</v>
      </c>
      <c r="G828" s="106" cm="1">
        <f t="array" ref="G828">IF($F828=1,IF(SUMPRODUCT(--ISNUMBER(SEARCH(","&amp;$A828&amp;",",'Parts list'!$Z$4:$Z$185)))&gt;0,1,0),0)</f>
        <v>1</v>
      </c>
    </row>
    <row r="829" spans="1:7" x14ac:dyDescent="0.2">
      <c r="A829" s="1" t="s">
        <v>3003</v>
      </c>
      <c r="B829" s="104">
        <v>2</v>
      </c>
      <c r="C829" s="104">
        <v>2</v>
      </c>
      <c r="D829" s="1" t="s">
        <v>3005</v>
      </c>
      <c r="E829" s="4"/>
      <c r="F829" s="106">
        <f>IF(COUNTIF($A$4:$A829,$A829)=1,1,0)</f>
        <v>0</v>
      </c>
      <c r="G829" s="106" cm="1">
        <f t="array" ref="G829">IF($F829=1,IF(SUMPRODUCT(--ISNUMBER(SEARCH(","&amp;$A829&amp;",",'Parts list'!$Z$4:$Z$185)))&gt;0,1,0),0)</f>
        <v>0</v>
      </c>
    </row>
    <row r="830" spans="1:7" x14ac:dyDescent="0.2">
      <c r="A830" s="1" t="s">
        <v>3006</v>
      </c>
      <c r="B830" s="104">
        <v>1</v>
      </c>
      <c r="C830" s="104">
        <v>1</v>
      </c>
      <c r="D830" s="1" t="s">
        <v>2208</v>
      </c>
      <c r="E830" s="4" t="s">
        <v>3007</v>
      </c>
      <c r="F830" s="106">
        <f>IF(COUNTIF($A$4:$A830,$A830)=1,1,0)</f>
        <v>1</v>
      </c>
      <c r="G830" s="106" cm="1">
        <f t="array" ref="G830">IF($F830=1,IF(SUMPRODUCT(--ISNUMBER(SEARCH(","&amp;$A830&amp;",",'Parts list'!$Z$4:$Z$185)))&gt;0,1,0),0)</f>
        <v>1</v>
      </c>
    </row>
    <row r="831" spans="1:7" x14ac:dyDescent="0.2">
      <c r="A831" s="1" t="s">
        <v>3006</v>
      </c>
      <c r="B831" s="104">
        <v>2</v>
      </c>
      <c r="C831" s="104">
        <v>2</v>
      </c>
      <c r="D831" s="1" t="s">
        <v>2678</v>
      </c>
      <c r="E831" s="4"/>
      <c r="F831" s="106">
        <f>IF(COUNTIF($A$4:$A831,$A831)=1,1,0)</f>
        <v>0</v>
      </c>
      <c r="G831" s="106" cm="1">
        <f t="array" ref="G831">IF($F831=1,IF(SUMPRODUCT(--ISNUMBER(SEARCH(","&amp;$A831&amp;",",'Parts list'!$Z$4:$Z$185)))&gt;0,1,0),0)</f>
        <v>0</v>
      </c>
    </row>
    <row r="832" spans="1:7" x14ac:dyDescent="0.2">
      <c r="A832" s="1" t="s">
        <v>3008</v>
      </c>
      <c r="B832" s="104">
        <v>1</v>
      </c>
      <c r="C832" s="104">
        <v>1</v>
      </c>
      <c r="D832" s="1" t="s">
        <v>2208</v>
      </c>
      <c r="E832" s="4" t="s">
        <v>3009</v>
      </c>
      <c r="F832" s="106">
        <f>IF(COUNTIF($A$4:$A832,$A832)=1,1,0)</f>
        <v>1</v>
      </c>
      <c r="G832" s="106" cm="1">
        <f t="array" ref="G832">IF($F832=1,IF(SUMPRODUCT(--ISNUMBER(SEARCH(","&amp;$A832&amp;",",'Parts list'!$Z$4:$Z$185)))&gt;0,1,0),0)</f>
        <v>1</v>
      </c>
    </row>
    <row r="833" spans="1:7" x14ac:dyDescent="0.2">
      <c r="A833" s="1" t="s">
        <v>3008</v>
      </c>
      <c r="B833" s="104">
        <v>2</v>
      </c>
      <c r="C833" s="104">
        <v>2</v>
      </c>
      <c r="D833" s="1" t="s">
        <v>2680</v>
      </c>
      <c r="E833" s="4"/>
      <c r="F833" s="106">
        <f>IF(COUNTIF($A$4:$A833,$A833)=1,1,0)</f>
        <v>0</v>
      </c>
      <c r="G833" s="106" cm="1">
        <f t="array" ref="G833">IF($F833=1,IF(SUMPRODUCT(--ISNUMBER(SEARCH(","&amp;$A833&amp;",",'Parts list'!$Z$4:$Z$185)))&gt;0,1,0),0)</f>
        <v>0</v>
      </c>
    </row>
    <row r="834" spans="1:7" x14ac:dyDescent="0.2">
      <c r="A834" s="1" t="s">
        <v>3010</v>
      </c>
      <c r="B834" s="104">
        <v>1</v>
      </c>
      <c r="C834" s="104">
        <v>1</v>
      </c>
      <c r="D834" s="1" t="s">
        <v>3011</v>
      </c>
      <c r="E834" s="4" t="s">
        <v>3012</v>
      </c>
      <c r="F834" s="106">
        <f>IF(COUNTIF($A$4:$A834,$A834)=1,1,0)</f>
        <v>1</v>
      </c>
      <c r="G834" s="106" cm="1">
        <f t="array" ref="G834">IF($F834=1,IF(SUMPRODUCT(--ISNUMBER(SEARCH(","&amp;$A834&amp;",",'Parts list'!$Z$4:$Z$185)))&gt;0,1,0),0)</f>
        <v>1</v>
      </c>
    </row>
    <row r="835" spans="1:7" x14ac:dyDescent="0.2">
      <c r="A835" s="1" t="s">
        <v>3010</v>
      </c>
      <c r="B835" s="104">
        <v>2</v>
      </c>
      <c r="C835" s="104">
        <v>2</v>
      </c>
      <c r="D835" s="1" t="s">
        <v>2682</v>
      </c>
      <c r="E835" s="4"/>
      <c r="F835" s="106">
        <f>IF(COUNTIF($A$4:$A835,$A835)=1,1,0)</f>
        <v>0</v>
      </c>
      <c r="G835" s="106" cm="1">
        <f t="array" ref="G835">IF($F835=1,IF(SUMPRODUCT(--ISNUMBER(SEARCH(","&amp;$A835&amp;",",'Parts list'!$Z$4:$Z$185)))&gt;0,1,0),0)</f>
        <v>0</v>
      </c>
    </row>
    <row r="836" spans="1:7" x14ac:dyDescent="0.2">
      <c r="A836" s="1" t="s">
        <v>3013</v>
      </c>
      <c r="B836" s="104">
        <v>1</v>
      </c>
      <c r="C836" s="104">
        <v>1</v>
      </c>
      <c r="D836" s="1" t="s">
        <v>2264</v>
      </c>
      <c r="E836" s="4" t="s">
        <v>3014</v>
      </c>
      <c r="F836" s="106">
        <f>IF(COUNTIF($A$4:$A836,$A836)=1,1,0)</f>
        <v>1</v>
      </c>
      <c r="G836" s="106" cm="1">
        <f t="array" ref="G836">IF($F836=1,IF(SUMPRODUCT(--ISNUMBER(SEARCH(","&amp;$A836&amp;",",'Parts list'!$Z$4:$Z$185)))&gt;0,1,0),0)</f>
        <v>1</v>
      </c>
    </row>
    <row r="837" spans="1:7" x14ac:dyDescent="0.2">
      <c r="A837" s="1" t="s">
        <v>3013</v>
      </c>
      <c r="B837" s="104">
        <v>2</v>
      </c>
      <c r="C837" s="104">
        <v>2</v>
      </c>
      <c r="D837" s="1" t="s">
        <v>3015</v>
      </c>
      <c r="E837" s="4"/>
      <c r="F837" s="106">
        <f>IF(COUNTIF($A$4:$A837,$A837)=1,1,0)</f>
        <v>0</v>
      </c>
      <c r="G837" s="106" cm="1">
        <f t="array" ref="G837">IF($F837=1,IF(SUMPRODUCT(--ISNUMBER(SEARCH(","&amp;$A837&amp;",",'Parts list'!$Z$4:$Z$185)))&gt;0,1,0),0)</f>
        <v>0</v>
      </c>
    </row>
    <row r="838" spans="1:7" x14ac:dyDescent="0.2">
      <c r="A838" s="1" t="s">
        <v>3016</v>
      </c>
      <c r="B838" s="104">
        <v>1</v>
      </c>
      <c r="C838" s="104">
        <v>1</v>
      </c>
      <c r="D838" s="1" t="s">
        <v>3015</v>
      </c>
      <c r="E838" s="4" t="s">
        <v>3017</v>
      </c>
      <c r="F838" s="106">
        <f>IF(COUNTIF($A$4:$A838,$A838)=1,1,0)</f>
        <v>1</v>
      </c>
      <c r="G838" s="106" cm="1">
        <f t="array" ref="G838">IF($F838=1,IF(SUMPRODUCT(--ISNUMBER(SEARCH(","&amp;$A838&amp;",",'Parts list'!$Z$4:$Z$185)))&gt;0,1,0),0)</f>
        <v>1</v>
      </c>
    </row>
    <row r="839" spans="1:7" x14ac:dyDescent="0.2">
      <c r="A839" s="1" t="s">
        <v>3016</v>
      </c>
      <c r="B839" s="104">
        <v>2</v>
      </c>
      <c r="C839" s="104">
        <v>2</v>
      </c>
      <c r="D839" s="1" t="s">
        <v>2168</v>
      </c>
      <c r="E839" s="4"/>
      <c r="F839" s="106">
        <f>IF(COUNTIF($A$4:$A839,$A839)=1,1,0)</f>
        <v>0</v>
      </c>
      <c r="G839" s="106" cm="1">
        <f t="array" ref="G839">IF($F839=1,IF(SUMPRODUCT(--ISNUMBER(SEARCH(","&amp;$A839&amp;",",'Parts list'!$Z$4:$Z$185)))&gt;0,1,0),0)</f>
        <v>0</v>
      </c>
    </row>
    <row r="840" spans="1:7" x14ac:dyDescent="0.2">
      <c r="A840" s="1" t="s">
        <v>3018</v>
      </c>
      <c r="B840" s="104">
        <v>1</v>
      </c>
      <c r="C840" s="104">
        <v>1</v>
      </c>
      <c r="D840" s="1" t="s">
        <v>3011</v>
      </c>
      <c r="E840" s="4" t="s">
        <v>3019</v>
      </c>
      <c r="F840" s="106">
        <f>IF(COUNTIF($A$4:$A840,$A840)=1,1,0)</f>
        <v>1</v>
      </c>
      <c r="G840" s="106" cm="1">
        <f t="array" ref="G840">IF($F840=1,IF(SUMPRODUCT(--ISNUMBER(SEARCH(","&amp;$A840&amp;",",'Parts list'!$Z$4:$Z$185)))&gt;0,1,0),0)</f>
        <v>1</v>
      </c>
    </row>
    <row r="841" spans="1:7" x14ac:dyDescent="0.2">
      <c r="A841" s="1" t="s">
        <v>3018</v>
      </c>
      <c r="B841" s="104">
        <v>2</v>
      </c>
      <c r="C841" s="104">
        <v>2</v>
      </c>
      <c r="D841" s="1" t="s">
        <v>3020</v>
      </c>
      <c r="E841" s="4"/>
      <c r="F841" s="106">
        <f>IF(COUNTIF($A$4:$A841,$A841)=1,1,0)</f>
        <v>0</v>
      </c>
      <c r="G841" s="106" cm="1">
        <f t="array" ref="G841">IF($F841=1,IF(SUMPRODUCT(--ISNUMBER(SEARCH(","&amp;$A841&amp;",",'Parts list'!$Z$4:$Z$185)))&gt;0,1,0),0)</f>
        <v>0</v>
      </c>
    </row>
    <row r="842" spans="1:7" x14ac:dyDescent="0.2">
      <c r="A842" s="1" t="s">
        <v>3021</v>
      </c>
      <c r="B842" s="104">
        <v>1</v>
      </c>
      <c r="C842" s="104">
        <v>1</v>
      </c>
      <c r="D842" s="1" t="s">
        <v>2682</v>
      </c>
      <c r="E842" s="4" t="s">
        <v>3022</v>
      </c>
      <c r="F842" s="106">
        <f>IF(COUNTIF($A$4:$A842,$A842)=1,1,0)</f>
        <v>1</v>
      </c>
      <c r="G842" s="106" cm="1">
        <f t="array" ref="G842">IF($F842=1,IF(SUMPRODUCT(--ISNUMBER(SEARCH(","&amp;$A842&amp;",",'Parts list'!$Z$4:$Z$185)))&gt;0,1,0),0)</f>
        <v>1</v>
      </c>
    </row>
    <row r="843" spans="1:7" x14ac:dyDescent="0.2">
      <c r="A843" s="1" t="s">
        <v>3021</v>
      </c>
      <c r="B843" s="104">
        <v>2</v>
      </c>
      <c r="C843" s="104">
        <v>2</v>
      </c>
      <c r="D843" s="1" t="s">
        <v>2168</v>
      </c>
      <c r="E843" s="4"/>
      <c r="F843" s="106">
        <f>IF(COUNTIF($A$4:$A843,$A843)=1,1,0)</f>
        <v>0</v>
      </c>
      <c r="G843" s="106" cm="1">
        <f t="array" ref="G843">IF($F843=1,IF(SUMPRODUCT(--ISNUMBER(SEARCH(","&amp;$A843&amp;",",'Parts list'!$Z$4:$Z$185)))&gt;0,1,0),0)</f>
        <v>0</v>
      </c>
    </row>
    <row r="844" spans="1:7" x14ac:dyDescent="0.2">
      <c r="A844" s="1" t="s">
        <v>1504</v>
      </c>
      <c r="B844" s="104">
        <v>1</v>
      </c>
      <c r="C844" s="104">
        <v>1</v>
      </c>
      <c r="D844" s="1" t="s">
        <v>3023</v>
      </c>
      <c r="E844" s="4" t="s">
        <v>3024</v>
      </c>
      <c r="F844" s="106">
        <f>IF(COUNTIF($A$4:$A844,$A844)=1,1,0)</f>
        <v>1</v>
      </c>
      <c r="G844" s="106" cm="1">
        <f t="array" ref="G844">IF($F844=1,IF(SUMPRODUCT(--ISNUMBER(SEARCH(","&amp;$A844&amp;",",'Parts list'!$Z$4:$Z$185)))&gt;0,1,0),0)</f>
        <v>1</v>
      </c>
    </row>
    <row r="845" spans="1:7" x14ac:dyDescent="0.2">
      <c r="A845" s="1" t="s">
        <v>1504</v>
      </c>
      <c r="B845" s="104">
        <v>2</v>
      </c>
      <c r="C845" s="104">
        <v>2</v>
      </c>
      <c r="D845" s="1" t="s">
        <v>2513</v>
      </c>
      <c r="E845" s="4" t="s">
        <v>3024</v>
      </c>
      <c r="F845" s="106">
        <f>IF(COUNTIF($A$4:$A845,$A845)=1,1,0)</f>
        <v>0</v>
      </c>
      <c r="G845" s="106" cm="1">
        <f t="array" ref="G845">IF($F845=1,IF(SUMPRODUCT(--ISNUMBER(SEARCH(","&amp;$A845&amp;",",'Parts list'!$Z$4:$Z$185)))&gt;0,1,0),0)</f>
        <v>0</v>
      </c>
    </row>
    <row r="846" spans="1:7" x14ac:dyDescent="0.2">
      <c r="A846" s="1" t="s">
        <v>1508</v>
      </c>
      <c r="B846" s="104">
        <v>1</v>
      </c>
      <c r="C846" s="104">
        <v>1</v>
      </c>
      <c r="D846" s="1" t="s">
        <v>3025</v>
      </c>
      <c r="E846" s="4" t="s">
        <v>3026</v>
      </c>
      <c r="F846" s="106">
        <f>IF(COUNTIF($A$4:$A846,$A846)=1,1,0)</f>
        <v>1</v>
      </c>
      <c r="G846" s="106" cm="1">
        <f t="array" ref="G846">IF($F846=1,IF(SUMPRODUCT(--ISNUMBER(SEARCH(","&amp;$A846&amp;",",'Parts list'!$Z$4:$Z$185)))&gt;0,1,0),0)</f>
        <v>1</v>
      </c>
    </row>
    <row r="847" spans="1:7" x14ac:dyDescent="0.2">
      <c r="A847" s="1" t="s">
        <v>1508</v>
      </c>
      <c r="B847" s="104">
        <v>2</v>
      </c>
      <c r="C847" s="104">
        <v>2</v>
      </c>
      <c r="D847" s="1" t="s">
        <v>2515</v>
      </c>
      <c r="E847" s="4" t="s">
        <v>3026</v>
      </c>
      <c r="F847" s="106">
        <f>IF(COUNTIF($A$4:$A847,$A847)=1,1,0)</f>
        <v>0</v>
      </c>
      <c r="G847" s="106" cm="1">
        <f t="array" ref="G847">IF($F847=1,IF(SUMPRODUCT(--ISNUMBER(SEARCH(","&amp;$A847&amp;",",'Parts list'!$Z$4:$Z$185)))&gt;0,1,0),0)</f>
        <v>0</v>
      </c>
    </row>
    <row r="848" spans="1:7" x14ac:dyDescent="0.2">
      <c r="A848" s="1" t="s">
        <v>1512</v>
      </c>
      <c r="B848" s="104">
        <v>1</v>
      </c>
      <c r="C848" s="104">
        <v>1</v>
      </c>
      <c r="D848" s="1" t="s">
        <v>2713</v>
      </c>
      <c r="E848" s="4" t="s">
        <v>3027</v>
      </c>
      <c r="F848" s="106">
        <f>IF(COUNTIF($A$4:$A848,$A848)=1,1,0)</f>
        <v>1</v>
      </c>
      <c r="G848" s="106" cm="1">
        <f t="array" ref="G848">IF($F848=1,IF(SUMPRODUCT(--ISNUMBER(SEARCH(","&amp;$A848&amp;",",'Parts list'!$Z$4:$Z$185)))&gt;0,1,0),0)</f>
        <v>1</v>
      </c>
    </row>
    <row r="849" spans="1:7" x14ac:dyDescent="0.2">
      <c r="A849" s="1" t="s">
        <v>1512</v>
      </c>
      <c r="B849" s="104">
        <v>2</v>
      </c>
      <c r="C849" s="104">
        <v>2</v>
      </c>
      <c r="D849" s="1" t="s">
        <v>2594</v>
      </c>
      <c r="E849" s="4" t="s">
        <v>3027</v>
      </c>
      <c r="F849" s="106">
        <f>IF(COUNTIF($A$4:$A849,$A849)=1,1,0)</f>
        <v>0</v>
      </c>
      <c r="G849" s="106" cm="1">
        <f t="array" ref="G849">IF($F849=1,IF(SUMPRODUCT(--ISNUMBER(SEARCH(","&amp;$A849&amp;",",'Parts list'!$Z$4:$Z$185)))&gt;0,1,0),0)</f>
        <v>0</v>
      </c>
    </row>
    <row r="850" spans="1:7" x14ac:dyDescent="0.2">
      <c r="A850" s="1" t="s">
        <v>3028</v>
      </c>
      <c r="B850" s="104">
        <v>1</v>
      </c>
      <c r="C850" s="104">
        <v>1</v>
      </c>
      <c r="D850" s="1" t="s">
        <v>2607</v>
      </c>
      <c r="E850" s="4" t="s">
        <v>3029</v>
      </c>
      <c r="F850" s="106">
        <f>IF(COUNTIF($A$4:$A850,$A850)=1,1,0)</f>
        <v>1</v>
      </c>
      <c r="G850" s="106" cm="1">
        <f t="array" ref="G850">IF($F850=1,IF(SUMPRODUCT(--ISNUMBER(SEARCH(","&amp;$A850&amp;",",'Parts list'!$Z$4:$Z$185)))&gt;0,1,0),0)</f>
        <v>1</v>
      </c>
    </row>
    <row r="851" spans="1:7" x14ac:dyDescent="0.2">
      <c r="A851" s="1" t="s">
        <v>3028</v>
      </c>
      <c r="B851" s="104">
        <v>2</v>
      </c>
      <c r="C851" s="104">
        <v>2</v>
      </c>
      <c r="D851" s="1" t="s">
        <v>3030</v>
      </c>
      <c r="E851" s="4"/>
      <c r="F851" s="106">
        <f>IF(COUNTIF($A$4:$A851,$A851)=1,1,0)</f>
        <v>0</v>
      </c>
      <c r="G851" s="106" cm="1">
        <f t="array" ref="G851">IF($F851=1,IF(SUMPRODUCT(--ISNUMBER(SEARCH(","&amp;$A851&amp;",",'Parts list'!$Z$4:$Z$185)))&gt;0,1,0),0)</f>
        <v>0</v>
      </c>
    </row>
    <row r="852" spans="1:7" x14ac:dyDescent="0.2">
      <c r="A852" s="1" t="s">
        <v>3031</v>
      </c>
      <c r="B852" s="104">
        <v>1</v>
      </c>
      <c r="C852" s="104">
        <v>1</v>
      </c>
      <c r="D852" s="1" t="s">
        <v>3030</v>
      </c>
      <c r="E852" s="4" t="s">
        <v>3032</v>
      </c>
      <c r="F852" s="106">
        <f>IF(COUNTIF($A$4:$A852,$A852)=1,1,0)</f>
        <v>1</v>
      </c>
      <c r="G852" s="106" cm="1">
        <f t="array" ref="G852">IF($F852=1,IF(SUMPRODUCT(--ISNUMBER(SEARCH(","&amp;$A852&amp;",",'Parts list'!$Z$4:$Z$185)))&gt;0,1,0),0)</f>
        <v>1</v>
      </c>
    </row>
    <row r="853" spans="1:7" x14ac:dyDescent="0.2">
      <c r="A853" s="1" t="s">
        <v>3031</v>
      </c>
      <c r="B853" s="104">
        <v>2</v>
      </c>
      <c r="C853" s="104">
        <v>2</v>
      </c>
      <c r="D853" s="1" t="s">
        <v>2168</v>
      </c>
      <c r="E853" s="4"/>
      <c r="F853" s="106">
        <f>IF(COUNTIF($A$4:$A853,$A853)=1,1,0)</f>
        <v>0</v>
      </c>
      <c r="G853" s="106" cm="1">
        <f t="array" ref="G853">IF($F853=1,IF(SUMPRODUCT(--ISNUMBER(SEARCH(","&amp;$A853&amp;",",'Parts list'!$Z$4:$Z$185)))&gt;0,1,0),0)</f>
        <v>0</v>
      </c>
    </row>
    <row r="854" spans="1:7" x14ac:dyDescent="0.2">
      <c r="A854" s="1" t="s">
        <v>3033</v>
      </c>
      <c r="B854" s="104">
        <v>1</v>
      </c>
      <c r="C854" s="104">
        <v>1</v>
      </c>
      <c r="D854" s="1" t="s">
        <v>2612</v>
      </c>
      <c r="E854" s="4" t="s">
        <v>3034</v>
      </c>
      <c r="F854" s="106">
        <f>IF(COUNTIF($A$4:$A854,$A854)=1,1,0)</f>
        <v>1</v>
      </c>
      <c r="G854" s="106" cm="1">
        <f t="array" ref="G854">IF($F854=1,IF(SUMPRODUCT(--ISNUMBER(SEARCH(","&amp;$A854&amp;",",'Parts list'!$Z$4:$Z$185)))&gt;0,1,0),0)</f>
        <v>1</v>
      </c>
    </row>
    <row r="855" spans="1:7" x14ac:dyDescent="0.2">
      <c r="A855" s="1" t="s">
        <v>3033</v>
      </c>
      <c r="B855" s="104">
        <v>2</v>
      </c>
      <c r="C855" s="104">
        <v>2</v>
      </c>
      <c r="D855" s="1" t="s">
        <v>3035</v>
      </c>
      <c r="E855" s="4"/>
      <c r="F855" s="106">
        <f>IF(COUNTIF($A$4:$A855,$A855)=1,1,0)</f>
        <v>0</v>
      </c>
      <c r="G855" s="106" cm="1">
        <f t="array" ref="G855">IF($F855=1,IF(SUMPRODUCT(--ISNUMBER(SEARCH(","&amp;$A855&amp;",",'Parts list'!$Z$4:$Z$185)))&gt;0,1,0),0)</f>
        <v>0</v>
      </c>
    </row>
    <row r="856" spans="1:7" x14ac:dyDescent="0.2">
      <c r="A856" s="1" t="s">
        <v>3036</v>
      </c>
      <c r="B856" s="104">
        <v>1</v>
      </c>
      <c r="C856" s="104">
        <v>1</v>
      </c>
      <c r="D856" s="1" t="s">
        <v>3035</v>
      </c>
      <c r="E856" s="4" t="s">
        <v>3037</v>
      </c>
      <c r="F856" s="106">
        <f>IF(COUNTIF($A$4:$A856,$A856)=1,1,0)</f>
        <v>1</v>
      </c>
      <c r="G856" s="106" cm="1">
        <f t="array" ref="G856">IF($F856=1,IF(SUMPRODUCT(--ISNUMBER(SEARCH(","&amp;$A856&amp;",",'Parts list'!$Z$4:$Z$185)))&gt;0,1,0),0)</f>
        <v>1</v>
      </c>
    </row>
    <row r="857" spans="1:7" x14ac:dyDescent="0.2">
      <c r="A857" s="1" t="s">
        <v>3036</v>
      </c>
      <c r="B857" s="104">
        <v>2</v>
      </c>
      <c r="C857" s="104">
        <v>2</v>
      </c>
      <c r="D857" s="1" t="s">
        <v>2264</v>
      </c>
      <c r="E857" s="4"/>
      <c r="F857" s="106">
        <f>IF(COUNTIF($A$4:$A857,$A857)=1,1,0)</f>
        <v>0</v>
      </c>
      <c r="G857" s="106" cm="1">
        <f t="array" ref="G857">IF($F857=1,IF(SUMPRODUCT(--ISNUMBER(SEARCH(","&amp;$A857&amp;",",'Parts list'!$Z$4:$Z$185)))&gt;0,1,0),0)</f>
        <v>0</v>
      </c>
    </row>
    <row r="858" spans="1:7" x14ac:dyDescent="0.2">
      <c r="A858" s="1" t="s">
        <v>3038</v>
      </c>
      <c r="B858" s="104">
        <v>1</v>
      </c>
      <c r="C858" s="104">
        <v>1</v>
      </c>
      <c r="D858" s="1" t="s">
        <v>2607</v>
      </c>
      <c r="E858" s="4" t="s">
        <v>3039</v>
      </c>
      <c r="F858" s="106">
        <f>IF(COUNTIF($A$4:$A858,$A858)=1,1,0)</f>
        <v>1</v>
      </c>
      <c r="G858" s="106" cm="1">
        <f t="array" ref="G858">IF($F858=1,IF(SUMPRODUCT(--ISNUMBER(SEARCH(","&amp;$A858&amp;",",'Parts list'!$Z$4:$Z$185)))&gt;0,1,0),0)</f>
        <v>1</v>
      </c>
    </row>
    <row r="859" spans="1:7" x14ac:dyDescent="0.2">
      <c r="A859" s="1" t="s">
        <v>3038</v>
      </c>
      <c r="B859" s="104">
        <v>2</v>
      </c>
      <c r="C859" s="104">
        <v>2</v>
      </c>
      <c r="D859" s="1" t="s">
        <v>3040</v>
      </c>
      <c r="E859" s="4"/>
      <c r="F859" s="106">
        <f>IF(COUNTIF($A$4:$A859,$A859)=1,1,0)</f>
        <v>0</v>
      </c>
      <c r="G859" s="106" cm="1">
        <f t="array" ref="G859">IF($F859=1,IF(SUMPRODUCT(--ISNUMBER(SEARCH(","&amp;$A859&amp;",",'Parts list'!$Z$4:$Z$185)))&gt;0,1,0),0)</f>
        <v>0</v>
      </c>
    </row>
    <row r="860" spans="1:7" x14ac:dyDescent="0.2">
      <c r="A860" s="1" t="s">
        <v>3041</v>
      </c>
      <c r="B860" s="104">
        <v>1</v>
      </c>
      <c r="C860" s="104">
        <v>1</v>
      </c>
      <c r="D860" s="1" t="s">
        <v>3040</v>
      </c>
      <c r="E860" s="4" t="s">
        <v>3037</v>
      </c>
      <c r="F860" s="106">
        <f>IF(COUNTIF($A$4:$A860,$A860)=1,1,0)</f>
        <v>1</v>
      </c>
      <c r="G860" s="106" cm="1">
        <f t="array" ref="G860">IF($F860=1,IF(SUMPRODUCT(--ISNUMBER(SEARCH(","&amp;$A860&amp;",",'Parts list'!$Z$4:$Z$185)))&gt;0,1,0),0)</f>
        <v>1</v>
      </c>
    </row>
    <row r="861" spans="1:7" x14ac:dyDescent="0.2">
      <c r="A861" s="1" t="s">
        <v>3041</v>
      </c>
      <c r="B861" s="104">
        <v>2</v>
      </c>
      <c r="C861" s="104">
        <v>2</v>
      </c>
      <c r="D861" s="1" t="s">
        <v>2264</v>
      </c>
      <c r="E861" s="4"/>
      <c r="F861" s="106">
        <f>IF(COUNTIF($A$4:$A861,$A861)=1,1,0)</f>
        <v>0</v>
      </c>
      <c r="G861" s="106" cm="1">
        <f t="array" ref="G861">IF($F861=1,IF(SUMPRODUCT(--ISNUMBER(SEARCH(","&amp;$A861&amp;",",'Parts list'!$Z$4:$Z$185)))&gt;0,1,0),0)</f>
        <v>0</v>
      </c>
    </row>
    <row r="862" spans="1:7" x14ac:dyDescent="0.2">
      <c r="A862" s="1" t="s">
        <v>3042</v>
      </c>
      <c r="B862" s="104">
        <v>1</v>
      </c>
      <c r="C862" s="104">
        <v>1</v>
      </c>
      <c r="D862" s="1" t="s">
        <v>2612</v>
      </c>
      <c r="E862" s="4" t="s">
        <v>3043</v>
      </c>
      <c r="F862" s="106">
        <f>IF(COUNTIF($A$4:$A862,$A862)=1,1,0)</f>
        <v>1</v>
      </c>
      <c r="G862" s="106" cm="1">
        <f t="array" ref="G862">IF($F862=1,IF(SUMPRODUCT(--ISNUMBER(SEARCH(","&amp;$A862&amp;",",'Parts list'!$Z$4:$Z$185)))&gt;0,1,0),0)</f>
        <v>1</v>
      </c>
    </row>
    <row r="863" spans="1:7" x14ac:dyDescent="0.2">
      <c r="A863" s="1" t="s">
        <v>3042</v>
      </c>
      <c r="B863" s="104">
        <v>2</v>
      </c>
      <c r="C863" s="104">
        <v>2</v>
      </c>
      <c r="D863" s="1" t="s">
        <v>3044</v>
      </c>
      <c r="E863" s="4"/>
      <c r="F863" s="106">
        <f>IF(COUNTIF($A$4:$A863,$A863)=1,1,0)</f>
        <v>0</v>
      </c>
      <c r="G863" s="106" cm="1">
        <f t="array" ref="G863">IF($F863=1,IF(SUMPRODUCT(--ISNUMBER(SEARCH(","&amp;$A863&amp;",",'Parts list'!$Z$4:$Z$185)))&gt;0,1,0),0)</f>
        <v>0</v>
      </c>
    </row>
    <row r="864" spans="1:7" x14ac:dyDescent="0.2">
      <c r="A864" s="1" t="s">
        <v>3045</v>
      </c>
      <c r="B864" s="104">
        <v>1</v>
      </c>
      <c r="C864" s="104">
        <v>1</v>
      </c>
      <c r="D864" s="1" t="s">
        <v>3044</v>
      </c>
      <c r="E864" s="4" t="s">
        <v>3032</v>
      </c>
      <c r="F864" s="106">
        <f>IF(COUNTIF($A$4:$A864,$A864)=1,1,0)</f>
        <v>1</v>
      </c>
      <c r="G864" s="106" cm="1">
        <f t="array" ref="G864">IF($F864=1,IF(SUMPRODUCT(--ISNUMBER(SEARCH(","&amp;$A864&amp;",",'Parts list'!$Z$4:$Z$185)))&gt;0,1,0),0)</f>
        <v>1</v>
      </c>
    </row>
    <row r="865" spans="1:7" x14ac:dyDescent="0.2">
      <c r="A865" s="1" t="s">
        <v>3045</v>
      </c>
      <c r="B865" s="104">
        <v>2</v>
      </c>
      <c r="C865" s="104">
        <v>2</v>
      </c>
      <c r="D865" s="1" t="s">
        <v>2168</v>
      </c>
      <c r="E865" s="4"/>
      <c r="F865" s="106">
        <f>IF(COUNTIF($A$4:$A865,$A865)=1,1,0)</f>
        <v>0</v>
      </c>
      <c r="G865" s="106" cm="1">
        <f t="array" ref="G865">IF($F865=1,IF(SUMPRODUCT(--ISNUMBER(SEARCH(","&amp;$A865&amp;",",'Parts list'!$Z$4:$Z$185)))&gt;0,1,0),0)</f>
        <v>0</v>
      </c>
    </row>
    <row r="866" spans="1:7" x14ac:dyDescent="0.2">
      <c r="A866" s="1" t="s">
        <v>3046</v>
      </c>
      <c r="B866" s="104">
        <v>1</v>
      </c>
      <c r="C866" s="104">
        <v>1</v>
      </c>
      <c r="D866" s="1" t="s">
        <v>2616</v>
      </c>
      <c r="E866" s="4" t="s">
        <v>3047</v>
      </c>
      <c r="F866" s="106">
        <f>IF(COUNTIF($A$4:$A866,$A866)=1,1,0)</f>
        <v>1</v>
      </c>
      <c r="G866" s="106" cm="1">
        <f t="array" ref="G866">IF($F866=1,IF(SUMPRODUCT(--ISNUMBER(SEARCH(","&amp;$A866&amp;",",'Parts list'!$Z$4:$Z$185)))&gt;0,1,0),0)</f>
        <v>1</v>
      </c>
    </row>
    <row r="867" spans="1:7" x14ac:dyDescent="0.2">
      <c r="A867" s="1" t="s">
        <v>3046</v>
      </c>
      <c r="B867" s="104">
        <v>2</v>
      </c>
      <c r="C867" s="104">
        <v>2</v>
      </c>
      <c r="D867" s="1" t="s">
        <v>3048</v>
      </c>
      <c r="E867" s="4"/>
      <c r="F867" s="106">
        <f>IF(COUNTIF($A$4:$A867,$A867)=1,1,0)</f>
        <v>0</v>
      </c>
      <c r="G867" s="106" cm="1">
        <f t="array" ref="G867">IF($F867=1,IF(SUMPRODUCT(--ISNUMBER(SEARCH(","&amp;$A867&amp;",",'Parts list'!$Z$4:$Z$185)))&gt;0,1,0),0)</f>
        <v>0</v>
      </c>
    </row>
    <row r="868" spans="1:7" x14ac:dyDescent="0.2">
      <c r="A868" s="1" t="s">
        <v>3049</v>
      </c>
      <c r="B868" s="104">
        <v>1</v>
      </c>
      <c r="C868" s="104">
        <v>1</v>
      </c>
      <c r="D868" s="1" t="s">
        <v>3048</v>
      </c>
      <c r="E868" s="4" t="s">
        <v>3032</v>
      </c>
      <c r="F868" s="106">
        <f>IF(COUNTIF($A$4:$A868,$A868)=1,1,0)</f>
        <v>1</v>
      </c>
      <c r="G868" s="106" cm="1">
        <f t="array" ref="G868">IF($F868=1,IF(SUMPRODUCT(--ISNUMBER(SEARCH(","&amp;$A868&amp;",",'Parts list'!$Z$4:$Z$185)))&gt;0,1,0),0)</f>
        <v>1</v>
      </c>
    </row>
    <row r="869" spans="1:7" x14ac:dyDescent="0.2">
      <c r="A869" s="1" t="s">
        <v>3049</v>
      </c>
      <c r="B869" s="104">
        <v>2</v>
      </c>
      <c r="C869" s="104">
        <v>2</v>
      </c>
      <c r="D869" s="1" t="s">
        <v>2168</v>
      </c>
      <c r="E869" s="4"/>
      <c r="F869" s="106">
        <f>IF(COUNTIF($A$4:$A869,$A869)=1,1,0)</f>
        <v>0</v>
      </c>
      <c r="G869" s="106" cm="1">
        <f t="array" ref="G869">IF($F869=1,IF(SUMPRODUCT(--ISNUMBER(SEARCH(","&amp;$A869&amp;",",'Parts list'!$Z$4:$Z$185)))&gt;0,1,0),0)</f>
        <v>0</v>
      </c>
    </row>
    <row r="870" spans="1:7" x14ac:dyDescent="0.2">
      <c r="A870" s="1" t="s">
        <v>3050</v>
      </c>
      <c r="B870" s="104">
        <v>1</v>
      </c>
      <c r="C870" s="104">
        <v>1</v>
      </c>
      <c r="D870" s="1" t="s">
        <v>2620</v>
      </c>
      <c r="E870" s="4" t="s">
        <v>3051</v>
      </c>
      <c r="F870" s="106">
        <f>IF(COUNTIF($A$4:$A870,$A870)=1,1,0)</f>
        <v>1</v>
      </c>
      <c r="G870" s="106" cm="1">
        <f t="array" ref="G870">IF($F870=1,IF(SUMPRODUCT(--ISNUMBER(SEARCH(","&amp;$A870&amp;",",'Parts list'!$Z$4:$Z$185)))&gt;0,1,0),0)</f>
        <v>1</v>
      </c>
    </row>
    <row r="871" spans="1:7" x14ac:dyDescent="0.2">
      <c r="A871" s="1" t="s">
        <v>3050</v>
      </c>
      <c r="B871" s="104">
        <v>2</v>
      </c>
      <c r="C871" s="104">
        <v>2</v>
      </c>
      <c r="D871" s="1" t="s">
        <v>3052</v>
      </c>
      <c r="E871" s="4"/>
      <c r="F871" s="106">
        <f>IF(COUNTIF($A$4:$A871,$A871)=1,1,0)</f>
        <v>0</v>
      </c>
      <c r="G871" s="106" cm="1">
        <f t="array" ref="G871">IF($F871=1,IF(SUMPRODUCT(--ISNUMBER(SEARCH(","&amp;$A871&amp;",",'Parts list'!$Z$4:$Z$185)))&gt;0,1,0),0)</f>
        <v>0</v>
      </c>
    </row>
    <row r="872" spans="1:7" x14ac:dyDescent="0.2">
      <c r="A872" s="1" t="s">
        <v>3053</v>
      </c>
      <c r="B872" s="104">
        <v>1</v>
      </c>
      <c r="C872" s="104">
        <v>1</v>
      </c>
      <c r="D872" s="1" t="s">
        <v>3052</v>
      </c>
      <c r="E872" s="4" t="s">
        <v>3037</v>
      </c>
      <c r="F872" s="106">
        <f>IF(COUNTIF($A$4:$A872,$A872)=1,1,0)</f>
        <v>1</v>
      </c>
      <c r="G872" s="106" cm="1">
        <f t="array" ref="G872">IF($F872=1,IF(SUMPRODUCT(--ISNUMBER(SEARCH(","&amp;$A872&amp;",",'Parts list'!$Z$4:$Z$185)))&gt;0,1,0),0)</f>
        <v>1</v>
      </c>
    </row>
    <row r="873" spans="1:7" x14ac:dyDescent="0.2">
      <c r="A873" s="1" t="s">
        <v>3053</v>
      </c>
      <c r="B873" s="104">
        <v>2</v>
      </c>
      <c r="C873" s="104">
        <v>2</v>
      </c>
      <c r="D873" s="1" t="s">
        <v>2264</v>
      </c>
      <c r="E873" s="4"/>
      <c r="F873" s="106">
        <f>IF(COUNTIF($A$4:$A873,$A873)=1,1,0)</f>
        <v>0</v>
      </c>
      <c r="G873" s="106" cm="1">
        <f t="array" ref="G873">IF($F873=1,IF(SUMPRODUCT(--ISNUMBER(SEARCH(","&amp;$A873&amp;",",'Parts list'!$Z$4:$Z$185)))&gt;0,1,0),0)</f>
        <v>0</v>
      </c>
    </row>
    <row r="874" spans="1:7" x14ac:dyDescent="0.2">
      <c r="A874" s="1" t="s">
        <v>3054</v>
      </c>
      <c r="B874" s="104">
        <v>1</v>
      </c>
      <c r="C874" s="104">
        <v>1</v>
      </c>
      <c r="D874" s="1" t="s">
        <v>2616</v>
      </c>
      <c r="E874" s="4" t="s">
        <v>3055</v>
      </c>
      <c r="F874" s="106">
        <f>IF(COUNTIF($A$4:$A874,$A874)=1,1,0)</f>
        <v>1</v>
      </c>
      <c r="G874" s="106" cm="1">
        <f t="array" ref="G874">IF($F874=1,IF(SUMPRODUCT(--ISNUMBER(SEARCH(","&amp;$A874&amp;",",'Parts list'!$Z$4:$Z$185)))&gt;0,1,0),0)</f>
        <v>1</v>
      </c>
    </row>
    <row r="875" spans="1:7" x14ac:dyDescent="0.2">
      <c r="A875" s="1" t="s">
        <v>3054</v>
      </c>
      <c r="B875" s="104">
        <v>2</v>
      </c>
      <c r="C875" s="104">
        <v>2</v>
      </c>
      <c r="D875" s="1" t="s">
        <v>3056</v>
      </c>
      <c r="E875" s="4"/>
      <c r="F875" s="106">
        <f>IF(COUNTIF($A$4:$A875,$A875)=1,1,0)</f>
        <v>0</v>
      </c>
      <c r="G875" s="106" cm="1">
        <f t="array" ref="G875">IF($F875=1,IF(SUMPRODUCT(--ISNUMBER(SEARCH(","&amp;$A875&amp;",",'Parts list'!$Z$4:$Z$185)))&gt;0,1,0),0)</f>
        <v>0</v>
      </c>
    </row>
    <row r="876" spans="1:7" x14ac:dyDescent="0.2">
      <c r="A876" s="1" t="s">
        <v>3057</v>
      </c>
      <c r="B876" s="104">
        <v>1</v>
      </c>
      <c r="C876" s="104">
        <v>1</v>
      </c>
      <c r="D876" s="1" t="s">
        <v>3056</v>
      </c>
      <c r="E876" s="4" t="s">
        <v>3037</v>
      </c>
      <c r="F876" s="106">
        <f>IF(COUNTIF($A$4:$A876,$A876)=1,1,0)</f>
        <v>1</v>
      </c>
      <c r="G876" s="106" cm="1">
        <f t="array" ref="G876">IF($F876=1,IF(SUMPRODUCT(--ISNUMBER(SEARCH(","&amp;$A876&amp;",",'Parts list'!$Z$4:$Z$185)))&gt;0,1,0),0)</f>
        <v>1</v>
      </c>
    </row>
    <row r="877" spans="1:7" x14ac:dyDescent="0.2">
      <c r="A877" s="1" t="s">
        <v>3057</v>
      </c>
      <c r="B877" s="104">
        <v>2</v>
      </c>
      <c r="C877" s="104">
        <v>2</v>
      </c>
      <c r="D877" s="1" t="s">
        <v>2264</v>
      </c>
      <c r="E877" s="4"/>
      <c r="F877" s="106">
        <f>IF(COUNTIF($A$4:$A877,$A877)=1,1,0)</f>
        <v>0</v>
      </c>
      <c r="G877" s="106" cm="1">
        <f t="array" ref="G877">IF($F877=1,IF(SUMPRODUCT(--ISNUMBER(SEARCH(","&amp;$A877&amp;",",'Parts list'!$Z$4:$Z$185)))&gt;0,1,0),0)</f>
        <v>0</v>
      </c>
    </row>
    <row r="878" spans="1:7" x14ac:dyDescent="0.2">
      <c r="A878" s="1" t="s">
        <v>3058</v>
      </c>
      <c r="B878" s="104">
        <v>1</v>
      </c>
      <c r="C878" s="104">
        <v>1</v>
      </c>
      <c r="D878" s="1" t="s">
        <v>2620</v>
      </c>
      <c r="E878" s="4" t="s">
        <v>3059</v>
      </c>
      <c r="F878" s="106">
        <f>IF(COUNTIF($A$4:$A878,$A878)=1,1,0)</f>
        <v>1</v>
      </c>
      <c r="G878" s="106" cm="1">
        <f t="array" ref="G878">IF($F878=1,IF(SUMPRODUCT(--ISNUMBER(SEARCH(","&amp;$A878&amp;",",'Parts list'!$Z$4:$Z$185)))&gt;0,1,0),0)</f>
        <v>1</v>
      </c>
    </row>
    <row r="879" spans="1:7" x14ac:dyDescent="0.2">
      <c r="A879" s="1" t="s">
        <v>3058</v>
      </c>
      <c r="B879" s="104">
        <v>2</v>
      </c>
      <c r="C879" s="104">
        <v>2</v>
      </c>
      <c r="D879" s="1" t="s">
        <v>3060</v>
      </c>
      <c r="E879" s="4"/>
      <c r="F879" s="106">
        <f>IF(COUNTIF($A$4:$A879,$A879)=1,1,0)</f>
        <v>0</v>
      </c>
      <c r="G879" s="106" cm="1">
        <f t="array" ref="G879">IF($F879=1,IF(SUMPRODUCT(--ISNUMBER(SEARCH(","&amp;$A879&amp;",",'Parts list'!$Z$4:$Z$185)))&gt;0,1,0),0)</f>
        <v>0</v>
      </c>
    </row>
    <row r="880" spans="1:7" x14ac:dyDescent="0.2">
      <c r="A880" s="1" t="s">
        <v>3061</v>
      </c>
      <c r="B880" s="104">
        <v>1</v>
      </c>
      <c r="C880" s="104">
        <v>1</v>
      </c>
      <c r="D880" s="1" t="s">
        <v>3060</v>
      </c>
      <c r="E880" s="4" t="s">
        <v>3032</v>
      </c>
      <c r="F880" s="106">
        <f>IF(COUNTIF($A$4:$A880,$A880)=1,1,0)</f>
        <v>1</v>
      </c>
      <c r="G880" s="106" cm="1">
        <f t="array" ref="G880">IF($F880=1,IF(SUMPRODUCT(--ISNUMBER(SEARCH(","&amp;$A880&amp;",",'Parts list'!$Z$4:$Z$185)))&gt;0,1,0),0)</f>
        <v>1</v>
      </c>
    </row>
    <row r="881" spans="1:7" x14ac:dyDescent="0.2">
      <c r="A881" s="1" t="s">
        <v>3061</v>
      </c>
      <c r="B881" s="104">
        <v>2</v>
      </c>
      <c r="C881" s="104">
        <v>2</v>
      </c>
      <c r="D881" s="1" t="s">
        <v>2168</v>
      </c>
      <c r="E881" s="4"/>
      <c r="F881" s="106">
        <f>IF(COUNTIF($A$4:$A881,$A881)=1,1,0)</f>
        <v>0</v>
      </c>
      <c r="G881" s="106" cm="1">
        <f t="array" ref="G881">IF($F881=1,IF(SUMPRODUCT(--ISNUMBER(SEARCH(","&amp;$A881&amp;",",'Parts list'!$Z$4:$Z$185)))&gt;0,1,0),0)</f>
        <v>0</v>
      </c>
    </row>
    <row r="882" spans="1:7" x14ac:dyDescent="0.2">
      <c r="A882" s="1" t="s">
        <v>3062</v>
      </c>
      <c r="B882" s="104">
        <v>1</v>
      </c>
      <c r="C882" s="104">
        <v>1</v>
      </c>
      <c r="D882" s="1" t="s">
        <v>2264</v>
      </c>
      <c r="E882" s="4" t="s">
        <v>3063</v>
      </c>
      <c r="F882" s="106">
        <f>IF(COUNTIF($A$4:$A882,$A882)=1,1,0)</f>
        <v>1</v>
      </c>
      <c r="G882" s="106" cm="1">
        <f t="array" ref="G882">IF($F882=1,IF(SUMPRODUCT(--ISNUMBER(SEARCH(","&amp;$A882&amp;",",'Parts list'!$Z$4:$Z$185)))&gt;0,1,0),0)</f>
        <v>1</v>
      </c>
    </row>
    <row r="883" spans="1:7" x14ac:dyDescent="0.2">
      <c r="A883" s="1" t="s">
        <v>3062</v>
      </c>
      <c r="B883" s="104">
        <v>2</v>
      </c>
      <c r="C883" s="104">
        <v>2</v>
      </c>
      <c r="D883" s="1" t="s">
        <v>2685</v>
      </c>
      <c r="E883" s="4"/>
      <c r="F883" s="106">
        <f>IF(COUNTIF($A$4:$A883,$A883)=1,1,0)</f>
        <v>0</v>
      </c>
      <c r="G883" s="106" cm="1">
        <f t="array" ref="G883">IF($F883=1,IF(SUMPRODUCT(--ISNUMBER(SEARCH(","&amp;$A883&amp;",",'Parts list'!$Z$4:$Z$185)))&gt;0,1,0),0)</f>
        <v>0</v>
      </c>
    </row>
    <row r="884" spans="1:7" x14ac:dyDescent="0.2">
      <c r="A884" s="1" t="s">
        <v>3064</v>
      </c>
      <c r="B884" s="104">
        <v>1</v>
      </c>
      <c r="C884" s="104">
        <v>1</v>
      </c>
      <c r="D884" s="1" t="s">
        <v>2264</v>
      </c>
      <c r="E884" s="4" t="s">
        <v>3063</v>
      </c>
      <c r="F884" s="106">
        <f>IF(COUNTIF($A$4:$A884,$A884)=1,1,0)</f>
        <v>1</v>
      </c>
      <c r="G884" s="106" cm="1">
        <f t="array" ref="G884">IF($F884=1,IF(SUMPRODUCT(--ISNUMBER(SEARCH(","&amp;$A884&amp;",",'Parts list'!$Z$4:$Z$185)))&gt;0,1,0),0)</f>
        <v>1</v>
      </c>
    </row>
    <row r="885" spans="1:7" x14ac:dyDescent="0.2">
      <c r="A885" s="1" t="s">
        <v>3064</v>
      </c>
      <c r="B885" s="104">
        <v>2</v>
      </c>
      <c r="C885" s="104">
        <v>2</v>
      </c>
      <c r="D885" s="1" t="s">
        <v>2688</v>
      </c>
      <c r="E885" s="4"/>
      <c r="F885" s="106">
        <f>IF(COUNTIF($A$4:$A885,$A885)=1,1,0)</f>
        <v>0</v>
      </c>
      <c r="G885" s="106" cm="1">
        <f t="array" ref="G885">IF($F885=1,IF(SUMPRODUCT(--ISNUMBER(SEARCH(","&amp;$A885&amp;",",'Parts list'!$Z$4:$Z$185)))&gt;0,1,0),0)</f>
        <v>0</v>
      </c>
    </row>
    <row r="886" spans="1:7" x14ac:dyDescent="0.2">
      <c r="A886" s="1" t="s">
        <v>3065</v>
      </c>
      <c r="B886" s="104">
        <v>1</v>
      </c>
      <c r="C886" s="104">
        <v>1</v>
      </c>
      <c r="D886" s="1" t="s">
        <v>2264</v>
      </c>
      <c r="E886" s="4" t="s">
        <v>3063</v>
      </c>
      <c r="F886" s="106">
        <f>IF(COUNTIF($A$4:$A886,$A886)=1,1,0)</f>
        <v>1</v>
      </c>
      <c r="G886" s="106" cm="1">
        <f t="array" ref="G886">IF($F886=1,IF(SUMPRODUCT(--ISNUMBER(SEARCH(","&amp;$A886&amp;",",'Parts list'!$Z$4:$Z$185)))&gt;0,1,0),0)</f>
        <v>1</v>
      </c>
    </row>
    <row r="887" spans="1:7" x14ac:dyDescent="0.2">
      <c r="A887" s="1" t="s">
        <v>3065</v>
      </c>
      <c r="B887" s="104">
        <v>2</v>
      </c>
      <c r="C887" s="104">
        <v>2</v>
      </c>
      <c r="D887" s="1" t="s">
        <v>2691</v>
      </c>
      <c r="E887" s="4"/>
      <c r="F887" s="106">
        <f>IF(COUNTIF($A$4:$A887,$A887)=1,1,0)</f>
        <v>0</v>
      </c>
      <c r="G887" s="106" cm="1">
        <f t="array" ref="G887">IF($F887=1,IF(SUMPRODUCT(--ISNUMBER(SEARCH(","&amp;$A887&amp;",",'Parts list'!$Z$4:$Z$185)))&gt;0,1,0),0)</f>
        <v>0</v>
      </c>
    </row>
    <row r="888" spans="1:7" x14ac:dyDescent="0.2">
      <c r="A888" s="1" t="s">
        <v>3066</v>
      </c>
      <c r="B888" s="104">
        <v>1</v>
      </c>
      <c r="C888" s="104">
        <v>1</v>
      </c>
      <c r="D888" s="1" t="s">
        <v>2264</v>
      </c>
      <c r="E888" s="4" t="s">
        <v>3063</v>
      </c>
      <c r="F888" s="106">
        <f>IF(COUNTIF($A$4:$A888,$A888)=1,1,0)</f>
        <v>1</v>
      </c>
      <c r="G888" s="106" cm="1">
        <f t="array" ref="G888">IF($F888=1,IF(SUMPRODUCT(--ISNUMBER(SEARCH(","&amp;$A888&amp;",",'Parts list'!$Z$4:$Z$185)))&gt;0,1,0),0)</f>
        <v>1</v>
      </c>
    </row>
    <row r="889" spans="1:7" x14ac:dyDescent="0.2">
      <c r="A889" s="1" t="s">
        <v>3066</v>
      </c>
      <c r="B889" s="104">
        <v>2</v>
      </c>
      <c r="C889" s="104">
        <v>2</v>
      </c>
      <c r="D889" s="1" t="s">
        <v>2694</v>
      </c>
      <c r="E889" s="4"/>
      <c r="F889" s="106">
        <f>IF(COUNTIF($A$4:$A889,$A889)=1,1,0)</f>
        <v>0</v>
      </c>
      <c r="G889" s="106" cm="1">
        <f t="array" ref="G889">IF($F889=1,IF(SUMPRODUCT(--ISNUMBER(SEARCH(","&amp;$A889&amp;",",'Parts list'!$Z$4:$Z$185)))&gt;0,1,0),0)</f>
        <v>0</v>
      </c>
    </row>
    <row r="890" spans="1:7" x14ac:dyDescent="0.2">
      <c r="A890" s="1" t="s">
        <v>3067</v>
      </c>
      <c r="B890" s="104">
        <v>1</v>
      </c>
      <c r="C890" s="104">
        <v>1</v>
      </c>
      <c r="D890" s="1" t="s">
        <v>2264</v>
      </c>
      <c r="E890" s="4" t="s">
        <v>3068</v>
      </c>
      <c r="F890" s="106">
        <f>IF(COUNTIF($A$4:$A890,$A890)=1,1,0)</f>
        <v>1</v>
      </c>
      <c r="G890" s="106" cm="1">
        <f t="array" ref="G890">IF($F890=1,IF(SUMPRODUCT(--ISNUMBER(SEARCH(","&amp;$A890&amp;",",'Parts list'!$Z$4:$Z$185)))&gt;0,1,0),0)</f>
        <v>1</v>
      </c>
    </row>
    <row r="891" spans="1:7" x14ac:dyDescent="0.2">
      <c r="A891" s="1" t="s">
        <v>3067</v>
      </c>
      <c r="B891" s="104">
        <v>2</v>
      </c>
      <c r="C891" s="104">
        <v>2</v>
      </c>
      <c r="D891" s="1" t="s">
        <v>2389</v>
      </c>
      <c r="E891" s="4"/>
      <c r="F891" s="106">
        <f>IF(COUNTIF($A$4:$A891,$A891)=1,1,0)</f>
        <v>0</v>
      </c>
      <c r="G891" s="106" cm="1">
        <f t="array" ref="G891">IF($F891=1,IF(SUMPRODUCT(--ISNUMBER(SEARCH(","&amp;$A891&amp;",",'Parts list'!$Z$4:$Z$185)))&gt;0,1,0),0)</f>
        <v>0</v>
      </c>
    </row>
    <row r="892" spans="1:7" x14ac:dyDescent="0.2">
      <c r="A892" s="1" t="s">
        <v>3069</v>
      </c>
      <c r="B892" s="104">
        <v>1</v>
      </c>
      <c r="C892" s="104">
        <v>1</v>
      </c>
      <c r="D892" s="1" t="s">
        <v>2264</v>
      </c>
      <c r="E892" s="4" t="s">
        <v>3068</v>
      </c>
      <c r="F892" s="106">
        <f>IF(COUNTIF($A$4:$A892,$A892)=1,1,0)</f>
        <v>1</v>
      </c>
      <c r="G892" s="106" cm="1">
        <f t="array" ref="G892">IF($F892=1,IF(SUMPRODUCT(--ISNUMBER(SEARCH(","&amp;$A892&amp;",",'Parts list'!$Z$4:$Z$185)))&gt;0,1,0),0)</f>
        <v>1</v>
      </c>
    </row>
    <row r="893" spans="1:7" x14ac:dyDescent="0.2">
      <c r="A893" s="1" t="s">
        <v>3069</v>
      </c>
      <c r="B893" s="104">
        <v>2</v>
      </c>
      <c r="C893" s="104">
        <v>2</v>
      </c>
      <c r="D893" s="1" t="s">
        <v>2392</v>
      </c>
      <c r="E893" s="4"/>
      <c r="F893" s="106">
        <f>IF(COUNTIF($A$4:$A893,$A893)=1,1,0)</f>
        <v>0</v>
      </c>
      <c r="G893" s="106" cm="1">
        <f t="array" ref="G893">IF($F893=1,IF(SUMPRODUCT(--ISNUMBER(SEARCH(","&amp;$A893&amp;",",'Parts list'!$Z$4:$Z$185)))&gt;0,1,0),0)</f>
        <v>0</v>
      </c>
    </row>
    <row r="894" spans="1:7" x14ac:dyDescent="0.2">
      <c r="A894" s="1" t="s">
        <v>3070</v>
      </c>
      <c r="B894" s="104">
        <v>1</v>
      </c>
      <c r="C894" s="104">
        <v>1</v>
      </c>
      <c r="D894" s="1" t="s">
        <v>2264</v>
      </c>
      <c r="E894" s="4" t="s">
        <v>3068</v>
      </c>
      <c r="F894" s="106">
        <f>IF(COUNTIF($A$4:$A894,$A894)=1,1,0)</f>
        <v>1</v>
      </c>
      <c r="G894" s="106" cm="1">
        <f t="array" ref="G894">IF($F894=1,IF(SUMPRODUCT(--ISNUMBER(SEARCH(","&amp;$A894&amp;",",'Parts list'!$Z$4:$Z$185)))&gt;0,1,0),0)</f>
        <v>1</v>
      </c>
    </row>
    <row r="895" spans="1:7" x14ac:dyDescent="0.2">
      <c r="A895" s="1" t="s">
        <v>3070</v>
      </c>
      <c r="B895" s="104">
        <v>2</v>
      </c>
      <c r="C895" s="104">
        <v>2</v>
      </c>
      <c r="D895" s="1" t="s">
        <v>2394</v>
      </c>
      <c r="E895" s="4"/>
      <c r="F895" s="106">
        <f>IF(COUNTIF($A$4:$A895,$A895)=1,1,0)</f>
        <v>0</v>
      </c>
      <c r="G895" s="106" cm="1">
        <f t="array" ref="G895">IF($F895=1,IF(SUMPRODUCT(--ISNUMBER(SEARCH(","&amp;$A895&amp;",",'Parts list'!$Z$4:$Z$185)))&gt;0,1,0),0)</f>
        <v>0</v>
      </c>
    </row>
    <row r="896" spans="1:7" x14ac:dyDescent="0.2">
      <c r="A896" s="1" t="s">
        <v>3071</v>
      </c>
      <c r="B896" s="104">
        <v>1</v>
      </c>
      <c r="C896" s="104">
        <v>1</v>
      </c>
      <c r="D896" s="1" t="s">
        <v>2264</v>
      </c>
      <c r="E896" s="4" t="s">
        <v>3068</v>
      </c>
      <c r="F896" s="106">
        <f>IF(COUNTIF($A$4:$A896,$A896)=1,1,0)</f>
        <v>1</v>
      </c>
      <c r="G896" s="106" cm="1">
        <f t="array" ref="G896">IF($F896=1,IF(SUMPRODUCT(--ISNUMBER(SEARCH(","&amp;$A896&amp;",",'Parts list'!$Z$4:$Z$185)))&gt;0,1,0),0)</f>
        <v>1</v>
      </c>
    </row>
    <row r="897" spans="1:7" x14ac:dyDescent="0.2">
      <c r="A897" s="1" t="s">
        <v>3071</v>
      </c>
      <c r="B897" s="104">
        <v>2</v>
      </c>
      <c r="C897" s="104">
        <v>2</v>
      </c>
      <c r="D897" s="1" t="s">
        <v>2396</v>
      </c>
      <c r="E897" s="4"/>
      <c r="F897" s="106">
        <f>IF(COUNTIF($A$4:$A897,$A897)=1,1,0)</f>
        <v>0</v>
      </c>
      <c r="G897" s="106" cm="1">
        <f t="array" ref="G897">IF($F897=1,IF(SUMPRODUCT(--ISNUMBER(SEARCH(","&amp;$A897&amp;",",'Parts list'!$Z$4:$Z$185)))&gt;0,1,0),0)</f>
        <v>0</v>
      </c>
    </row>
    <row r="898" spans="1:7" x14ac:dyDescent="0.2">
      <c r="A898" s="1" t="s">
        <v>1348</v>
      </c>
      <c r="B898" s="104">
        <v>1</v>
      </c>
      <c r="C898" s="104">
        <v>1</v>
      </c>
      <c r="D898" s="1" t="s">
        <v>2264</v>
      </c>
      <c r="E898" s="4" t="s">
        <v>3072</v>
      </c>
      <c r="F898" s="106">
        <f>IF(COUNTIF($A$4:$A898,$A898)=1,1,0)</f>
        <v>1</v>
      </c>
      <c r="G898" s="106" cm="1">
        <f t="array" ref="G898">IF($F898=1,IF(SUMPRODUCT(--ISNUMBER(SEARCH(","&amp;$A898&amp;",",'Parts list'!$Z$4:$Z$185)))&gt;0,1,0),0)</f>
        <v>1</v>
      </c>
    </row>
    <row r="899" spans="1:7" x14ac:dyDescent="0.2">
      <c r="A899" s="1" t="s">
        <v>1348</v>
      </c>
      <c r="B899" s="104">
        <v>2</v>
      </c>
      <c r="C899" s="104">
        <v>2</v>
      </c>
      <c r="D899" s="1" t="s">
        <v>3073</v>
      </c>
      <c r="E899" s="4"/>
      <c r="F899" s="106">
        <f>IF(COUNTIF($A$4:$A899,$A899)=1,1,0)</f>
        <v>0</v>
      </c>
      <c r="G899" s="106" cm="1">
        <f t="array" ref="G899">IF($F899=1,IF(SUMPRODUCT(--ISNUMBER(SEARCH(","&amp;$A899&amp;",",'Parts list'!$Z$4:$Z$185)))&gt;0,1,0),0)</f>
        <v>0</v>
      </c>
    </row>
    <row r="900" spans="1:7" x14ac:dyDescent="0.2">
      <c r="A900" s="1" t="s">
        <v>3074</v>
      </c>
      <c r="B900" s="104">
        <v>1</v>
      </c>
      <c r="C900" s="104">
        <v>1</v>
      </c>
      <c r="D900" s="1" t="s">
        <v>3073</v>
      </c>
      <c r="E900" s="4" t="s">
        <v>3075</v>
      </c>
      <c r="F900" s="106">
        <f>IF(COUNTIF($A$4:$A900,$A900)=1,1,0)</f>
        <v>1</v>
      </c>
      <c r="G900" s="106" cm="1">
        <f t="array" ref="G900">IF($F900=1,IF(SUMPRODUCT(--ISNUMBER(SEARCH(","&amp;$A900&amp;",",'Parts list'!$Z$4:$Z$185)))&gt;0,1,0),0)</f>
        <v>1</v>
      </c>
    </row>
    <row r="901" spans="1:7" x14ac:dyDescent="0.2">
      <c r="A901" s="1" t="s">
        <v>3074</v>
      </c>
      <c r="B901" s="104">
        <v>2</v>
      </c>
      <c r="C901" s="104">
        <v>2</v>
      </c>
      <c r="D901" s="1" t="s">
        <v>2168</v>
      </c>
      <c r="E901" s="4"/>
      <c r="F901" s="106">
        <f>IF(COUNTIF($A$4:$A901,$A901)=1,1,0)</f>
        <v>0</v>
      </c>
      <c r="G901" s="106" cm="1">
        <f t="array" ref="G901">IF($F901=1,IF(SUMPRODUCT(--ISNUMBER(SEARCH(","&amp;$A901&amp;",",'Parts list'!$Z$4:$Z$185)))&gt;0,1,0),0)</f>
        <v>0</v>
      </c>
    </row>
    <row r="902" spans="1:7" x14ac:dyDescent="0.2">
      <c r="A902" s="1" t="s">
        <v>3076</v>
      </c>
      <c r="B902" s="104">
        <v>1</v>
      </c>
      <c r="C902" s="104">
        <v>1</v>
      </c>
      <c r="D902" s="1" t="s">
        <v>2607</v>
      </c>
      <c r="E902" s="4" t="s">
        <v>3077</v>
      </c>
      <c r="F902" s="106">
        <f>IF(COUNTIF($A$4:$A902,$A902)=1,1,0)</f>
        <v>1</v>
      </c>
      <c r="G902" s="106" cm="1">
        <f t="array" ref="G902">IF($F902=1,IF(SUMPRODUCT(--ISNUMBER(SEARCH(","&amp;$A902&amp;",",'Parts list'!$Z$4:$Z$185)))&gt;0,1,0),0)</f>
        <v>1</v>
      </c>
    </row>
    <row r="903" spans="1:7" x14ac:dyDescent="0.2">
      <c r="A903" s="1" t="s">
        <v>3076</v>
      </c>
      <c r="B903" s="104">
        <v>2</v>
      </c>
      <c r="C903" s="104">
        <v>2</v>
      </c>
      <c r="D903" s="1" t="s">
        <v>2406</v>
      </c>
      <c r="E903" s="4"/>
      <c r="F903" s="106">
        <f>IF(COUNTIF($A$4:$A903,$A903)=1,1,0)</f>
        <v>0</v>
      </c>
      <c r="G903" s="106" cm="1">
        <f t="array" ref="G903">IF($F903=1,IF(SUMPRODUCT(--ISNUMBER(SEARCH(","&amp;$A903&amp;",",'Parts list'!$Z$4:$Z$185)))&gt;0,1,0),0)</f>
        <v>0</v>
      </c>
    </row>
    <row r="904" spans="1:7" x14ac:dyDescent="0.2">
      <c r="A904" s="1" t="s">
        <v>3078</v>
      </c>
      <c r="B904" s="104">
        <v>1</v>
      </c>
      <c r="C904" s="104">
        <v>1</v>
      </c>
      <c r="D904" s="1" t="s">
        <v>2612</v>
      </c>
      <c r="E904" s="4" t="s">
        <v>3079</v>
      </c>
      <c r="F904" s="106">
        <f>IF(COUNTIF($A$4:$A904,$A904)=1,1,0)</f>
        <v>1</v>
      </c>
      <c r="G904" s="106" cm="1">
        <f t="array" ref="G904">IF($F904=1,IF(SUMPRODUCT(--ISNUMBER(SEARCH(","&amp;$A904&amp;",",'Parts list'!$Z$4:$Z$185)))&gt;0,1,0),0)</f>
        <v>1</v>
      </c>
    </row>
    <row r="905" spans="1:7" x14ac:dyDescent="0.2">
      <c r="A905" s="1" t="s">
        <v>3078</v>
      </c>
      <c r="B905" s="104">
        <v>2</v>
      </c>
      <c r="C905" s="104">
        <v>2</v>
      </c>
      <c r="D905" s="1" t="s">
        <v>2409</v>
      </c>
      <c r="E905" s="4"/>
      <c r="F905" s="106">
        <f>IF(COUNTIF($A$4:$A905,$A905)=1,1,0)</f>
        <v>0</v>
      </c>
      <c r="G905" s="106" cm="1">
        <f t="array" ref="G905">IF($F905=1,IF(SUMPRODUCT(--ISNUMBER(SEARCH(","&amp;$A905&amp;",",'Parts list'!$Z$4:$Z$185)))&gt;0,1,0),0)</f>
        <v>0</v>
      </c>
    </row>
    <row r="906" spans="1:7" x14ac:dyDescent="0.2">
      <c r="A906" s="1" t="s">
        <v>3080</v>
      </c>
      <c r="B906" s="104">
        <v>1</v>
      </c>
      <c r="C906" s="104">
        <v>1</v>
      </c>
      <c r="D906" s="1" t="s">
        <v>2616</v>
      </c>
      <c r="E906" s="4" t="s">
        <v>3081</v>
      </c>
      <c r="F906" s="106">
        <f>IF(COUNTIF($A$4:$A906,$A906)=1,1,0)</f>
        <v>1</v>
      </c>
      <c r="G906" s="106" cm="1">
        <f t="array" ref="G906">IF($F906=1,IF(SUMPRODUCT(--ISNUMBER(SEARCH(","&amp;$A906&amp;",",'Parts list'!$Z$4:$Z$185)))&gt;0,1,0),0)</f>
        <v>1</v>
      </c>
    </row>
    <row r="907" spans="1:7" x14ac:dyDescent="0.2">
      <c r="A907" s="1" t="s">
        <v>3080</v>
      </c>
      <c r="B907" s="104">
        <v>2</v>
      </c>
      <c r="C907" s="104">
        <v>2</v>
      </c>
      <c r="D907" s="1" t="s">
        <v>2411</v>
      </c>
      <c r="E907" s="4"/>
      <c r="F907" s="106">
        <f>IF(COUNTIF($A$4:$A907,$A907)=1,1,0)</f>
        <v>0</v>
      </c>
      <c r="G907" s="106" cm="1">
        <f t="array" ref="G907">IF($F907=1,IF(SUMPRODUCT(--ISNUMBER(SEARCH(","&amp;$A907&amp;",",'Parts list'!$Z$4:$Z$185)))&gt;0,1,0),0)</f>
        <v>0</v>
      </c>
    </row>
    <row r="908" spans="1:7" x14ac:dyDescent="0.2">
      <c r="A908" s="1" t="s">
        <v>3082</v>
      </c>
      <c r="B908" s="104">
        <v>1</v>
      </c>
      <c r="C908" s="104">
        <v>1</v>
      </c>
      <c r="D908" s="1" t="s">
        <v>2620</v>
      </c>
      <c r="E908" s="4" t="s">
        <v>3083</v>
      </c>
      <c r="F908" s="106">
        <f>IF(COUNTIF($A$4:$A908,$A908)=1,1,0)</f>
        <v>1</v>
      </c>
      <c r="G908" s="106" cm="1">
        <f t="array" ref="G908">IF($F908=1,IF(SUMPRODUCT(--ISNUMBER(SEARCH(","&amp;$A908&amp;",",'Parts list'!$Z$4:$Z$185)))&gt;0,1,0),0)</f>
        <v>1</v>
      </c>
    </row>
    <row r="909" spans="1:7" x14ac:dyDescent="0.2">
      <c r="A909" s="1" t="s">
        <v>3082</v>
      </c>
      <c r="B909" s="104">
        <v>2</v>
      </c>
      <c r="C909" s="104">
        <v>2</v>
      </c>
      <c r="D909" s="1" t="s">
        <v>2413</v>
      </c>
      <c r="E909" s="4"/>
      <c r="F909" s="106">
        <f>IF(COUNTIF($A$4:$A909,$A909)=1,1,0)</f>
        <v>0</v>
      </c>
      <c r="G909" s="106" cm="1">
        <f t="array" ref="G909">IF($F909=1,IF(SUMPRODUCT(--ISNUMBER(SEARCH(","&amp;$A909&amp;",",'Parts list'!$Z$4:$Z$185)))&gt;0,1,0),0)</f>
        <v>0</v>
      </c>
    </row>
    <row r="910" spans="1:7" x14ac:dyDescent="0.2">
      <c r="A910" s="1" t="s">
        <v>3084</v>
      </c>
      <c r="B910" s="104">
        <v>1</v>
      </c>
      <c r="C910" s="104">
        <v>1</v>
      </c>
      <c r="D910" s="1" t="s">
        <v>2607</v>
      </c>
      <c r="E910" s="4" t="s">
        <v>3085</v>
      </c>
      <c r="F910" s="106">
        <f>IF(COUNTIF($A$4:$A910,$A910)=1,1,0)</f>
        <v>1</v>
      </c>
      <c r="G910" s="106" cm="1">
        <f t="array" ref="G910">IF($F910=1,IF(SUMPRODUCT(--ISNUMBER(SEARCH(","&amp;$A910&amp;",",'Parts list'!$Z$4:$Z$185)))&gt;0,1,0),0)</f>
        <v>1</v>
      </c>
    </row>
    <row r="911" spans="1:7" x14ac:dyDescent="0.2">
      <c r="A911" s="1" t="s">
        <v>3084</v>
      </c>
      <c r="B911" s="104">
        <v>2</v>
      </c>
      <c r="C911" s="104">
        <v>2</v>
      </c>
      <c r="D911" s="1" t="s">
        <v>2415</v>
      </c>
      <c r="E911" s="4"/>
      <c r="F911" s="106">
        <f>IF(COUNTIF($A$4:$A911,$A911)=1,1,0)</f>
        <v>0</v>
      </c>
      <c r="G911" s="106" cm="1">
        <f t="array" ref="G911">IF($F911=1,IF(SUMPRODUCT(--ISNUMBER(SEARCH(","&amp;$A911&amp;",",'Parts list'!$Z$4:$Z$185)))&gt;0,1,0),0)</f>
        <v>0</v>
      </c>
    </row>
    <row r="912" spans="1:7" x14ac:dyDescent="0.2">
      <c r="A912" s="1" t="s">
        <v>3086</v>
      </c>
      <c r="B912" s="104">
        <v>1</v>
      </c>
      <c r="C912" s="104">
        <v>1</v>
      </c>
      <c r="D912" s="1" t="s">
        <v>2612</v>
      </c>
      <c r="E912" s="4" t="s">
        <v>3087</v>
      </c>
      <c r="F912" s="106">
        <f>IF(COUNTIF($A$4:$A912,$A912)=1,1,0)</f>
        <v>1</v>
      </c>
      <c r="G912" s="106" cm="1">
        <f t="array" ref="G912">IF($F912=1,IF(SUMPRODUCT(--ISNUMBER(SEARCH(","&amp;$A912&amp;",",'Parts list'!$Z$4:$Z$185)))&gt;0,1,0),0)</f>
        <v>1</v>
      </c>
    </row>
    <row r="913" spans="1:7" x14ac:dyDescent="0.2">
      <c r="A913" s="1" t="s">
        <v>3086</v>
      </c>
      <c r="B913" s="104">
        <v>2</v>
      </c>
      <c r="C913" s="104">
        <v>2</v>
      </c>
      <c r="D913" s="1" t="s">
        <v>2418</v>
      </c>
      <c r="E913" s="4"/>
      <c r="F913" s="106">
        <f>IF(COUNTIF($A$4:$A913,$A913)=1,1,0)</f>
        <v>0</v>
      </c>
      <c r="G913" s="106" cm="1">
        <f t="array" ref="G913">IF($F913=1,IF(SUMPRODUCT(--ISNUMBER(SEARCH(","&amp;$A913&amp;",",'Parts list'!$Z$4:$Z$185)))&gt;0,1,0),0)</f>
        <v>0</v>
      </c>
    </row>
    <row r="914" spans="1:7" x14ac:dyDescent="0.2">
      <c r="A914" s="1" t="s">
        <v>3088</v>
      </c>
      <c r="B914" s="104">
        <v>1</v>
      </c>
      <c r="C914" s="104">
        <v>1</v>
      </c>
      <c r="D914" s="1" t="s">
        <v>2616</v>
      </c>
      <c r="E914" s="4" t="s">
        <v>3089</v>
      </c>
      <c r="F914" s="106">
        <f>IF(COUNTIF($A$4:$A914,$A914)=1,1,0)</f>
        <v>1</v>
      </c>
      <c r="G914" s="106" cm="1">
        <f t="array" ref="G914">IF($F914=1,IF(SUMPRODUCT(--ISNUMBER(SEARCH(","&amp;$A914&amp;",",'Parts list'!$Z$4:$Z$185)))&gt;0,1,0),0)</f>
        <v>1</v>
      </c>
    </row>
    <row r="915" spans="1:7" x14ac:dyDescent="0.2">
      <c r="A915" s="1" t="s">
        <v>3088</v>
      </c>
      <c r="B915" s="104">
        <v>2</v>
      </c>
      <c r="C915" s="104">
        <v>2</v>
      </c>
      <c r="D915" s="1" t="s">
        <v>2420</v>
      </c>
      <c r="E915" s="4"/>
      <c r="F915" s="106">
        <f>IF(COUNTIF($A$4:$A915,$A915)=1,1,0)</f>
        <v>0</v>
      </c>
      <c r="G915" s="106" cm="1">
        <f t="array" ref="G915">IF($F915=1,IF(SUMPRODUCT(--ISNUMBER(SEARCH(","&amp;$A915&amp;",",'Parts list'!$Z$4:$Z$185)))&gt;0,1,0),0)</f>
        <v>0</v>
      </c>
    </row>
    <row r="916" spans="1:7" x14ac:dyDescent="0.2">
      <c r="A916" s="1" t="s">
        <v>3090</v>
      </c>
      <c r="B916" s="104">
        <v>1</v>
      </c>
      <c r="C916" s="104">
        <v>1</v>
      </c>
      <c r="D916" s="1" t="s">
        <v>2620</v>
      </c>
      <c r="E916" s="4" t="s">
        <v>3091</v>
      </c>
      <c r="F916" s="106">
        <f>IF(COUNTIF($A$4:$A916,$A916)=1,1,0)</f>
        <v>1</v>
      </c>
      <c r="G916" s="106" cm="1">
        <f t="array" ref="G916">IF($F916=1,IF(SUMPRODUCT(--ISNUMBER(SEARCH(","&amp;$A916&amp;",",'Parts list'!$Z$4:$Z$185)))&gt;0,1,0),0)</f>
        <v>1</v>
      </c>
    </row>
    <row r="917" spans="1:7" x14ac:dyDescent="0.2">
      <c r="A917" s="1" t="s">
        <v>3090</v>
      </c>
      <c r="B917" s="104">
        <v>2</v>
      </c>
      <c r="C917" s="104">
        <v>2</v>
      </c>
      <c r="D917" s="1" t="s">
        <v>2422</v>
      </c>
      <c r="E917" s="4"/>
      <c r="F917" s="106">
        <f>IF(COUNTIF($A$4:$A917,$A917)=1,1,0)</f>
        <v>0</v>
      </c>
      <c r="G917" s="106" cm="1">
        <f t="array" ref="G917">IF($F917=1,IF(SUMPRODUCT(--ISNUMBER(SEARCH(","&amp;$A917&amp;",",'Parts list'!$Z$4:$Z$185)))&gt;0,1,0),0)</f>
        <v>0</v>
      </c>
    </row>
    <row r="918" spans="1:7" x14ac:dyDescent="0.2">
      <c r="A918" s="1" t="s">
        <v>1356</v>
      </c>
      <c r="B918" s="104">
        <v>1</v>
      </c>
      <c r="C918" s="104">
        <v>1</v>
      </c>
      <c r="D918" s="1" t="s">
        <v>2221</v>
      </c>
      <c r="E918" s="4" t="s">
        <v>3092</v>
      </c>
      <c r="F918" s="106">
        <f>IF(COUNTIF($A$4:$A918,$A918)=1,1,0)</f>
        <v>1</v>
      </c>
      <c r="G918" s="106" cm="1">
        <f t="array" ref="G918">IF($F918=1,IF(SUMPRODUCT(--ISNUMBER(SEARCH(","&amp;$A918&amp;",",'Parts list'!$Z$4:$Z$185)))&gt;0,1,0),0)</f>
        <v>1</v>
      </c>
    </row>
    <row r="919" spans="1:7" x14ac:dyDescent="0.2">
      <c r="A919" s="1" t="s">
        <v>1356</v>
      </c>
      <c r="B919" s="104">
        <v>2</v>
      </c>
      <c r="C919" s="104">
        <v>2</v>
      </c>
      <c r="D919" s="1" t="s">
        <v>3093</v>
      </c>
      <c r="E919" s="4"/>
      <c r="F919" s="106">
        <f>IF(COUNTIF($A$4:$A919,$A919)=1,1,0)</f>
        <v>0</v>
      </c>
      <c r="G919" s="106" cm="1">
        <f t="array" ref="G919">IF($F919=1,IF(SUMPRODUCT(--ISNUMBER(SEARCH(","&amp;$A919&amp;",",'Parts list'!$Z$4:$Z$185)))&gt;0,1,0),0)</f>
        <v>0</v>
      </c>
    </row>
    <row r="920" spans="1:7" x14ac:dyDescent="0.2">
      <c r="A920" s="1" t="s">
        <v>3094</v>
      </c>
      <c r="B920" s="104">
        <v>1</v>
      </c>
      <c r="C920" s="104">
        <v>1</v>
      </c>
      <c r="D920" s="1" t="s">
        <v>3093</v>
      </c>
      <c r="E920" s="4" t="s">
        <v>3095</v>
      </c>
      <c r="F920" s="106">
        <f>IF(COUNTIF($A$4:$A920,$A920)=1,1,0)</f>
        <v>1</v>
      </c>
      <c r="G920" s="106" cm="1">
        <f t="array" ref="G920">IF($F920=1,IF(SUMPRODUCT(--ISNUMBER(SEARCH(","&amp;$A920&amp;",",'Parts list'!$Z$4:$Z$185)))&gt;0,1,0),0)</f>
        <v>1</v>
      </c>
    </row>
    <row r="921" spans="1:7" x14ac:dyDescent="0.2">
      <c r="A921" s="1" t="s">
        <v>3094</v>
      </c>
      <c r="B921" s="104">
        <v>2</v>
      </c>
      <c r="C921" s="104">
        <v>2</v>
      </c>
      <c r="D921" s="1" t="s">
        <v>2168</v>
      </c>
      <c r="E921" s="4"/>
      <c r="F921" s="106">
        <f>IF(COUNTIF($A$4:$A921,$A921)=1,1,0)</f>
        <v>0</v>
      </c>
      <c r="G921" s="106" cm="1">
        <f t="array" ref="G921">IF($F921=1,IF(SUMPRODUCT(--ISNUMBER(SEARCH(","&amp;$A921&amp;",",'Parts list'!$Z$4:$Z$185)))&gt;0,1,0),0)</f>
        <v>0</v>
      </c>
    </row>
    <row r="922" spans="1:7" x14ac:dyDescent="0.2">
      <c r="A922" s="1" t="s">
        <v>3096</v>
      </c>
      <c r="B922" s="104">
        <v>1</v>
      </c>
      <c r="C922" s="104">
        <v>1</v>
      </c>
      <c r="D922" s="1" t="s">
        <v>2267</v>
      </c>
      <c r="E922" s="4" t="s">
        <v>3097</v>
      </c>
      <c r="F922" s="106">
        <f>IF(COUNTIF($A$4:$A922,$A922)=1,1,0)</f>
        <v>1</v>
      </c>
      <c r="G922" s="106" cm="1">
        <f t="array" ref="G922">IF($F922=1,IF(SUMPRODUCT(--ISNUMBER(SEARCH(","&amp;$A922&amp;",",'Parts list'!$Z$4:$Z$185)))&gt;0,1,0),0)</f>
        <v>1</v>
      </c>
    </row>
    <row r="923" spans="1:7" x14ac:dyDescent="0.2">
      <c r="A923" s="1" t="s">
        <v>3096</v>
      </c>
      <c r="B923" s="104">
        <v>2</v>
      </c>
      <c r="C923" s="104">
        <v>2</v>
      </c>
      <c r="D923" s="1" t="s">
        <v>3098</v>
      </c>
      <c r="E923" s="4"/>
      <c r="F923" s="106">
        <f>IF(COUNTIF($A$4:$A923,$A923)=1,1,0)</f>
        <v>0</v>
      </c>
      <c r="G923" s="106" cm="1">
        <f t="array" ref="G923">IF($F923=1,IF(SUMPRODUCT(--ISNUMBER(SEARCH(","&amp;$A923&amp;",",'Parts list'!$Z$4:$Z$185)))&gt;0,1,0),0)</f>
        <v>0</v>
      </c>
    </row>
    <row r="924" spans="1:7" x14ac:dyDescent="0.2">
      <c r="A924" s="1" t="s">
        <v>3099</v>
      </c>
      <c r="B924" s="104">
        <v>1</v>
      </c>
      <c r="C924" s="104">
        <v>1</v>
      </c>
      <c r="D924" s="1" t="s">
        <v>3098</v>
      </c>
      <c r="E924" s="4" t="s">
        <v>3100</v>
      </c>
      <c r="F924" s="106">
        <f>IF(COUNTIF($A$4:$A924,$A924)=1,1,0)</f>
        <v>1</v>
      </c>
      <c r="G924" s="106" cm="1">
        <f t="array" ref="G924">IF($F924=1,IF(SUMPRODUCT(--ISNUMBER(SEARCH(","&amp;$A924&amp;",",'Parts list'!$Z$4:$Z$185)))&gt;0,1,0),0)</f>
        <v>1</v>
      </c>
    </row>
    <row r="925" spans="1:7" x14ac:dyDescent="0.2">
      <c r="A925" s="1" t="s">
        <v>3099</v>
      </c>
      <c r="B925" s="104">
        <v>2</v>
      </c>
      <c r="C925" s="104">
        <v>2</v>
      </c>
      <c r="D925" s="1" t="s">
        <v>3101</v>
      </c>
      <c r="E925" s="4"/>
      <c r="F925" s="106">
        <f>IF(COUNTIF($A$4:$A925,$A925)=1,1,0)</f>
        <v>0</v>
      </c>
      <c r="G925" s="106" cm="1">
        <f t="array" ref="G925">IF($F925=1,IF(SUMPRODUCT(--ISNUMBER(SEARCH(","&amp;$A925&amp;",",'Parts list'!$Z$4:$Z$185)))&gt;0,1,0),0)</f>
        <v>0</v>
      </c>
    </row>
    <row r="926" spans="1:7" x14ac:dyDescent="0.2">
      <c r="A926" s="1" t="s">
        <v>3102</v>
      </c>
      <c r="B926" s="104">
        <v>1</v>
      </c>
      <c r="C926" s="104">
        <v>1</v>
      </c>
      <c r="D926" s="1" t="s">
        <v>2221</v>
      </c>
      <c r="E926" s="4" t="s">
        <v>3103</v>
      </c>
      <c r="F926" s="106">
        <f>IF(COUNTIF($A$4:$A926,$A926)=1,1,0)</f>
        <v>1</v>
      </c>
      <c r="G926" s="106" cm="1">
        <f t="array" ref="G926">IF($F926=1,IF(SUMPRODUCT(--ISNUMBER(SEARCH(","&amp;$A926&amp;",",'Parts list'!$Z$4:$Z$185)))&gt;0,1,0),0)</f>
        <v>1</v>
      </c>
    </row>
    <row r="927" spans="1:7" x14ac:dyDescent="0.2">
      <c r="A927" s="1" t="s">
        <v>3102</v>
      </c>
      <c r="B927" s="104">
        <v>2</v>
      </c>
      <c r="C927" s="104">
        <v>2</v>
      </c>
      <c r="D927" s="1" t="s">
        <v>3104</v>
      </c>
      <c r="E927" s="4"/>
      <c r="F927" s="106">
        <f>IF(COUNTIF($A$4:$A927,$A927)=1,1,0)</f>
        <v>0</v>
      </c>
      <c r="G927" s="106" cm="1">
        <f t="array" ref="G927">IF($F927=1,IF(SUMPRODUCT(--ISNUMBER(SEARCH(","&amp;$A927&amp;",",'Parts list'!$Z$4:$Z$185)))&gt;0,1,0),0)</f>
        <v>0</v>
      </c>
    </row>
    <row r="928" spans="1:7" x14ac:dyDescent="0.2">
      <c r="A928" s="1" t="s">
        <v>3105</v>
      </c>
      <c r="B928" s="104">
        <v>1</v>
      </c>
      <c r="C928" s="104">
        <v>1</v>
      </c>
      <c r="D928" s="1" t="s">
        <v>3104</v>
      </c>
      <c r="E928" s="4" t="s">
        <v>3106</v>
      </c>
      <c r="F928" s="106">
        <f>IF(COUNTIF($A$4:$A928,$A928)=1,1,0)</f>
        <v>1</v>
      </c>
      <c r="G928" s="106" cm="1">
        <f t="array" ref="G928">IF($F928=1,IF(SUMPRODUCT(--ISNUMBER(SEARCH(","&amp;$A928&amp;",",'Parts list'!$Z$4:$Z$185)))&gt;0,1,0),0)</f>
        <v>1</v>
      </c>
    </row>
    <row r="929" spans="1:7" x14ac:dyDescent="0.2">
      <c r="A929" s="1" t="s">
        <v>3105</v>
      </c>
      <c r="B929" s="104">
        <v>2</v>
      </c>
      <c r="C929" s="104">
        <v>2</v>
      </c>
      <c r="D929" s="1" t="s">
        <v>2168</v>
      </c>
      <c r="E929" s="4"/>
      <c r="F929" s="106">
        <f>IF(COUNTIF($A$4:$A929,$A929)=1,1,0)</f>
        <v>0</v>
      </c>
      <c r="G929" s="106" cm="1">
        <f t="array" ref="G929">IF($F929=1,IF(SUMPRODUCT(--ISNUMBER(SEARCH(","&amp;$A929&amp;",",'Parts list'!$Z$4:$Z$185)))&gt;0,1,0),0)</f>
        <v>0</v>
      </c>
    </row>
    <row r="930" spans="1:7" x14ac:dyDescent="0.2">
      <c r="A930" s="1" t="s">
        <v>3107</v>
      </c>
      <c r="B930" s="104">
        <v>1</v>
      </c>
      <c r="C930" s="104">
        <v>1</v>
      </c>
      <c r="D930" s="1" t="s">
        <v>2267</v>
      </c>
      <c r="E930" s="4" t="s">
        <v>3108</v>
      </c>
      <c r="F930" s="106">
        <f>IF(COUNTIF($A$4:$A930,$A930)=1,1,0)</f>
        <v>1</v>
      </c>
      <c r="G930" s="106" cm="1">
        <f t="array" ref="G930">IF($F930=1,IF(SUMPRODUCT(--ISNUMBER(SEARCH(","&amp;$A930&amp;",",'Parts list'!$Z$4:$Z$185)))&gt;0,1,0),0)</f>
        <v>1</v>
      </c>
    </row>
    <row r="931" spans="1:7" x14ac:dyDescent="0.2">
      <c r="A931" s="1" t="s">
        <v>3107</v>
      </c>
      <c r="B931" s="104">
        <v>2</v>
      </c>
      <c r="C931" s="104">
        <v>2</v>
      </c>
      <c r="D931" s="1" t="s">
        <v>3109</v>
      </c>
      <c r="E931" s="4"/>
      <c r="F931" s="106">
        <f>IF(COUNTIF($A$4:$A931,$A931)=1,1,0)</f>
        <v>0</v>
      </c>
      <c r="G931" s="106" cm="1">
        <f t="array" ref="G931">IF($F931=1,IF(SUMPRODUCT(--ISNUMBER(SEARCH(","&amp;$A931&amp;",",'Parts list'!$Z$4:$Z$185)))&gt;0,1,0),0)</f>
        <v>0</v>
      </c>
    </row>
    <row r="932" spans="1:7" x14ac:dyDescent="0.2">
      <c r="A932" s="1" t="s">
        <v>1365</v>
      </c>
      <c r="B932" s="104">
        <v>1</v>
      </c>
      <c r="C932" s="104">
        <v>1</v>
      </c>
      <c r="D932" s="1" t="s">
        <v>3109</v>
      </c>
      <c r="E932" s="4" t="s">
        <v>3110</v>
      </c>
      <c r="F932" s="106">
        <f>IF(COUNTIF($A$4:$A932,$A932)=1,1,0)</f>
        <v>1</v>
      </c>
      <c r="G932" s="106" cm="1">
        <f t="array" ref="G932">IF($F932=1,IF(SUMPRODUCT(--ISNUMBER(SEARCH(","&amp;$A932&amp;",",'Parts list'!$Z$4:$Z$185)))&gt;0,1,0),0)</f>
        <v>1</v>
      </c>
    </row>
    <row r="933" spans="1:7" x14ac:dyDescent="0.2">
      <c r="A933" s="1" t="s">
        <v>1365</v>
      </c>
      <c r="B933" s="104">
        <v>2</v>
      </c>
      <c r="C933" s="104">
        <v>2</v>
      </c>
      <c r="D933" s="1" t="s">
        <v>2168</v>
      </c>
      <c r="E933" s="4"/>
      <c r="F933" s="106">
        <f>IF(COUNTIF($A$4:$A933,$A933)=1,1,0)</f>
        <v>0</v>
      </c>
      <c r="G933" s="106" cm="1">
        <f t="array" ref="G933">IF($F933=1,IF(SUMPRODUCT(--ISNUMBER(SEARCH(","&amp;$A933&amp;",",'Parts list'!$Z$4:$Z$185)))&gt;0,1,0),0)</f>
        <v>0</v>
      </c>
    </row>
    <row r="934" spans="1:7" x14ac:dyDescent="0.2">
      <c r="A934" s="1" t="s">
        <v>3111</v>
      </c>
      <c r="B934" s="104">
        <v>1</v>
      </c>
      <c r="C934" s="104">
        <v>1</v>
      </c>
      <c r="D934" s="1" t="s">
        <v>2264</v>
      </c>
      <c r="E934" s="4" t="s">
        <v>3112</v>
      </c>
      <c r="F934" s="106">
        <f>IF(COUNTIF($A$4:$A934,$A934)=1,1,0)</f>
        <v>1</v>
      </c>
      <c r="G934" s="106" cm="1">
        <f t="array" ref="G934">IF($F934=1,IF(SUMPRODUCT(--ISNUMBER(SEARCH(","&amp;$A934&amp;",",'Parts list'!$Z$4:$Z$185)))&gt;0,1,0),0)</f>
        <v>1</v>
      </c>
    </row>
    <row r="935" spans="1:7" x14ac:dyDescent="0.2">
      <c r="A935" s="1" t="s">
        <v>3111</v>
      </c>
      <c r="B935" s="104">
        <v>2</v>
      </c>
      <c r="C935" s="104">
        <v>2</v>
      </c>
      <c r="D935" s="1" t="s">
        <v>2424</v>
      </c>
      <c r="E935" s="4"/>
      <c r="F935" s="106">
        <f>IF(COUNTIF($A$4:$A935,$A935)=1,1,0)</f>
        <v>0</v>
      </c>
      <c r="G935" s="106" cm="1">
        <f t="array" ref="G935">IF($F935=1,IF(SUMPRODUCT(--ISNUMBER(SEARCH(","&amp;$A935&amp;",",'Parts list'!$Z$4:$Z$185)))&gt;0,1,0),0)</f>
        <v>0</v>
      </c>
    </row>
    <row r="936" spans="1:7" x14ac:dyDescent="0.2">
      <c r="A936" s="1" t="s">
        <v>3113</v>
      </c>
      <c r="B936" s="104">
        <v>1</v>
      </c>
      <c r="C936" s="104">
        <v>1</v>
      </c>
      <c r="D936" s="1" t="s">
        <v>2264</v>
      </c>
      <c r="E936" s="4" t="s">
        <v>3112</v>
      </c>
      <c r="F936" s="106">
        <f>IF(COUNTIF($A$4:$A936,$A936)=1,1,0)</f>
        <v>1</v>
      </c>
      <c r="G936" s="106" cm="1">
        <f t="array" ref="G936">IF($F936=1,IF(SUMPRODUCT(--ISNUMBER(SEARCH(","&amp;$A936&amp;",",'Parts list'!$Z$4:$Z$185)))&gt;0,1,0),0)</f>
        <v>1</v>
      </c>
    </row>
    <row r="937" spans="1:7" x14ac:dyDescent="0.2">
      <c r="A937" s="1" t="s">
        <v>3113</v>
      </c>
      <c r="B937" s="104">
        <v>2</v>
      </c>
      <c r="C937" s="104">
        <v>2</v>
      </c>
      <c r="D937" s="1" t="s">
        <v>2427</v>
      </c>
      <c r="E937" s="4"/>
      <c r="F937" s="106">
        <f>IF(COUNTIF($A$4:$A937,$A937)=1,1,0)</f>
        <v>0</v>
      </c>
      <c r="G937" s="106" cm="1">
        <f t="array" ref="G937">IF($F937=1,IF(SUMPRODUCT(--ISNUMBER(SEARCH(","&amp;$A937&amp;",",'Parts list'!$Z$4:$Z$185)))&gt;0,1,0),0)</f>
        <v>0</v>
      </c>
    </row>
    <row r="938" spans="1:7" x14ac:dyDescent="0.2">
      <c r="A938" s="1" t="s">
        <v>3114</v>
      </c>
      <c r="B938" s="104">
        <v>1</v>
      </c>
      <c r="C938" s="104">
        <v>1</v>
      </c>
      <c r="D938" s="1" t="s">
        <v>2264</v>
      </c>
      <c r="E938" s="4" t="s">
        <v>3112</v>
      </c>
      <c r="F938" s="106">
        <f>IF(COUNTIF($A$4:$A938,$A938)=1,1,0)</f>
        <v>1</v>
      </c>
      <c r="G938" s="106" cm="1">
        <f t="array" ref="G938">IF($F938=1,IF(SUMPRODUCT(--ISNUMBER(SEARCH(","&amp;$A938&amp;",",'Parts list'!$Z$4:$Z$185)))&gt;0,1,0),0)</f>
        <v>1</v>
      </c>
    </row>
    <row r="939" spans="1:7" x14ac:dyDescent="0.2">
      <c r="A939" s="1" t="s">
        <v>3114</v>
      </c>
      <c r="B939" s="104">
        <v>2</v>
      </c>
      <c r="C939" s="104">
        <v>2</v>
      </c>
      <c r="D939" s="1" t="s">
        <v>2429</v>
      </c>
      <c r="E939" s="4"/>
      <c r="F939" s="106">
        <f>IF(COUNTIF($A$4:$A939,$A939)=1,1,0)</f>
        <v>0</v>
      </c>
      <c r="G939" s="106" cm="1">
        <f t="array" ref="G939">IF($F939=1,IF(SUMPRODUCT(--ISNUMBER(SEARCH(","&amp;$A939&amp;",",'Parts list'!$Z$4:$Z$185)))&gt;0,1,0),0)</f>
        <v>0</v>
      </c>
    </row>
    <row r="940" spans="1:7" x14ac:dyDescent="0.2">
      <c r="A940" s="1" t="s">
        <v>3115</v>
      </c>
      <c r="B940" s="104">
        <v>1</v>
      </c>
      <c r="C940" s="104">
        <v>1</v>
      </c>
      <c r="D940" s="1" t="s">
        <v>2264</v>
      </c>
      <c r="E940" s="4" t="s">
        <v>3112</v>
      </c>
      <c r="F940" s="106">
        <f>IF(COUNTIF($A$4:$A940,$A940)=1,1,0)</f>
        <v>1</v>
      </c>
      <c r="G940" s="106" cm="1">
        <f t="array" ref="G940">IF($F940=1,IF(SUMPRODUCT(--ISNUMBER(SEARCH(","&amp;$A940&amp;",",'Parts list'!$Z$4:$Z$185)))&gt;0,1,0),0)</f>
        <v>1</v>
      </c>
    </row>
    <row r="941" spans="1:7" x14ac:dyDescent="0.2">
      <c r="A941" s="1" t="s">
        <v>3115</v>
      </c>
      <c r="B941" s="104">
        <v>2</v>
      </c>
      <c r="C941" s="104">
        <v>2</v>
      </c>
      <c r="D941" s="1" t="s">
        <v>2431</v>
      </c>
      <c r="E941" s="4"/>
      <c r="F941" s="106">
        <f>IF(COUNTIF($A$4:$A941,$A941)=1,1,0)</f>
        <v>0</v>
      </c>
      <c r="G941" s="106" cm="1">
        <f t="array" ref="G941">IF($F941=1,IF(SUMPRODUCT(--ISNUMBER(SEARCH(","&amp;$A941&amp;",",'Parts list'!$Z$4:$Z$185)))&gt;0,1,0),0)</f>
        <v>0</v>
      </c>
    </row>
    <row r="942" spans="1:7" x14ac:dyDescent="0.2">
      <c r="A942" s="1" t="s">
        <v>3116</v>
      </c>
      <c r="B942" s="104">
        <v>1</v>
      </c>
      <c r="C942" s="104">
        <v>1</v>
      </c>
      <c r="D942" s="1" t="s">
        <v>2264</v>
      </c>
      <c r="E942" s="4" t="s">
        <v>3112</v>
      </c>
      <c r="F942" s="106">
        <f>IF(COUNTIF($A$4:$A942,$A942)=1,1,0)</f>
        <v>1</v>
      </c>
      <c r="G942" s="106" cm="1">
        <f t="array" ref="G942">IF($F942=1,IF(SUMPRODUCT(--ISNUMBER(SEARCH(","&amp;$A942&amp;",",'Parts list'!$Z$4:$Z$185)))&gt;0,1,0),0)</f>
        <v>1</v>
      </c>
    </row>
    <row r="943" spans="1:7" x14ac:dyDescent="0.2">
      <c r="A943" s="1" t="s">
        <v>3116</v>
      </c>
      <c r="B943" s="104">
        <v>2</v>
      </c>
      <c r="C943" s="104">
        <v>2</v>
      </c>
      <c r="D943" s="1" t="s">
        <v>2433</v>
      </c>
      <c r="E943" s="4"/>
      <c r="F943" s="106">
        <f>IF(COUNTIF($A$4:$A943,$A943)=1,1,0)</f>
        <v>0</v>
      </c>
      <c r="G943" s="106" cm="1">
        <f t="array" ref="G943">IF($F943=1,IF(SUMPRODUCT(--ISNUMBER(SEARCH(","&amp;$A943&amp;",",'Parts list'!$Z$4:$Z$185)))&gt;0,1,0),0)</f>
        <v>0</v>
      </c>
    </row>
    <row r="944" spans="1:7" x14ac:dyDescent="0.2">
      <c r="A944" s="1" t="s">
        <v>3117</v>
      </c>
      <c r="B944" s="104">
        <v>1</v>
      </c>
      <c r="C944" s="104">
        <v>1</v>
      </c>
      <c r="D944" s="1" t="s">
        <v>2264</v>
      </c>
      <c r="E944" s="4" t="s">
        <v>3112</v>
      </c>
      <c r="F944" s="106">
        <f>IF(COUNTIF($A$4:$A944,$A944)=1,1,0)</f>
        <v>1</v>
      </c>
      <c r="G944" s="106" cm="1">
        <f t="array" ref="G944">IF($F944=1,IF(SUMPRODUCT(--ISNUMBER(SEARCH(","&amp;$A944&amp;",",'Parts list'!$Z$4:$Z$185)))&gt;0,1,0),0)</f>
        <v>1</v>
      </c>
    </row>
    <row r="945" spans="1:7" x14ac:dyDescent="0.2">
      <c r="A945" s="1" t="s">
        <v>3117</v>
      </c>
      <c r="B945" s="104">
        <v>2</v>
      </c>
      <c r="C945" s="104">
        <v>2</v>
      </c>
      <c r="D945" s="1" t="s">
        <v>2435</v>
      </c>
      <c r="E945" s="4"/>
      <c r="F945" s="106">
        <f>IF(COUNTIF($A$4:$A945,$A945)=1,1,0)</f>
        <v>0</v>
      </c>
      <c r="G945" s="106" cm="1">
        <f t="array" ref="G945">IF($F945=1,IF(SUMPRODUCT(--ISNUMBER(SEARCH(","&amp;$A945&amp;",",'Parts list'!$Z$4:$Z$185)))&gt;0,1,0),0)</f>
        <v>0</v>
      </c>
    </row>
    <row r="946" spans="1:7" x14ac:dyDescent="0.2">
      <c r="A946" s="1" t="s">
        <v>3118</v>
      </c>
      <c r="B946" s="104">
        <v>1</v>
      </c>
      <c r="C946" s="104">
        <v>1</v>
      </c>
      <c r="D946" s="1" t="s">
        <v>2264</v>
      </c>
      <c r="E946" s="4" t="s">
        <v>3112</v>
      </c>
      <c r="F946" s="106">
        <f>IF(COUNTIF($A$4:$A946,$A946)=1,1,0)</f>
        <v>1</v>
      </c>
      <c r="G946" s="106" cm="1">
        <f t="array" ref="G946">IF($F946=1,IF(SUMPRODUCT(--ISNUMBER(SEARCH(","&amp;$A946&amp;",",'Parts list'!$Z$4:$Z$185)))&gt;0,1,0),0)</f>
        <v>1</v>
      </c>
    </row>
    <row r="947" spans="1:7" x14ac:dyDescent="0.2">
      <c r="A947" s="1" t="s">
        <v>3118</v>
      </c>
      <c r="B947" s="104">
        <v>2</v>
      </c>
      <c r="C947" s="104">
        <v>2</v>
      </c>
      <c r="D947" s="1" t="s">
        <v>2437</v>
      </c>
      <c r="E947" s="4"/>
      <c r="F947" s="106">
        <f>IF(COUNTIF($A$4:$A947,$A947)=1,1,0)</f>
        <v>0</v>
      </c>
      <c r="G947" s="106" cm="1">
        <f t="array" ref="G947">IF($F947=1,IF(SUMPRODUCT(--ISNUMBER(SEARCH(","&amp;$A947&amp;",",'Parts list'!$Z$4:$Z$185)))&gt;0,1,0),0)</f>
        <v>0</v>
      </c>
    </row>
    <row r="948" spans="1:7" x14ac:dyDescent="0.2">
      <c r="A948" s="1" t="s">
        <v>3119</v>
      </c>
      <c r="B948" s="104">
        <v>1</v>
      </c>
      <c r="C948" s="104">
        <v>1</v>
      </c>
      <c r="D948" s="1" t="s">
        <v>2264</v>
      </c>
      <c r="E948" s="4" t="s">
        <v>3112</v>
      </c>
      <c r="F948" s="106">
        <f>IF(COUNTIF($A$4:$A948,$A948)=1,1,0)</f>
        <v>1</v>
      </c>
      <c r="G948" s="106" cm="1">
        <f t="array" ref="G948">IF($F948=1,IF(SUMPRODUCT(--ISNUMBER(SEARCH(","&amp;$A948&amp;",",'Parts list'!$Z$4:$Z$185)))&gt;0,1,0),0)</f>
        <v>1</v>
      </c>
    </row>
    <row r="949" spans="1:7" x14ac:dyDescent="0.2">
      <c r="A949" s="1" t="s">
        <v>3119</v>
      </c>
      <c r="B949" s="104">
        <v>2</v>
      </c>
      <c r="C949" s="104">
        <v>2</v>
      </c>
      <c r="D949" s="1" t="s">
        <v>2439</v>
      </c>
      <c r="E949" s="4"/>
      <c r="F949" s="106">
        <f>IF(COUNTIF($A$4:$A949,$A949)=1,1,0)</f>
        <v>0</v>
      </c>
      <c r="G949" s="106" cm="1">
        <f t="array" ref="G949">IF($F949=1,IF(SUMPRODUCT(--ISNUMBER(SEARCH(","&amp;$A949&amp;",",'Parts list'!$Z$4:$Z$185)))&gt;0,1,0),0)</f>
        <v>0</v>
      </c>
    </row>
    <row r="950" spans="1:7" x14ac:dyDescent="0.2">
      <c r="A950" s="1" t="s">
        <v>3120</v>
      </c>
      <c r="B950" s="104">
        <v>1</v>
      </c>
      <c r="C950" s="104">
        <v>1</v>
      </c>
      <c r="D950" s="1" t="s">
        <v>3101</v>
      </c>
      <c r="E950" s="4" t="s">
        <v>3121</v>
      </c>
      <c r="F950" s="106">
        <f>IF(COUNTIF($A$4:$A950,$A950)=1,1,0)</f>
        <v>1</v>
      </c>
      <c r="G950" s="106" cm="1">
        <f t="array" ref="G950">IF($F950=1,IF(SUMPRODUCT(--ISNUMBER(SEARCH(","&amp;$A950&amp;",",'Parts list'!$Z$4:$Z$185)))&gt;0,1,0),0)</f>
        <v>1</v>
      </c>
    </row>
    <row r="951" spans="1:7" x14ac:dyDescent="0.2">
      <c r="A951" s="1" t="s">
        <v>3120</v>
      </c>
      <c r="B951" s="104">
        <v>2</v>
      </c>
      <c r="C951" s="104">
        <v>2</v>
      </c>
      <c r="D951" s="1" t="s">
        <v>2696</v>
      </c>
      <c r="E951" s="4"/>
      <c r="F951" s="106">
        <f>IF(COUNTIF($A$4:$A951,$A951)=1,1,0)</f>
        <v>0</v>
      </c>
      <c r="G951" s="106" cm="1">
        <f t="array" ref="G951">IF($F951=1,IF(SUMPRODUCT(--ISNUMBER(SEARCH(","&amp;$A951&amp;",",'Parts list'!$Z$4:$Z$185)))&gt;0,1,0),0)</f>
        <v>0</v>
      </c>
    </row>
    <row r="952" spans="1:7" x14ac:dyDescent="0.2">
      <c r="A952" s="1" t="s">
        <v>1381</v>
      </c>
      <c r="B952" s="104">
        <v>1</v>
      </c>
      <c r="C952" s="104">
        <v>1</v>
      </c>
      <c r="D952" s="1" t="s">
        <v>3093</v>
      </c>
      <c r="E952" s="4" t="s">
        <v>3122</v>
      </c>
      <c r="F952" s="106">
        <f>IF(COUNTIF($A$4:$A952,$A952)=1,1,0)</f>
        <v>1</v>
      </c>
      <c r="G952" s="106" cm="1">
        <f t="array" ref="G952">IF($F952=1,IF(SUMPRODUCT(--ISNUMBER(SEARCH(","&amp;$A952&amp;",",'Parts list'!$Z$4:$Z$185)))&gt;0,1,0),0)</f>
        <v>1</v>
      </c>
    </row>
    <row r="953" spans="1:7" x14ac:dyDescent="0.2">
      <c r="A953" s="1" t="s">
        <v>1381</v>
      </c>
      <c r="B953" s="104">
        <v>2</v>
      </c>
      <c r="C953" s="104">
        <v>2</v>
      </c>
      <c r="D953" s="1" t="s">
        <v>2698</v>
      </c>
      <c r="E953" s="4"/>
      <c r="F953" s="106">
        <f>IF(COUNTIF($A$4:$A953,$A953)=1,1,0)</f>
        <v>0</v>
      </c>
      <c r="G953" s="106" cm="1">
        <f t="array" ref="G953">IF($F953=1,IF(SUMPRODUCT(--ISNUMBER(SEARCH(","&amp;$A953&amp;",",'Parts list'!$Z$4:$Z$185)))&gt;0,1,0),0)</f>
        <v>0</v>
      </c>
    </row>
    <row r="954" spans="1:7" x14ac:dyDescent="0.2">
      <c r="A954" s="1" t="s">
        <v>3123</v>
      </c>
      <c r="B954" s="104">
        <v>1</v>
      </c>
      <c r="C954" s="104" t="s">
        <v>3124</v>
      </c>
      <c r="D954" s="1" t="s">
        <v>2220</v>
      </c>
      <c r="E954" s="4" t="s">
        <v>3125</v>
      </c>
      <c r="F954" s="106">
        <f>IF(COUNTIF($A$4:$A954,$A954)=1,1,0)</f>
        <v>1</v>
      </c>
      <c r="G954" s="106" cm="1">
        <f t="array" ref="G954">IF($F954=1,IF(SUMPRODUCT(--ISNUMBER(SEARCH(","&amp;$A954&amp;",",'Parts list'!$Z$4:$Z$185)))&gt;0,1,0),0)</f>
        <v>1</v>
      </c>
    </row>
    <row r="955" spans="1:7" x14ac:dyDescent="0.2">
      <c r="A955" s="1" t="s">
        <v>3126</v>
      </c>
      <c r="B955" s="104">
        <v>1</v>
      </c>
      <c r="C955" s="104" t="s">
        <v>3124</v>
      </c>
      <c r="D955" s="1" t="s">
        <v>2330</v>
      </c>
      <c r="E955" s="4" t="s">
        <v>3125</v>
      </c>
      <c r="F955" s="106">
        <f>IF(COUNTIF($A$4:$A955,$A955)=1,1,0)</f>
        <v>1</v>
      </c>
      <c r="G955" s="106" cm="1">
        <f t="array" ref="G955">IF($F955=1,IF(SUMPRODUCT(--ISNUMBER(SEARCH(","&amp;$A955&amp;",",'Parts list'!$Z$4:$Z$185)))&gt;0,1,0),0)</f>
        <v>1</v>
      </c>
    </row>
    <row r="956" spans="1:7" x14ac:dyDescent="0.2">
      <c r="A956" s="1" t="s">
        <v>3127</v>
      </c>
      <c r="B956" s="104">
        <v>1</v>
      </c>
      <c r="C956" s="104" t="s">
        <v>3124</v>
      </c>
      <c r="D956" s="1" t="s">
        <v>2181</v>
      </c>
      <c r="E956" s="4" t="s">
        <v>3125</v>
      </c>
      <c r="F956" s="106">
        <f>IF(COUNTIF($A$4:$A956,$A956)=1,1,0)</f>
        <v>1</v>
      </c>
      <c r="G956" s="106" cm="1">
        <f t="array" ref="G956">IF($F956=1,IF(SUMPRODUCT(--ISNUMBER(SEARCH(","&amp;$A956&amp;",",'Parts list'!$Z$4:$Z$185)))&gt;0,1,0),0)</f>
        <v>1</v>
      </c>
    </row>
    <row r="957" spans="1:7" x14ac:dyDescent="0.2">
      <c r="A957" s="1" t="s">
        <v>3128</v>
      </c>
      <c r="B957" s="104">
        <v>1</v>
      </c>
      <c r="C957" s="104" t="s">
        <v>3124</v>
      </c>
      <c r="D957" s="1" t="s">
        <v>2208</v>
      </c>
      <c r="E957" s="4" t="s">
        <v>3125</v>
      </c>
      <c r="F957" s="106">
        <f>IF(COUNTIF($A$4:$A957,$A957)=1,1,0)</f>
        <v>1</v>
      </c>
      <c r="G957" s="106" cm="1">
        <f t="array" ref="G957">IF($F957=1,IF(SUMPRODUCT(--ISNUMBER(SEARCH(","&amp;$A957&amp;",",'Parts list'!$Z$4:$Z$185)))&gt;0,1,0),0)</f>
        <v>1</v>
      </c>
    </row>
    <row r="958" spans="1:7" x14ac:dyDescent="0.2">
      <c r="A958" s="1" t="s">
        <v>3129</v>
      </c>
      <c r="B958" s="104">
        <v>1</v>
      </c>
      <c r="C958" s="104" t="s">
        <v>3124</v>
      </c>
      <c r="D958" s="1" t="s">
        <v>2221</v>
      </c>
      <c r="E958" s="4" t="s">
        <v>3125</v>
      </c>
      <c r="F958" s="106">
        <f>IF(COUNTIF($A$4:$A958,$A958)=1,1,0)</f>
        <v>1</v>
      </c>
      <c r="G958" s="106" cm="1">
        <f t="array" ref="G958">IF($F958=1,IF(SUMPRODUCT(--ISNUMBER(SEARCH(","&amp;$A958&amp;",",'Parts list'!$Z$4:$Z$185)))&gt;0,1,0),0)</f>
        <v>1</v>
      </c>
    </row>
    <row r="959" spans="1:7" x14ac:dyDescent="0.2">
      <c r="A959" s="1" t="s">
        <v>3130</v>
      </c>
      <c r="B959" s="104">
        <v>1</v>
      </c>
      <c r="C959" s="104" t="s">
        <v>3124</v>
      </c>
      <c r="D959" s="1" t="s">
        <v>2237</v>
      </c>
      <c r="E959" s="4" t="s">
        <v>3125</v>
      </c>
      <c r="F959" s="106">
        <f>IF(COUNTIF($A$4:$A959,$A959)=1,1,0)</f>
        <v>1</v>
      </c>
      <c r="G959" s="106" cm="1">
        <f t="array" ref="G959">IF($F959=1,IF(SUMPRODUCT(--ISNUMBER(SEARCH(","&amp;$A959&amp;",",'Parts list'!$Z$4:$Z$185)))&gt;0,1,0),0)</f>
        <v>1</v>
      </c>
    </row>
    <row r="960" spans="1:7" x14ac:dyDescent="0.2">
      <c r="A960" s="1" t="s">
        <v>3131</v>
      </c>
      <c r="B960" s="104">
        <v>1</v>
      </c>
      <c r="C960" s="104" t="s">
        <v>3124</v>
      </c>
      <c r="D960" s="1" t="s">
        <v>2264</v>
      </c>
      <c r="E960" s="4" t="s">
        <v>3125</v>
      </c>
      <c r="F960" s="106">
        <f>IF(COUNTIF($A$4:$A960,$A960)=1,1,0)</f>
        <v>1</v>
      </c>
      <c r="G960" s="106" cm="1">
        <f t="array" ref="G960">IF($F960=1,IF(SUMPRODUCT(--ISNUMBER(SEARCH(","&amp;$A960&amp;",",'Parts list'!$Z$4:$Z$185)))&gt;0,1,0),0)</f>
        <v>1</v>
      </c>
    </row>
    <row r="961" spans="1:7" x14ac:dyDescent="0.2">
      <c r="A961" s="1" t="s">
        <v>3132</v>
      </c>
      <c r="B961" s="104">
        <v>1</v>
      </c>
      <c r="C961" s="104" t="s">
        <v>3124</v>
      </c>
      <c r="D961" s="1" t="s">
        <v>2267</v>
      </c>
      <c r="E961" s="4" t="s">
        <v>3125</v>
      </c>
      <c r="F961" s="106">
        <f>IF(COUNTIF($A$4:$A961,$A961)=1,1,0)</f>
        <v>1</v>
      </c>
      <c r="G961" s="106" cm="1">
        <f t="array" ref="G961">IF($F961=1,IF(SUMPRODUCT(--ISNUMBER(SEARCH(","&amp;$A961&amp;",",'Parts list'!$Z$4:$Z$185)))&gt;0,1,0),0)</f>
        <v>1</v>
      </c>
    </row>
    <row r="962" spans="1:7" x14ac:dyDescent="0.2">
      <c r="A962" s="1" t="s">
        <v>3133</v>
      </c>
      <c r="B962" s="104">
        <v>1</v>
      </c>
      <c r="C962" s="104" t="s">
        <v>3124</v>
      </c>
      <c r="D962" s="1" t="s">
        <v>2290</v>
      </c>
      <c r="E962" s="4" t="s">
        <v>3125</v>
      </c>
      <c r="F962" s="106">
        <f>IF(COUNTIF($A$4:$A962,$A962)=1,1,0)</f>
        <v>1</v>
      </c>
      <c r="G962" s="106" cm="1">
        <f t="array" ref="G962">IF($F962=1,IF(SUMPRODUCT(--ISNUMBER(SEARCH(","&amp;$A962&amp;",",'Parts list'!$Z$4:$Z$185)))&gt;0,1,0),0)</f>
        <v>1</v>
      </c>
    </row>
    <row r="963" spans="1:7" x14ac:dyDescent="0.2">
      <c r="A963" s="1" t="s">
        <v>3134</v>
      </c>
      <c r="B963" s="104">
        <v>1</v>
      </c>
      <c r="C963" s="104" t="s">
        <v>3124</v>
      </c>
      <c r="D963" s="1" t="s">
        <v>2223</v>
      </c>
      <c r="E963" s="4" t="s">
        <v>3125</v>
      </c>
      <c r="F963" s="106">
        <f>IF(COUNTIF($A$4:$A963,$A963)=1,1,0)</f>
        <v>1</v>
      </c>
      <c r="G963" s="106" cm="1">
        <f t="array" ref="G963">IF($F963=1,IF(SUMPRODUCT(--ISNUMBER(SEARCH(","&amp;$A963&amp;",",'Parts list'!$Z$4:$Z$185)))&gt;0,1,0),0)</f>
        <v>1</v>
      </c>
    </row>
    <row r="964" spans="1:7" x14ac:dyDescent="0.2">
      <c r="A964" s="1" t="s">
        <v>3135</v>
      </c>
      <c r="B964" s="104">
        <v>1</v>
      </c>
      <c r="C964" s="104" t="s">
        <v>3124</v>
      </c>
      <c r="D964" s="1" t="s">
        <v>2713</v>
      </c>
      <c r="E964" s="4" t="s">
        <v>3125</v>
      </c>
      <c r="F964" s="106">
        <f>IF(COUNTIF($A$4:$A964,$A964)=1,1,0)</f>
        <v>1</v>
      </c>
      <c r="G964" s="106" cm="1">
        <f t="array" ref="G964">IF($F964=1,IF(SUMPRODUCT(--ISNUMBER(SEARCH(","&amp;$A964&amp;",",'Parts list'!$Z$4:$Z$185)))&gt;0,1,0),0)</f>
        <v>1</v>
      </c>
    </row>
    <row r="965" spans="1:7" x14ac:dyDescent="0.2">
      <c r="A965" s="1" t="s">
        <v>3136</v>
      </c>
      <c r="B965" s="104">
        <v>1</v>
      </c>
      <c r="C965" s="104" t="s">
        <v>3124</v>
      </c>
      <c r="D965" s="1" t="s">
        <v>2745</v>
      </c>
      <c r="E965" s="4" t="s">
        <v>3125</v>
      </c>
      <c r="F965" s="106">
        <f>IF(COUNTIF($A$4:$A965,$A965)=1,1,0)</f>
        <v>1</v>
      </c>
      <c r="G965" s="106" cm="1">
        <f t="array" ref="G965">IF($F965=1,IF(SUMPRODUCT(--ISNUMBER(SEARCH(","&amp;$A965&amp;",",'Parts list'!$Z$4:$Z$185)))&gt;0,1,0),0)</f>
        <v>1</v>
      </c>
    </row>
    <row r="966" spans="1:7" x14ac:dyDescent="0.2">
      <c r="A966" s="1" t="s">
        <v>3137</v>
      </c>
      <c r="B966" s="104">
        <v>1</v>
      </c>
      <c r="C966" s="104" t="s">
        <v>3124</v>
      </c>
      <c r="D966" s="1" t="s">
        <v>2737</v>
      </c>
      <c r="E966" s="4" t="s">
        <v>3125</v>
      </c>
      <c r="F966" s="106">
        <f>IF(COUNTIF($A$4:$A966,$A966)=1,1,0)</f>
        <v>1</v>
      </c>
      <c r="G966" s="106" cm="1">
        <f t="array" ref="G966">IF($F966=1,IF(SUMPRODUCT(--ISNUMBER(SEARCH(","&amp;$A966&amp;",",'Parts list'!$Z$4:$Z$185)))&gt;0,1,0),0)</f>
        <v>1</v>
      </c>
    </row>
    <row r="967" spans="1:7" x14ac:dyDescent="0.2">
      <c r="A967" s="1" t="s">
        <v>3138</v>
      </c>
      <c r="B967" s="104">
        <v>1</v>
      </c>
      <c r="C967" s="104" t="s">
        <v>3124</v>
      </c>
      <c r="D967" s="1" t="s">
        <v>2740</v>
      </c>
      <c r="E967" s="4" t="s">
        <v>3125</v>
      </c>
      <c r="F967" s="106">
        <f>IF(COUNTIF($A$4:$A967,$A967)=1,1,0)</f>
        <v>1</v>
      </c>
      <c r="G967" s="106" cm="1">
        <f t="array" ref="G967">IF($F967=1,IF(SUMPRODUCT(--ISNUMBER(SEARCH(","&amp;$A967&amp;",",'Parts list'!$Z$4:$Z$185)))&gt;0,1,0),0)</f>
        <v>1</v>
      </c>
    </row>
    <row r="968" spans="1:7" x14ac:dyDescent="0.2">
      <c r="A968" s="1" t="s">
        <v>3139</v>
      </c>
      <c r="B968" s="104">
        <v>1</v>
      </c>
      <c r="C968" s="104" t="s">
        <v>3124</v>
      </c>
      <c r="D968" s="1" t="s">
        <v>2596</v>
      </c>
      <c r="E968" s="4" t="s">
        <v>3125</v>
      </c>
      <c r="F968" s="106">
        <f>IF(COUNTIF($A$4:$A968,$A968)=1,1,0)</f>
        <v>1</v>
      </c>
      <c r="G968" s="106" cm="1">
        <f t="array" ref="G968">IF($F968=1,IF(SUMPRODUCT(--ISNUMBER(SEARCH(","&amp;$A968&amp;",",'Parts list'!$Z$4:$Z$185)))&gt;0,1,0),0)</f>
        <v>1</v>
      </c>
    </row>
    <row r="969" spans="1:7" x14ac:dyDescent="0.2">
      <c r="A969" s="1" t="s">
        <v>3140</v>
      </c>
      <c r="B969" s="104">
        <v>1</v>
      </c>
      <c r="C969" s="104" t="s">
        <v>3124</v>
      </c>
      <c r="D969" s="1" t="s">
        <v>2597</v>
      </c>
      <c r="E969" s="4" t="s">
        <v>3125</v>
      </c>
      <c r="F969" s="106">
        <f>IF(COUNTIF($A$4:$A969,$A969)=1,1,0)</f>
        <v>1</v>
      </c>
      <c r="G969" s="106" cm="1">
        <f t="array" ref="G969">IF($F969=1,IF(SUMPRODUCT(--ISNUMBER(SEARCH(","&amp;$A969&amp;",",'Parts list'!$Z$4:$Z$185)))&gt;0,1,0),0)</f>
        <v>1</v>
      </c>
    </row>
    <row r="970" spans="1:7" x14ac:dyDescent="0.2">
      <c r="A970" s="1" t="s">
        <v>3141</v>
      </c>
      <c r="B970" s="104">
        <v>1</v>
      </c>
      <c r="C970" s="104" t="s">
        <v>3124</v>
      </c>
      <c r="D970" s="1" t="s">
        <v>2598</v>
      </c>
      <c r="E970" s="4" t="s">
        <v>3125</v>
      </c>
      <c r="F970" s="106">
        <f>IF(COUNTIF($A$4:$A970,$A970)=1,1,0)</f>
        <v>1</v>
      </c>
      <c r="G970" s="106" cm="1">
        <f t="array" ref="G970">IF($F970=1,IF(SUMPRODUCT(--ISNUMBER(SEARCH(","&amp;$A970&amp;",",'Parts list'!$Z$4:$Z$185)))&gt;0,1,0),0)</f>
        <v>1</v>
      </c>
    </row>
    <row r="971" spans="1:7" x14ac:dyDescent="0.2">
      <c r="A971" s="1" t="s">
        <v>3142</v>
      </c>
      <c r="B971" s="104">
        <v>1</v>
      </c>
      <c r="C971" s="104" t="s">
        <v>3124</v>
      </c>
      <c r="D971" s="1" t="s">
        <v>2919</v>
      </c>
      <c r="E971" s="4" t="s">
        <v>3125</v>
      </c>
      <c r="F971" s="106">
        <f>IF(COUNTIF($A$4:$A971,$A971)=1,1,0)</f>
        <v>1</v>
      </c>
      <c r="G971" s="106" cm="1">
        <f t="array" ref="G971">IF($F971=1,IF(SUMPRODUCT(--ISNUMBER(SEARCH(","&amp;$A971&amp;",",'Parts list'!$Z$4:$Z$185)))&gt;0,1,0),0)</f>
        <v>1</v>
      </c>
    </row>
    <row r="972" spans="1:7" x14ac:dyDescent="0.2">
      <c r="A972" s="1" t="s">
        <v>3143</v>
      </c>
      <c r="B972" s="104">
        <v>1</v>
      </c>
      <c r="C972" s="104" t="s">
        <v>3124</v>
      </c>
      <c r="D972" s="1" t="s">
        <v>2673</v>
      </c>
      <c r="E972" s="4" t="s">
        <v>3125</v>
      </c>
      <c r="F972" s="106">
        <f>IF(COUNTIF($A$4:$A972,$A972)=1,1,0)</f>
        <v>1</v>
      </c>
      <c r="G972" s="106" cm="1">
        <f t="array" ref="G972">IF($F972=1,IF(SUMPRODUCT(--ISNUMBER(SEARCH(","&amp;$A972&amp;",",'Parts list'!$Z$4:$Z$185)))&gt;0,1,0),0)</f>
        <v>1</v>
      </c>
    </row>
    <row r="973" spans="1:7" x14ac:dyDescent="0.2">
      <c r="A973" s="1" t="s">
        <v>3144</v>
      </c>
      <c r="B973" s="104">
        <v>1</v>
      </c>
      <c r="C973" s="104" t="s">
        <v>3124</v>
      </c>
      <c r="D973" s="1" t="s">
        <v>2629</v>
      </c>
      <c r="E973" s="4" t="s">
        <v>3125</v>
      </c>
      <c r="F973" s="106">
        <f>IF(COUNTIF($A$4:$A973,$A973)=1,1,0)</f>
        <v>1</v>
      </c>
      <c r="G973" s="106" cm="1">
        <f t="array" ref="G973">IF($F973=1,IF(SUMPRODUCT(--ISNUMBER(SEARCH(","&amp;$A973&amp;",",'Parts list'!$Z$4:$Z$185)))&gt;0,1,0),0)</f>
        <v>1</v>
      </c>
    </row>
    <row r="974" spans="1:7" x14ac:dyDescent="0.2">
      <c r="A974" s="1" t="s">
        <v>3145</v>
      </c>
      <c r="B974" s="104">
        <v>1</v>
      </c>
      <c r="C974" s="104" t="s">
        <v>3124</v>
      </c>
      <c r="D974" s="1" t="s">
        <v>2873</v>
      </c>
      <c r="E974" s="4" t="s">
        <v>3125</v>
      </c>
      <c r="F974" s="106">
        <f>IF(COUNTIF($A$4:$A974,$A974)=1,1,0)</f>
        <v>1</v>
      </c>
      <c r="G974" s="106" cm="1">
        <f t="array" ref="G974">IF($F974=1,IF(SUMPRODUCT(--ISNUMBER(SEARCH(","&amp;$A974&amp;",",'Parts list'!$Z$4:$Z$185)))&gt;0,1,0),0)</f>
        <v>1</v>
      </c>
    </row>
    <row r="975" spans="1:7" x14ac:dyDescent="0.2">
      <c r="A975" s="1" t="s">
        <v>3146</v>
      </c>
      <c r="B975" s="104">
        <v>1</v>
      </c>
      <c r="C975" s="104" t="s">
        <v>3124</v>
      </c>
      <c r="D975" s="1" t="s">
        <v>2669</v>
      </c>
      <c r="E975" s="4" t="s">
        <v>3125</v>
      </c>
      <c r="F975" s="106">
        <f>IF(COUNTIF($A$4:$A975,$A975)=1,1,0)</f>
        <v>1</v>
      </c>
      <c r="G975" s="106" cm="1">
        <f t="array" ref="G975">IF($F975=1,IF(SUMPRODUCT(--ISNUMBER(SEARCH(","&amp;$A975&amp;",",'Parts list'!$Z$4:$Z$185)))&gt;0,1,0),0)</f>
        <v>1</v>
      </c>
    </row>
    <row r="976" spans="1:7" x14ac:dyDescent="0.2">
      <c r="A976" s="1" t="s">
        <v>3147</v>
      </c>
      <c r="B976" s="104">
        <v>1</v>
      </c>
      <c r="C976" s="104" t="s">
        <v>3124</v>
      </c>
      <c r="D976" s="1" t="s">
        <v>2871</v>
      </c>
      <c r="E976" s="4" t="s">
        <v>3125</v>
      </c>
      <c r="F976" s="106">
        <f>IF(COUNTIF($A$4:$A976,$A976)=1,1,0)</f>
        <v>1</v>
      </c>
      <c r="G976" s="106" cm="1">
        <f t="array" ref="G976">IF($F976=1,IF(SUMPRODUCT(--ISNUMBER(SEARCH(","&amp;$A976&amp;",",'Parts list'!$Z$4:$Z$185)))&gt;0,1,0),0)</f>
        <v>1</v>
      </c>
    </row>
    <row r="977" spans="1:7" x14ac:dyDescent="0.2">
      <c r="A977" s="1" t="s">
        <v>3148</v>
      </c>
      <c r="B977" s="104">
        <v>1</v>
      </c>
      <c r="C977" s="104" t="s">
        <v>3124</v>
      </c>
      <c r="D977" s="1" t="s">
        <v>2356</v>
      </c>
      <c r="E977" s="4" t="s">
        <v>3125</v>
      </c>
      <c r="F977" s="106">
        <f>IF(COUNTIF($A$4:$A977,$A977)=1,1,0)</f>
        <v>1</v>
      </c>
      <c r="G977" s="106" cm="1">
        <f t="array" ref="G977">IF($F977=1,IF(SUMPRODUCT(--ISNUMBER(SEARCH(","&amp;$A977&amp;",",'Parts list'!$Z$4:$Z$185)))&gt;0,1,0),0)</f>
        <v>1</v>
      </c>
    </row>
    <row r="978" spans="1:7" x14ac:dyDescent="0.2">
      <c r="A978" s="1" t="s">
        <v>3149</v>
      </c>
      <c r="B978" s="104">
        <v>1</v>
      </c>
      <c r="C978" s="104" t="s">
        <v>3124</v>
      </c>
      <c r="D978" s="1" t="s">
        <v>2171</v>
      </c>
      <c r="E978" s="4" t="s">
        <v>3125</v>
      </c>
      <c r="F978" s="106">
        <f>IF(COUNTIF($A$4:$A978,$A978)=1,1,0)</f>
        <v>1</v>
      </c>
      <c r="G978" s="106" cm="1">
        <f t="array" ref="G978">IF($F978=1,IF(SUMPRODUCT(--ISNUMBER(SEARCH(","&amp;$A978&amp;",",'Parts list'!$Z$4:$Z$185)))&gt;0,1,0),0)</f>
        <v>1</v>
      </c>
    </row>
    <row r="979" spans="1:7" x14ac:dyDescent="0.2">
      <c r="A979" s="1" t="s">
        <v>3150</v>
      </c>
      <c r="B979" s="104">
        <v>1</v>
      </c>
      <c r="C979" s="104" t="s">
        <v>3124</v>
      </c>
      <c r="D979" s="1" t="s">
        <v>2527</v>
      </c>
      <c r="E979" s="4" t="s">
        <v>3125</v>
      </c>
      <c r="F979" s="106">
        <f>IF(COUNTIF($A$4:$A979,$A979)=1,1,0)</f>
        <v>1</v>
      </c>
      <c r="G979" s="106" cm="1">
        <f t="array" ref="G979">IF($F979=1,IF(SUMPRODUCT(--ISNUMBER(SEARCH(","&amp;$A979&amp;",",'Parts list'!$Z$4:$Z$185)))&gt;0,1,0),0)</f>
        <v>1</v>
      </c>
    </row>
    <row r="980" spans="1:7" x14ac:dyDescent="0.2">
      <c r="A980" s="1" t="s">
        <v>3151</v>
      </c>
      <c r="B980" s="104">
        <v>1</v>
      </c>
      <c r="C980" s="104" t="s">
        <v>3124</v>
      </c>
      <c r="D980" s="1" t="s">
        <v>2541</v>
      </c>
      <c r="E980" s="4" t="s">
        <v>3125</v>
      </c>
      <c r="F980" s="106">
        <f>IF(COUNTIF($A$4:$A980,$A980)=1,1,0)</f>
        <v>1</v>
      </c>
      <c r="G980" s="106" cm="1">
        <f t="array" ref="G980">IF($F980=1,IF(SUMPRODUCT(--ISNUMBER(SEARCH(","&amp;$A980&amp;",",'Parts list'!$Z$4:$Z$185)))&gt;0,1,0),0)</f>
        <v>1</v>
      </c>
    </row>
    <row r="981" spans="1:7" x14ac:dyDescent="0.2">
      <c r="A981" s="1" t="s">
        <v>3152</v>
      </c>
      <c r="B981" s="104">
        <v>1</v>
      </c>
      <c r="C981" s="104" t="s">
        <v>3124</v>
      </c>
      <c r="D981" s="1" t="s">
        <v>2168</v>
      </c>
      <c r="E981" s="4" t="s">
        <v>3125</v>
      </c>
      <c r="F981" s="106">
        <f>IF(COUNTIF($A$4:$A981,$A981)=1,1,0)</f>
        <v>1</v>
      </c>
      <c r="G981" s="106" cm="1">
        <f t="array" ref="G981">IF($F981=1,IF(SUMPRODUCT(--ISNUMBER(SEARCH(","&amp;$A981&amp;",",'Parts list'!$Z$4:$Z$185)))&gt;0,1,0),0)</f>
        <v>1</v>
      </c>
    </row>
    <row r="982" spans="1:7" x14ac:dyDescent="0.2">
      <c r="A982" s="1" t="s">
        <v>3153</v>
      </c>
      <c r="B982" s="104">
        <v>1</v>
      </c>
      <c r="C982" s="104" t="s">
        <v>3124</v>
      </c>
      <c r="D982" s="1" t="s">
        <v>2168</v>
      </c>
      <c r="E982" s="4" t="s">
        <v>3125</v>
      </c>
      <c r="F982" s="106">
        <f>IF(COUNTIF($A$4:$A982,$A982)=1,1,0)</f>
        <v>1</v>
      </c>
      <c r="G982" s="106" cm="1">
        <f t="array" ref="G982">IF($F982=1,IF(SUMPRODUCT(--ISNUMBER(SEARCH(","&amp;$A982&amp;",",'Parts list'!$Z$4:$Z$185)))&gt;0,1,0),0)</f>
        <v>1</v>
      </c>
    </row>
    <row r="983" spans="1:7" x14ac:dyDescent="0.2">
      <c r="A983" s="1" t="s">
        <v>3154</v>
      </c>
      <c r="B983" s="104">
        <v>1</v>
      </c>
      <c r="C983" s="104" t="s">
        <v>3124</v>
      </c>
      <c r="D983" s="1" t="s">
        <v>2168</v>
      </c>
      <c r="E983" s="4" t="s">
        <v>3125</v>
      </c>
      <c r="F983" s="106">
        <f>IF(COUNTIF($A$4:$A983,$A983)=1,1,0)</f>
        <v>1</v>
      </c>
      <c r="G983" s="106" cm="1">
        <f t="array" ref="G983">IF($F983=1,IF(SUMPRODUCT(--ISNUMBER(SEARCH(","&amp;$A983&amp;",",'Parts list'!$Z$4:$Z$185)))&gt;0,1,0),0)</f>
        <v>1</v>
      </c>
    </row>
    <row r="984" spans="1:7" x14ac:dyDescent="0.2">
      <c r="A984" s="1" t="s">
        <v>3155</v>
      </c>
      <c r="B984" s="104">
        <v>1</v>
      </c>
      <c r="C984" s="104" t="s">
        <v>3124</v>
      </c>
      <c r="D984" s="1" t="s">
        <v>2168</v>
      </c>
      <c r="E984" s="4" t="s">
        <v>3125</v>
      </c>
      <c r="F984" s="106">
        <f>IF(COUNTIF($A$4:$A984,$A984)=1,1,0)</f>
        <v>1</v>
      </c>
      <c r="G984" s="106" cm="1">
        <f t="array" ref="G984">IF($F984=1,IF(SUMPRODUCT(--ISNUMBER(SEARCH(","&amp;$A984&amp;",",'Parts list'!$Z$4:$Z$185)))&gt;0,1,0),0)</f>
        <v>1</v>
      </c>
    </row>
    <row r="985" spans="1:7" x14ac:dyDescent="0.2">
      <c r="A985" s="1" t="s">
        <v>1516</v>
      </c>
      <c r="B985" s="104">
        <v>1</v>
      </c>
      <c r="C985" s="104" t="s">
        <v>3156</v>
      </c>
      <c r="D985" s="1" t="s">
        <v>3156</v>
      </c>
      <c r="E985" s="4" t="s">
        <v>3157</v>
      </c>
      <c r="F985" s="106">
        <f>IF(COUNTIF($A$4:$A985,$A985)=1,1,0)</f>
        <v>1</v>
      </c>
      <c r="G985" s="106" cm="1">
        <f t="array" ref="G985">IF($F985=1,IF(SUMPRODUCT(--ISNUMBER(SEARCH(","&amp;$A985&amp;",",'Parts list'!$Z$4:$Z$185)))&gt;0,1,0),0)</f>
        <v>1</v>
      </c>
    </row>
    <row r="986" spans="1:7" x14ac:dyDescent="0.2">
      <c r="A986" s="1" t="s">
        <v>3158</v>
      </c>
      <c r="B986" s="104">
        <v>1</v>
      </c>
      <c r="C986" s="104" t="s">
        <v>3124</v>
      </c>
      <c r="D986" s="1" t="s">
        <v>2363</v>
      </c>
      <c r="E986" s="4" t="s">
        <v>3125</v>
      </c>
      <c r="F986" s="106">
        <f>IF(COUNTIF($A$4:$A986,$A986)=1,1,0)</f>
        <v>1</v>
      </c>
      <c r="G986" s="106" cm="1">
        <f t="array" ref="G986">IF($F986=1,IF(SUMPRODUCT(--ISNUMBER(SEARCH(","&amp;$A986&amp;",",'Parts list'!$Z$4:$Z$185)))&gt;0,1,0),0)</f>
        <v>1</v>
      </c>
    </row>
    <row r="987" spans="1:7" x14ac:dyDescent="0.2">
      <c r="A987" s="1" t="s">
        <v>3159</v>
      </c>
      <c r="B987" s="104">
        <v>1</v>
      </c>
      <c r="C987" s="104" t="s">
        <v>3124</v>
      </c>
      <c r="D987" s="1" t="s">
        <v>2366</v>
      </c>
      <c r="E987" s="4" t="s">
        <v>3125</v>
      </c>
      <c r="F987" s="106">
        <f>IF(COUNTIF($A$4:$A987,$A987)=1,1,0)</f>
        <v>1</v>
      </c>
      <c r="G987" s="106" cm="1">
        <f t="array" ref="G987">IF($F987=1,IF(SUMPRODUCT(--ISNUMBER(SEARCH(","&amp;$A987&amp;",",'Parts list'!$Z$4:$Z$185)))&gt;0,1,0),0)</f>
        <v>1</v>
      </c>
    </row>
    <row r="988" spans="1:7" x14ac:dyDescent="0.2">
      <c r="A988" s="1" t="s">
        <v>3160</v>
      </c>
      <c r="B988" s="104">
        <v>1</v>
      </c>
      <c r="C988" s="104" t="s">
        <v>3124</v>
      </c>
      <c r="D988" s="1" t="s">
        <v>2780</v>
      </c>
      <c r="E988" s="4" t="s">
        <v>3125</v>
      </c>
      <c r="F988" s="106">
        <f>IF(COUNTIF($A$4:$A988,$A988)=1,1,0)</f>
        <v>1</v>
      </c>
      <c r="G988" s="106" cm="1">
        <f t="array" ref="G988">IF($F988=1,IF(SUMPRODUCT(--ISNUMBER(SEARCH(","&amp;$A988&amp;",",'Parts list'!$Z$4:$Z$185)))&gt;0,1,0),0)</f>
        <v>1</v>
      </c>
    </row>
    <row r="989" spans="1:7" x14ac:dyDescent="0.2">
      <c r="A989" s="1" t="s">
        <v>3161</v>
      </c>
      <c r="B989" s="104">
        <v>1</v>
      </c>
      <c r="C989" s="104" t="s">
        <v>3124</v>
      </c>
      <c r="D989" s="1" t="s">
        <v>2169</v>
      </c>
      <c r="E989" s="4" t="s">
        <v>3125</v>
      </c>
      <c r="F989" s="106">
        <f>IF(COUNTIF($A$4:$A989,$A989)=1,1,0)</f>
        <v>1</v>
      </c>
      <c r="G989" s="106" cm="1">
        <f t="array" ref="G989">IF($F989=1,IF(SUMPRODUCT(--ISNUMBER(SEARCH(","&amp;$A989&amp;",",'Parts list'!$Z$4:$Z$185)))&gt;0,1,0),0)</f>
        <v>1</v>
      </c>
    </row>
    <row r="990" spans="1:7" x14ac:dyDescent="0.2">
      <c r="A990" s="1" t="s">
        <v>3162</v>
      </c>
      <c r="B990" s="104">
        <v>1</v>
      </c>
      <c r="C990" s="104" t="s">
        <v>3124</v>
      </c>
      <c r="D990" s="1" t="s">
        <v>2872</v>
      </c>
      <c r="E990" s="4" t="s">
        <v>3125</v>
      </c>
      <c r="F990" s="106">
        <f>IF(COUNTIF($A$4:$A990,$A990)=1,1,0)</f>
        <v>1</v>
      </c>
      <c r="G990" s="106" cm="1">
        <f t="array" ref="G990">IF($F990=1,IF(SUMPRODUCT(--ISNUMBER(SEARCH(","&amp;$A990&amp;",",'Parts list'!$Z$4:$Z$185)))&gt;0,1,0),0)</f>
        <v>1</v>
      </c>
    </row>
    <row r="991" spans="1:7" x14ac:dyDescent="0.2">
      <c r="A991" s="1" t="s">
        <v>3163</v>
      </c>
      <c r="B991" s="104">
        <v>1</v>
      </c>
      <c r="C991" s="104" t="s">
        <v>3124</v>
      </c>
      <c r="D991" s="1" t="s">
        <v>2636</v>
      </c>
      <c r="E991" s="4" t="s">
        <v>3125</v>
      </c>
      <c r="F991" s="106">
        <f>IF(COUNTIF($A$4:$A991,$A991)=1,1,0)</f>
        <v>1</v>
      </c>
      <c r="G991" s="106" cm="1">
        <f t="array" ref="G991">IF($F991=1,IF(SUMPRODUCT(--ISNUMBER(SEARCH(","&amp;$A991&amp;",",'Parts list'!$Z$4:$Z$185)))&gt;0,1,0),0)</f>
        <v>1</v>
      </c>
    </row>
    <row r="992" spans="1:7" x14ac:dyDescent="0.2">
      <c r="A992" s="1" t="s">
        <v>3164</v>
      </c>
      <c r="B992" s="104">
        <v>1</v>
      </c>
      <c r="C992" s="104" t="s">
        <v>3124</v>
      </c>
      <c r="D992" s="1" t="s">
        <v>2870</v>
      </c>
      <c r="E992" s="4" t="s">
        <v>3125</v>
      </c>
      <c r="F992" s="106">
        <f>IF(COUNTIF($A$4:$A992,$A992)=1,1,0)</f>
        <v>1</v>
      </c>
      <c r="G992" s="106" cm="1">
        <f t="array" ref="G992">IF($F992=1,IF(SUMPRODUCT(--ISNUMBER(SEARCH(","&amp;$A992&amp;",",'Parts list'!$Z$4:$Z$185)))&gt;0,1,0),0)</f>
        <v>1</v>
      </c>
    </row>
    <row r="993" spans="1:7" x14ac:dyDescent="0.2">
      <c r="A993" s="1" t="s">
        <v>3165</v>
      </c>
      <c r="B993" s="104">
        <v>1</v>
      </c>
      <c r="C993" s="104" t="s">
        <v>3124</v>
      </c>
      <c r="D993" s="1" t="s">
        <v>2751</v>
      </c>
      <c r="E993" s="4" t="s">
        <v>3125</v>
      </c>
      <c r="F993" s="106">
        <f>IF(COUNTIF($A$4:$A993,$A993)=1,1,0)</f>
        <v>1</v>
      </c>
      <c r="G993" s="106" cm="1">
        <f t="array" ref="G993">IF($F993=1,IF(SUMPRODUCT(--ISNUMBER(SEARCH(","&amp;$A993&amp;",",'Parts list'!$Z$4:$Z$185)))&gt;0,1,0),0)</f>
        <v>1</v>
      </c>
    </row>
    <row r="994" spans="1:7" x14ac:dyDescent="0.2">
      <c r="A994" s="1" t="s">
        <v>3166</v>
      </c>
      <c r="B994" s="104">
        <v>1</v>
      </c>
      <c r="C994" s="104" t="s">
        <v>3124</v>
      </c>
      <c r="D994" s="1" t="s">
        <v>2168</v>
      </c>
      <c r="E994" s="4" t="s">
        <v>3125</v>
      </c>
      <c r="F994" s="106">
        <f>IF(COUNTIF($A$4:$A994,$A994)=1,1,0)</f>
        <v>1</v>
      </c>
      <c r="G994" s="106" cm="1">
        <f t="array" ref="G994">IF($F994=1,IF(SUMPRODUCT(--ISNUMBER(SEARCH(","&amp;$A994&amp;",",'Parts list'!$Z$4:$Z$185)))&gt;0,1,0),0)</f>
        <v>1</v>
      </c>
    </row>
    <row r="995" spans="1:7" x14ac:dyDescent="0.2">
      <c r="A995" s="1" t="s">
        <v>3167</v>
      </c>
      <c r="B995" s="104">
        <v>1</v>
      </c>
      <c r="C995" s="104" t="s">
        <v>3124</v>
      </c>
      <c r="D995" s="1" t="s">
        <v>2168</v>
      </c>
      <c r="E995" s="4" t="s">
        <v>3125</v>
      </c>
      <c r="F995" s="106">
        <f>IF(COUNTIF($A$4:$A995,$A995)=1,1,0)</f>
        <v>1</v>
      </c>
      <c r="G995" s="106" cm="1">
        <f t="array" ref="G995">IF($F995=1,IF(SUMPRODUCT(--ISNUMBER(SEARCH(","&amp;$A995&amp;",",'Parts list'!$Z$4:$Z$185)))&gt;0,1,0),0)</f>
        <v>1</v>
      </c>
    </row>
    <row r="996" spans="1:7" x14ac:dyDescent="0.2">
      <c r="A996" s="1" t="s">
        <v>3168</v>
      </c>
      <c r="B996" s="104">
        <v>1</v>
      </c>
      <c r="C996" s="104" t="s">
        <v>3124</v>
      </c>
      <c r="D996" s="1" t="s">
        <v>2653</v>
      </c>
      <c r="E996" s="4" t="s">
        <v>3125</v>
      </c>
      <c r="F996" s="106">
        <f>IF(COUNTIF($A$4:$A996,$A996)=1,1,0)</f>
        <v>1</v>
      </c>
      <c r="G996" s="106" cm="1">
        <f t="array" ref="G996">IF($F996=1,IF(SUMPRODUCT(--ISNUMBER(SEARCH(","&amp;$A996&amp;",",'Parts list'!$Z$4:$Z$185)))&gt;0,1,0),0)</f>
        <v>1</v>
      </c>
    </row>
    <row r="997" spans="1:7" x14ac:dyDescent="0.2">
      <c r="A997" s="1" t="s">
        <v>3169</v>
      </c>
      <c r="B997" s="104">
        <v>1</v>
      </c>
      <c r="C997" s="104" t="s">
        <v>3124</v>
      </c>
      <c r="D997" s="1" t="s">
        <v>2657</v>
      </c>
      <c r="E997" s="4" t="s">
        <v>3125</v>
      </c>
      <c r="F997" s="106">
        <f>IF(COUNTIF($A$4:$A997,$A997)=1,1,0)</f>
        <v>1</v>
      </c>
      <c r="G997" s="106" cm="1">
        <f t="array" ref="G997">IF($F997=1,IF(SUMPRODUCT(--ISNUMBER(SEARCH(","&amp;$A997&amp;",",'Parts list'!$Z$4:$Z$185)))&gt;0,1,0),0)</f>
        <v>1</v>
      </c>
    </row>
    <row r="998" spans="1:7" x14ac:dyDescent="0.2">
      <c r="A998" s="1" t="s">
        <v>3170</v>
      </c>
      <c r="B998" s="104">
        <v>1</v>
      </c>
      <c r="C998" s="104" t="s">
        <v>3124</v>
      </c>
      <c r="D998" s="1" t="s">
        <v>2662</v>
      </c>
      <c r="E998" s="4" t="s">
        <v>3125</v>
      </c>
      <c r="F998" s="106">
        <f>IF(COUNTIF($A$4:$A998,$A998)=1,1,0)</f>
        <v>1</v>
      </c>
      <c r="G998" s="106" cm="1">
        <f t="array" ref="G998">IF($F998=1,IF(SUMPRODUCT(--ISNUMBER(SEARCH(","&amp;$A998&amp;",",'Parts list'!$Z$4:$Z$185)))&gt;0,1,0),0)</f>
        <v>1</v>
      </c>
    </row>
    <row r="999" spans="1:7" x14ac:dyDescent="0.2">
      <c r="A999" s="1" t="s">
        <v>3171</v>
      </c>
      <c r="B999" s="104">
        <v>1</v>
      </c>
      <c r="C999" s="104" t="s">
        <v>3124</v>
      </c>
      <c r="D999" s="1" t="s">
        <v>2626</v>
      </c>
      <c r="E999" s="4" t="s">
        <v>3125</v>
      </c>
      <c r="F999" s="106">
        <f>IF(COUNTIF($A$4:$A999,$A999)=1,1,0)</f>
        <v>1</v>
      </c>
      <c r="G999" s="106" cm="1">
        <f t="array" ref="G999">IF($F999=1,IF(SUMPRODUCT(--ISNUMBER(SEARCH(","&amp;$A999&amp;",",'Parts list'!$Z$4:$Z$185)))&gt;0,1,0),0)</f>
        <v>1</v>
      </c>
    </row>
    <row r="1000" spans="1:7" x14ac:dyDescent="0.2">
      <c r="A1000" s="1" t="s">
        <v>3172</v>
      </c>
      <c r="B1000" s="104">
        <v>1</v>
      </c>
      <c r="C1000" s="104" t="s">
        <v>3124</v>
      </c>
      <c r="D1000" s="1" t="s">
        <v>2375</v>
      </c>
      <c r="E1000" s="4" t="s">
        <v>3125</v>
      </c>
      <c r="F1000" s="106">
        <f>IF(COUNTIF($A$4:$A1000,$A1000)=1,1,0)</f>
        <v>1</v>
      </c>
      <c r="G1000" s="106" cm="1">
        <f t="array" ref="G1000">IF($F1000=1,IF(SUMPRODUCT(--ISNUMBER(SEARCH(","&amp;$A1000&amp;",",'Parts list'!$Z$4:$Z$185)))&gt;0,1,0),0)</f>
        <v>1</v>
      </c>
    </row>
    <row r="1001" spans="1:7" x14ac:dyDescent="0.2">
      <c r="A1001" s="1" t="s">
        <v>3173</v>
      </c>
      <c r="B1001" s="104">
        <v>1</v>
      </c>
      <c r="C1001" s="104" t="s">
        <v>3124</v>
      </c>
      <c r="D1001" s="1" t="s">
        <v>2671</v>
      </c>
      <c r="E1001" s="4" t="s">
        <v>3125</v>
      </c>
      <c r="F1001" s="106">
        <f>IF(COUNTIF($A$4:$A1001,$A1001)=1,1,0)</f>
        <v>1</v>
      </c>
      <c r="G1001" s="106" cm="1">
        <f t="array" ref="G1001">IF($F1001=1,IF(SUMPRODUCT(--ISNUMBER(SEARCH(","&amp;$A1001&amp;",",'Parts list'!$Z$4:$Z$185)))&gt;0,1,0),0)</f>
        <v>1</v>
      </c>
    </row>
    <row r="1002" spans="1:7" x14ac:dyDescent="0.2">
      <c r="A1002" s="1" t="s">
        <v>3174</v>
      </c>
      <c r="B1002" s="104">
        <v>1</v>
      </c>
      <c r="C1002" s="104" t="s">
        <v>3124</v>
      </c>
      <c r="D1002" s="1" t="s">
        <v>2675</v>
      </c>
      <c r="E1002" s="4" t="s">
        <v>3125</v>
      </c>
      <c r="F1002" s="106">
        <f>IF(COUNTIF($A$4:$A1002,$A1002)=1,1,0)</f>
        <v>1</v>
      </c>
      <c r="G1002" s="106" cm="1">
        <f t="array" ref="G1002">IF($F1002=1,IF(SUMPRODUCT(--ISNUMBER(SEARCH(","&amp;$A1002&amp;",",'Parts list'!$Z$4:$Z$185)))&gt;0,1,0),0)</f>
        <v>1</v>
      </c>
    </row>
    <row r="1003" spans="1:7" x14ac:dyDescent="0.2">
      <c r="A1003" s="1" t="s">
        <v>3175</v>
      </c>
      <c r="B1003" s="104">
        <v>1</v>
      </c>
      <c r="C1003" s="104" t="s">
        <v>3124</v>
      </c>
      <c r="D1003" s="1" t="s">
        <v>2292</v>
      </c>
      <c r="E1003" s="4" t="s">
        <v>3125</v>
      </c>
      <c r="F1003" s="106">
        <f>IF(COUNTIF($A$4:$A1003,$A1003)=1,1,0)</f>
        <v>1</v>
      </c>
      <c r="G1003" s="106" cm="1">
        <f t="array" ref="G1003">IF($F1003=1,IF(SUMPRODUCT(--ISNUMBER(SEARCH(","&amp;$A1003&amp;",",'Parts list'!$Z$4:$Z$185)))&gt;0,1,0),0)</f>
        <v>1</v>
      </c>
    </row>
    <row r="1004" spans="1:7" x14ac:dyDescent="0.2">
      <c r="A1004" s="1" t="s">
        <v>3176</v>
      </c>
      <c r="B1004" s="104">
        <v>1</v>
      </c>
      <c r="C1004" s="104" t="s">
        <v>3124</v>
      </c>
      <c r="D1004" s="1" t="s">
        <v>2295</v>
      </c>
      <c r="E1004" s="4" t="s">
        <v>3125</v>
      </c>
      <c r="F1004" s="106">
        <f>IF(COUNTIF($A$4:$A1004,$A1004)=1,1,0)</f>
        <v>1</v>
      </c>
      <c r="G1004" s="106" cm="1">
        <f t="array" ref="G1004">IF($F1004=1,IF(SUMPRODUCT(--ISNUMBER(SEARCH(","&amp;$A1004&amp;",",'Parts list'!$Z$4:$Z$185)))&gt;0,1,0),0)</f>
        <v>1</v>
      </c>
    </row>
    <row r="1005" spans="1:7" x14ac:dyDescent="0.2">
      <c r="A1005" s="1" t="s">
        <v>3177</v>
      </c>
      <c r="B1005" s="104">
        <v>1</v>
      </c>
      <c r="C1005" s="104" t="s">
        <v>3124</v>
      </c>
      <c r="D1005" s="1" t="s">
        <v>2342</v>
      </c>
      <c r="E1005" s="4" t="s">
        <v>3125</v>
      </c>
      <c r="F1005" s="106">
        <f>IF(COUNTIF($A$4:$A1005,$A1005)=1,1,0)</f>
        <v>1</v>
      </c>
      <c r="G1005" s="106" cm="1">
        <f t="array" ref="G1005">IF($F1005=1,IF(SUMPRODUCT(--ISNUMBER(SEARCH(","&amp;$A1005&amp;",",'Parts list'!$Z$4:$Z$185)))&gt;0,1,0),0)</f>
        <v>1</v>
      </c>
    </row>
    <row r="1006" spans="1:7" x14ac:dyDescent="0.2">
      <c r="A1006" s="1" t="s">
        <v>3178</v>
      </c>
      <c r="B1006" s="104">
        <v>1</v>
      </c>
      <c r="C1006" s="104" t="s">
        <v>3124</v>
      </c>
      <c r="D1006" s="1" t="s">
        <v>2169</v>
      </c>
      <c r="E1006" s="4" t="s">
        <v>3125</v>
      </c>
      <c r="F1006" s="106">
        <f>IF(COUNTIF($A$4:$A1006,$A1006)=1,1,0)</f>
        <v>1</v>
      </c>
      <c r="G1006" s="106" cm="1">
        <f t="array" ref="G1006">IF($F1006=1,IF(SUMPRODUCT(--ISNUMBER(SEARCH(","&amp;$A1006&amp;",",'Parts list'!$Z$4:$Z$185)))&gt;0,1,0),0)</f>
        <v>1</v>
      </c>
    </row>
    <row r="1007" spans="1:7" x14ac:dyDescent="0.2">
      <c r="A1007" s="1" t="s">
        <v>283</v>
      </c>
      <c r="B1007" s="104">
        <v>1</v>
      </c>
      <c r="C1007" s="104" t="s">
        <v>3179</v>
      </c>
      <c r="D1007" s="1" t="s">
        <v>2530</v>
      </c>
      <c r="E1007" s="4" t="s">
        <v>3180</v>
      </c>
      <c r="F1007" s="106">
        <f>IF(COUNTIF($A$4:$A1007,$A1007)=1,1,0)</f>
        <v>1</v>
      </c>
      <c r="G1007" s="106" cm="1">
        <f t="array" ref="G1007">IF($F1007=1,IF(SUMPRODUCT(--ISNUMBER(SEARCH(","&amp;$A1007&amp;",",'Parts list'!$Z$4:$Z$185)))&gt;0,1,0),0)</f>
        <v>1</v>
      </c>
    </row>
    <row r="1008" spans="1:7" x14ac:dyDescent="0.2">
      <c r="A1008" s="1" t="s">
        <v>283</v>
      </c>
      <c r="B1008" s="104">
        <v>2</v>
      </c>
      <c r="C1008" s="104" t="s">
        <v>2168</v>
      </c>
      <c r="D1008" s="1" t="s">
        <v>2168</v>
      </c>
      <c r="E1008" s="4" t="s">
        <v>3180</v>
      </c>
      <c r="F1008" s="106">
        <f>IF(COUNTIF($A$4:$A1008,$A1008)=1,1,0)</f>
        <v>0</v>
      </c>
      <c r="G1008" s="106" cm="1">
        <f t="array" ref="G1008">IF($F1008=1,IF(SUMPRODUCT(--ISNUMBER(SEARCH(","&amp;$A1008&amp;",",'Parts list'!$Z$4:$Z$185)))&gt;0,1,0),0)</f>
        <v>0</v>
      </c>
    </row>
    <row r="1009" spans="1:7" x14ac:dyDescent="0.2">
      <c r="A1009" s="1" t="s">
        <v>283</v>
      </c>
      <c r="B1009" s="104">
        <v>3</v>
      </c>
      <c r="C1009" s="104" t="s">
        <v>3181</v>
      </c>
      <c r="D1009" s="1" t="s">
        <v>2533</v>
      </c>
      <c r="E1009" s="4" t="s">
        <v>3180</v>
      </c>
      <c r="F1009" s="106">
        <f>IF(COUNTIF($A$4:$A1009,$A1009)=1,1,0)</f>
        <v>0</v>
      </c>
      <c r="G1009" s="106" cm="1">
        <f t="array" ref="G1009">IF($F1009=1,IF(SUMPRODUCT(--ISNUMBER(SEARCH(","&amp;$A1009&amp;",",'Parts list'!$Z$4:$Z$185)))&gt;0,1,0),0)</f>
        <v>0</v>
      </c>
    </row>
    <row r="1010" spans="1:7" x14ac:dyDescent="0.2">
      <c r="A1010" s="1" t="s">
        <v>283</v>
      </c>
      <c r="B1010" s="104">
        <v>4</v>
      </c>
      <c r="C1010" s="104" t="s">
        <v>3181</v>
      </c>
      <c r="D1010" s="1" t="s">
        <v>2533</v>
      </c>
      <c r="E1010" s="4" t="s">
        <v>3180</v>
      </c>
      <c r="F1010" s="106">
        <f>IF(COUNTIF($A$4:$A1010,$A1010)=1,1,0)</f>
        <v>0</v>
      </c>
      <c r="G1010" s="106" cm="1">
        <f t="array" ref="G1010">IF($F1010=1,IF(SUMPRODUCT(--ISNUMBER(SEARCH(","&amp;$A1010&amp;",",'Parts list'!$Z$4:$Z$185)))&gt;0,1,0),0)</f>
        <v>0</v>
      </c>
    </row>
    <row r="1011" spans="1:7" x14ac:dyDescent="0.2">
      <c r="A1011" s="1" t="s">
        <v>283</v>
      </c>
      <c r="B1011" s="104">
        <v>5</v>
      </c>
      <c r="C1011" s="104" t="s">
        <v>2169</v>
      </c>
      <c r="D1011" s="1" t="s">
        <v>2181</v>
      </c>
      <c r="E1011" s="4" t="s">
        <v>3180</v>
      </c>
      <c r="F1011" s="106">
        <f>IF(COUNTIF($A$4:$A1011,$A1011)=1,1,0)</f>
        <v>0</v>
      </c>
      <c r="G1011" s="106" cm="1">
        <f t="array" ref="G1011">IF($F1011=1,IF(SUMPRODUCT(--ISNUMBER(SEARCH(","&amp;$A1011&amp;",",'Parts list'!$Z$4:$Z$185)))&gt;0,1,0),0)</f>
        <v>0</v>
      </c>
    </row>
    <row r="1012" spans="1:7" x14ac:dyDescent="0.2">
      <c r="A1012" s="1" t="s">
        <v>283</v>
      </c>
      <c r="B1012" s="104">
        <v>6</v>
      </c>
      <c r="C1012" s="104" t="s">
        <v>3179</v>
      </c>
      <c r="D1012" s="1" t="s">
        <v>2530</v>
      </c>
      <c r="E1012" s="4" t="s">
        <v>3180</v>
      </c>
      <c r="F1012" s="106">
        <f>IF(COUNTIF($A$4:$A1012,$A1012)=1,1,0)</f>
        <v>0</v>
      </c>
      <c r="G1012" s="106" cm="1">
        <f t="array" ref="G1012">IF($F1012=1,IF(SUMPRODUCT(--ISNUMBER(SEARCH(","&amp;$A1012&amp;",",'Parts list'!$Z$4:$Z$185)))&gt;0,1,0),0)</f>
        <v>0</v>
      </c>
    </row>
    <row r="1013" spans="1:7" x14ac:dyDescent="0.2">
      <c r="A1013" s="1" t="s">
        <v>292</v>
      </c>
      <c r="B1013" s="104">
        <v>1</v>
      </c>
      <c r="C1013" s="104" t="s">
        <v>3182</v>
      </c>
      <c r="D1013" s="1" t="s">
        <v>2220</v>
      </c>
      <c r="E1013" s="4" t="s">
        <v>3183</v>
      </c>
      <c r="F1013" s="106">
        <f>IF(COUNTIF($A$4:$A1013,$A1013)=1,1,0)</f>
        <v>1</v>
      </c>
      <c r="G1013" s="106" cm="1">
        <f t="array" ref="G1013">IF($F1013=1,IF(SUMPRODUCT(--ISNUMBER(SEARCH(","&amp;$A1013&amp;",",'Parts list'!$Z$4:$Z$185)))&gt;0,1,0),0)</f>
        <v>1</v>
      </c>
    </row>
    <row r="1014" spans="1:7" x14ac:dyDescent="0.2">
      <c r="A1014" s="1" t="s">
        <v>292</v>
      </c>
      <c r="B1014" s="104">
        <v>2</v>
      </c>
      <c r="C1014" s="104" t="s">
        <v>3184</v>
      </c>
      <c r="D1014" s="1" t="s">
        <v>2705</v>
      </c>
      <c r="E1014" s="4" t="s">
        <v>3183</v>
      </c>
      <c r="F1014" s="106">
        <f>IF(COUNTIF($A$4:$A1014,$A1014)=1,1,0)</f>
        <v>0</v>
      </c>
      <c r="G1014" s="106" cm="1">
        <f t="array" ref="G1014">IF($F1014=1,IF(SUMPRODUCT(--ISNUMBER(SEARCH(","&amp;$A1014&amp;",",'Parts list'!$Z$4:$Z$185)))&gt;0,1,0),0)</f>
        <v>0</v>
      </c>
    </row>
    <row r="1015" spans="1:7" x14ac:dyDescent="0.2">
      <c r="A1015" s="1" t="s">
        <v>292</v>
      </c>
      <c r="B1015" s="104">
        <v>3</v>
      </c>
      <c r="C1015" s="104" t="s">
        <v>3185</v>
      </c>
      <c r="D1015" s="1" t="s">
        <v>2469</v>
      </c>
      <c r="E1015" s="4" t="s">
        <v>3183</v>
      </c>
      <c r="F1015" s="106">
        <f>IF(COUNTIF($A$4:$A1015,$A1015)=1,1,0)</f>
        <v>0</v>
      </c>
      <c r="G1015" s="106" cm="1">
        <f t="array" ref="G1015">IF($F1015=1,IF(SUMPRODUCT(--ISNUMBER(SEARCH(","&amp;$A1015&amp;",",'Parts list'!$Z$4:$Z$185)))&gt;0,1,0),0)</f>
        <v>0</v>
      </c>
    </row>
    <row r="1016" spans="1:7" x14ac:dyDescent="0.2">
      <c r="A1016" s="1" t="s">
        <v>292</v>
      </c>
      <c r="B1016" s="104">
        <v>4</v>
      </c>
      <c r="C1016" s="104" t="s">
        <v>3186</v>
      </c>
      <c r="D1016" s="1" t="s">
        <v>2173</v>
      </c>
      <c r="E1016" s="4" t="s">
        <v>3183</v>
      </c>
      <c r="F1016" s="106">
        <f>IF(COUNTIF($A$4:$A1016,$A1016)=1,1,0)</f>
        <v>0</v>
      </c>
      <c r="G1016" s="106" cm="1">
        <f t="array" ref="G1016">IF($F1016=1,IF(SUMPRODUCT(--ISNUMBER(SEARCH(","&amp;$A1016&amp;",",'Parts list'!$Z$4:$Z$185)))&gt;0,1,0),0)</f>
        <v>0</v>
      </c>
    </row>
    <row r="1017" spans="1:7" x14ac:dyDescent="0.2">
      <c r="A1017" s="1" t="s">
        <v>292</v>
      </c>
      <c r="B1017" s="104">
        <v>5</v>
      </c>
      <c r="C1017" s="104" t="s">
        <v>2168</v>
      </c>
      <c r="D1017" s="1" t="s">
        <v>2168</v>
      </c>
      <c r="E1017" s="4" t="s">
        <v>3183</v>
      </c>
      <c r="F1017" s="106">
        <f>IF(COUNTIF($A$4:$A1017,$A1017)=1,1,0)</f>
        <v>0</v>
      </c>
      <c r="G1017" s="106" cm="1">
        <f t="array" ref="G1017">IF($F1017=1,IF(SUMPRODUCT(--ISNUMBER(SEARCH(","&amp;$A1017&amp;",",'Parts list'!$Z$4:$Z$185)))&gt;0,1,0),0)</f>
        <v>0</v>
      </c>
    </row>
    <row r="1018" spans="1:7" x14ac:dyDescent="0.2">
      <c r="A1018" s="1" t="s">
        <v>292</v>
      </c>
      <c r="B1018" s="104">
        <v>6</v>
      </c>
      <c r="C1018" s="104" t="s">
        <v>3187</v>
      </c>
      <c r="D1018" s="1" t="s">
        <v>2169</v>
      </c>
      <c r="E1018" s="4" t="s">
        <v>3183</v>
      </c>
      <c r="F1018" s="106">
        <f>IF(COUNTIF($A$4:$A1018,$A1018)=1,1,0)</f>
        <v>0</v>
      </c>
      <c r="G1018" s="106" cm="1">
        <f t="array" ref="G1018">IF($F1018=1,IF(SUMPRODUCT(--ISNUMBER(SEARCH(","&amp;$A1018&amp;",",'Parts list'!$Z$4:$Z$185)))&gt;0,1,0),0)</f>
        <v>0</v>
      </c>
    </row>
    <row r="1019" spans="1:7" x14ac:dyDescent="0.2">
      <c r="A1019" s="1" t="s">
        <v>292</v>
      </c>
      <c r="B1019" s="104" t="s">
        <v>3188</v>
      </c>
      <c r="C1019" s="104" t="s">
        <v>3189</v>
      </c>
      <c r="D1019" s="1" t="s">
        <v>2168</v>
      </c>
      <c r="E1019" s="4" t="s">
        <v>3183</v>
      </c>
      <c r="F1019" s="106">
        <f>IF(COUNTIF($A$4:$A1019,$A1019)=1,1,0)</f>
        <v>0</v>
      </c>
      <c r="G1019" s="106" cm="1">
        <f t="array" ref="G1019">IF($F1019=1,IF(SUMPRODUCT(--ISNUMBER(SEARCH(","&amp;$A1019&amp;",",'Parts list'!$Z$4:$Z$185)))&gt;0,1,0),0)</f>
        <v>0</v>
      </c>
    </row>
    <row r="1020" spans="1:7" x14ac:dyDescent="0.2">
      <c r="A1020" s="1" t="s">
        <v>302</v>
      </c>
      <c r="B1020" s="104">
        <v>1</v>
      </c>
      <c r="C1020" s="104" t="s">
        <v>2469</v>
      </c>
      <c r="D1020" s="1" t="s">
        <v>2469</v>
      </c>
      <c r="E1020" s="4" t="s">
        <v>3190</v>
      </c>
      <c r="F1020" s="106">
        <f>IF(COUNTIF($A$4:$A1020,$A1020)=1,1,0)</f>
        <v>1</v>
      </c>
      <c r="G1020" s="106" cm="1">
        <f t="array" ref="G1020">IF($F1020=1,IF(SUMPRODUCT(--ISNUMBER(SEARCH(","&amp;$A1020&amp;",",'Parts list'!$Z$4:$Z$185)))&gt;0,1,0),0)</f>
        <v>1</v>
      </c>
    </row>
    <row r="1021" spans="1:7" x14ac:dyDescent="0.2">
      <c r="A1021" s="1" t="s">
        <v>302</v>
      </c>
      <c r="B1021" s="104">
        <v>2</v>
      </c>
      <c r="C1021" s="104" t="s">
        <v>2469</v>
      </c>
      <c r="D1021" s="1" t="s">
        <v>2469</v>
      </c>
      <c r="E1021" s="4" t="s">
        <v>3190</v>
      </c>
      <c r="F1021" s="106">
        <f>IF(COUNTIF($A$4:$A1021,$A1021)=1,1,0)</f>
        <v>0</v>
      </c>
      <c r="G1021" s="106" cm="1">
        <f t="array" ref="G1021">IF($F1021=1,IF(SUMPRODUCT(--ISNUMBER(SEARCH(","&amp;$A1021&amp;",",'Parts list'!$Z$4:$Z$185)))&gt;0,1,0),0)</f>
        <v>0</v>
      </c>
    </row>
    <row r="1022" spans="1:7" x14ac:dyDescent="0.2">
      <c r="A1022" s="1" t="s">
        <v>302</v>
      </c>
      <c r="B1022" s="104">
        <v>3</v>
      </c>
      <c r="C1022" s="104" t="s">
        <v>3191</v>
      </c>
      <c r="D1022" s="1" t="s">
        <v>2527</v>
      </c>
      <c r="E1022" s="4" t="s">
        <v>3190</v>
      </c>
      <c r="F1022" s="106">
        <f>IF(COUNTIF($A$4:$A1022,$A1022)=1,1,0)</f>
        <v>0</v>
      </c>
      <c r="G1022" s="106" cm="1">
        <f t="array" ref="G1022">IF($F1022=1,IF(SUMPRODUCT(--ISNUMBER(SEARCH(","&amp;$A1022&amp;",",'Parts list'!$Z$4:$Z$185)))&gt;0,1,0),0)</f>
        <v>0</v>
      </c>
    </row>
    <row r="1023" spans="1:7" x14ac:dyDescent="0.2">
      <c r="A1023" s="1" t="s">
        <v>302</v>
      </c>
      <c r="B1023" s="104">
        <v>4</v>
      </c>
      <c r="C1023" s="104" t="s">
        <v>2168</v>
      </c>
      <c r="D1023" s="1" t="s">
        <v>2168</v>
      </c>
      <c r="E1023" s="4" t="s">
        <v>3190</v>
      </c>
      <c r="F1023" s="106">
        <f>IF(COUNTIF($A$4:$A1023,$A1023)=1,1,0)</f>
        <v>0</v>
      </c>
      <c r="G1023" s="106" cm="1">
        <f t="array" ref="G1023">IF($F1023=1,IF(SUMPRODUCT(--ISNUMBER(SEARCH(","&amp;$A1023&amp;",",'Parts list'!$Z$4:$Z$185)))&gt;0,1,0),0)</f>
        <v>0</v>
      </c>
    </row>
    <row r="1024" spans="1:7" x14ac:dyDescent="0.2">
      <c r="A1024" s="1" t="s">
        <v>302</v>
      </c>
      <c r="B1024" s="104">
        <v>5</v>
      </c>
      <c r="C1024" s="104" t="s">
        <v>3192</v>
      </c>
      <c r="D1024" s="1" t="s">
        <v>2541</v>
      </c>
      <c r="E1024" s="4" t="s">
        <v>3190</v>
      </c>
      <c r="F1024" s="106">
        <f>IF(COUNTIF($A$4:$A1024,$A1024)=1,1,0)</f>
        <v>0</v>
      </c>
      <c r="G1024" s="106" cm="1">
        <f t="array" ref="G1024">IF($F1024=1,IF(SUMPRODUCT(--ISNUMBER(SEARCH(","&amp;$A1024&amp;",",'Parts list'!$Z$4:$Z$185)))&gt;0,1,0),0)</f>
        <v>0</v>
      </c>
    </row>
    <row r="1025" spans="1:7" x14ac:dyDescent="0.2">
      <c r="A1025" s="1" t="s">
        <v>422</v>
      </c>
      <c r="B1025" s="104">
        <v>1</v>
      </c>
      <c r="C1025" s="104" t="s">
        <v>3193</v>
      </c>
      <c r="D1025" s="1" t="s">
        <v>2181</v>
      </c>
      <c r="E1025" s="4" t="s">
        <v>3194</v>
      </c>
      <c r="F1025" s="106">
        <f>IF(COUNTIF($A$4:$A1025,$A1025)=1,1,0)</f>
        <v>1</v>
      </c>
      <c r="G1025" s="106" cm="1">
        <f t="array" ref="G1025">IF($F1025=1,IF(SUMPRODUCT(--ISNUMBER(SEARCH(","&amp;$A1025&amp;",",'Parts list'!$Z$4:$Z$185)))&gt;0,1,0),0)</f>
        <v>1</v>
      </c>
    </row>
    <row r="1026" spans="1:7" x14ac:dyDescent="0.2">
      <c r="A1026" s="1" t="s">
        <v>422</v>
      </c>
      <c r="B1026" s="104">
        <v>2</v>
      </c>
      <c r="C1026" s="104" t="s">
        <v>3195</v>
      </c>
      <c r="D1026" s="1" t="s">
        <v>3156</v>
      </c>
      <c r="E1026" s="4" t="s">
        <v>3196</v>
      </c>
      <c r="F1026" s="106">
        <f>IF(COUNTIF($A$4:$A1026,$A1026)=1,1,0)</f>
        <v>0</v>
      </c>
      <c r="G1026" s="106" cm="1">
        <f t="array" ref="G1026">IF($F1026=1,IF(SUMPRODUCT(--ISNUMBER(SEARCH(","&amp;$A1026&amp;",",'Parts list'!$Z$4:$Z$185)))&gt;0,1,0),0)</f>
        <v>0</v>
      </c>
    </row>
    <row r="1027" spans="1:7" ht="40.5" customHeight="1" x14ac:dyDescent="0.2">
      <c r="A1027" s="1" t="s">
        <v>422</v>
      </c>
      <c r="B1027" s="104">
        <v>3</v>
      </c>
      <c r="C1027" s="104" t="s">
        <v>3197</v>
      </c>
      <c r="D1027" s="1" t="s">
        <v>2884</v>
      </c>
      <c r="E1027" s="4" t="s">
        <v>3198</v>
      </c>
      <c r="F1027" s="106">
        <f>IF(COUNTIF($A$4:$A1027,$A1027)=1,1,0)</f>
        <v>0</v>
      </c>
      <c r="G1027" s="106" cm="1">
        <f t="array" ref="G1027">IF($F1027=1,IF(SUMPRODUCT(--ISNUMBER(SEARCH(","&amp;$A1027&amp;",",'Parts list'!$Z$4:$Z$185)))&gt;0,1,0),0)</f>
        <v>0</v>
      </c>
    </row>
    <row r="1028" spans="1:7" ht="66" customHeight="1" x14ac:dyDescent="0.2">
      <c r="A1028" s="1" t="s">
        <v>422</v>
      </c>
      <c r="B1028" s="104">
        <v>4</v>
      </c>
      <c r="C1028" s="104" t="s">
        <v>3199</v>
      </c>
      <c r="D1028" s="1" t="s">
        <v>3101</v>
      </c>
      <c r="E1028" s="4" t="s">
        <v>3200</v>
      </c>
      <c r="F1028" s="106">
        <f>IF(COUNTIF($A$4:$A1028,$A1028)=1,1,0)</f>
        <v>0</v>
      </c>
      <c r="G1028" s="106" cm="1">
        <f t="array" ref="G1028">IF($F1028=1,IF(SUMPRODUCT(--ISNUMBER(SEARCH(","&amp;$A1028&amp;",",'Parts list'!$Z$4:$Z$185)))&gt;0,1,0),0)</f>
        <v>0</v>
      </c>
    </row>
    <row r="1029" spans="1:7" x14ac:dyDescent="0.2">
      <c r="A1029" s="1" t="s">
        <v>422</v>
      </c>
      <c r="B1029" s="104">
        <v>5</v>
      </c>
      <c r="C1029" s="104" t="s">
        <v>3201</v>
      </c>
      <c r="D1029" s="1" t="s">
        <v>2176</v>
      </c>
      <c r="E1029" s="4" t="s">
        <v>3202</v>
      </c>
      <c r="F1029" s="106">
        <f>IF(COUNTIF($A$4:$A1029,$A1029)=1,1,0)</f>
        <v>0</v>
      </c>
      <c r="G1029" s="106" cm="1">
        <f t="array" ref="G1029">IF($F1029=1,IF(SUMPRODUCT(--ISNUMBER(SEARCH(","&amp;$A1029&amp;",",'Parts list'!$Z$4:$Z$185)))&gt;0,1,0),0)</f>
        <v>0</v>
      </c>
    </row>
    <row r="1030" spans="1:7" x14ac:dyDescent="0.2">
      <c r="A1030" s="1" t="s">
        <v>422</v>
      </c>
      <c r="B1030" s="104">
        <v>6</v>
      </c>
      <c r="C1030" s="104" t="s">
        <v>3203</v>
      </c>
      <c r="D1030" s="1" t="s">
        <v>2179</v>
      </c>
      <c r="E1030" s="4" t="s">
        <v>3202</v>
      </c>
      <c r="F1030" s="106">
        <f>IF(COUNTIF($A$4:$A1030,$A1030)=1,1,0)</f>
        <v>0</v>
      </c>
      <c r="G1030" s="106" cm="1">
        <f t="array" ref="G1030">IF($F1030=1,IF(SUMPRODUCT(--ISNUMBER(SEARCH(","&amp;$A1030&amp;",",'Parts list'!$Z$4:$Z$185)))&gt;0,1,0),0)</f>
        <v>0</v>
      </c>
    </row>
    <row r="1031" spans="1:7" x14ac:dyDescent="0.2">
      <c r="A1031" s="1" t="s">
        <v>422</v>
      </c>
      <c r="B1031" s="104">
        <v>7</v>
      </c>
      <c r="C1031" s="104" t="s">
        <v>2199</v>
      </c>
      <c r="D1031" s="1" t="s">
        <v>2199</v>
      </c>
      <c r="E1031" s="4" t="s">
        <v>3204</v>
      </c>
      <c r="F1031" s="106">
        <f>IF(COUNTIF($A$4:$A1031,$A1031)=1,1,0)</f>
        <v>0</v>
      </c>
      <c r="G1031" s="106" cm="1">
        <f t="array" ref="G1031">IF($F1031=1,IF(SUMPRODUCT(--ISNUMBER(SEARCH(","&amp;$A1031&amp;",",'Parts list'!$Z$4:$Z$185)))&gt;0,1,0),0)</f>
        <v>0</v>
      </c>
    </row>
    <row r="1032" spans="1:7" ht="27.75" customHeight="1" x14ac:dyDescent="0.2">
      <c r="A1032" s="1" t="s">
        <v>422</v>
      </c>
      <c r="B1032" s="104">
        <v>8</v>
      </c>
      <c r="C1032" s="104" t="s">
        <v>3205</v>
      </c>
      <c r="D1032" s="1" t="s">
        <v>2795</v>
      </c>
      <c r="E1032" s="4" t="s">
        <v>3206</v>
      </c>
      <c r="F1032" s="106">
        <f>IF(COUNTIF($A$4:$A1032,$A1032)=1,1,0)</f>
        <v>0</v>
      </c>
      <c r="G1032" s="106" cm="1">
        <f t="array" ref="G1032">IF($F1032=1,IF(SUMPRODUCT(--ISNUMBER(SEARCH(","&amp;$A1032&amp;",",'Parts list'!$Z$4:$Z$185)))&gt;0,1,0),0)</f>
        <v>0</v>
      </c>
    </row>
    <row r="1033" spans="1:7" x14ac:dyDescent="0.2">
      <c r="A1033" s="1" t="s">
        <v>422</v>
      </c>
      <c r="B1033" s="104">
        <v>9</v>
      </c>
      <c r="C1033" s="104" t="s">
        <v>3207</v>
      </c>
      <c r="D1033" s="1" t="s">
        <v>2798</v>
      </c>
      <c r="E1033" s="4" t="s">
        <v>3208</v>
      </c>
      <c r="F1033" s="106">
        <f>IF(COUNTIF($A$4:$A1033,$A1033)=1,1,0)</f>
        <v>0</v>
      </c>
      <c r="G1033" s="106" cm="1">
        <f t="array" ref="G1033">IF($F1033=1,IF(SUMPRODUCT(--ISNUMBER(SEARCH(","&amp;$A1033&amp;",",'Parts list'!$Z$4:$Z$185)))&gt;0,1,0),0)</f>
        <v>0</v>
      </c>
    </row>
    <row r="1034" spans="1:7" x14ac:dyDescent="0.2">
      <c r="A1034" s="1" t="s">
        <v>422</v>
      </c>
      <c r="B1034" s="104">
        <v>10</v>
      </c>
      <c r="C1034" s="104" t="s">
        <v>3209</v>
      </c>
      <c r="D1034" s="1" t="s">
        <v>2801</v>
      </c>
      <c r="E1034" s="4" t="s">
        <v>3210</v>
      </c>
      <c r="F1034" s="106">
        <f>IF(COUNTIF($A$4:$A1034,$A1034)=1,1,0)</f>
        <v>0</v>
      </c>
      <c r="G1034" s="106" cm="1">
        <f t="array" ref="G1034">IF($F1034=1,IF(SUMPRODUCT(--ISNUMBER(SEARCH(","&amp;$A1034&amp;",",'Parts list'!$Z$4:$Z$185)))&gt;0,1,0),0)</f>
        <v>0</v>
      </c>
    </row>
    <row r="1035" spans="1:7" x14ac:dyDescent="0.2">
      <c r="A1035" s="1" t="s">
        <v>422</v>
      </c>
      <c r="B1035" s="104">
        <v>11</v>
      </c>
      <c r="C1035" s="104" t="s">
        <v>3211</v>
      </c>
      <c r="D1035" s="1" t="s">
        <v>2804</v>
      </c>
      <c r="E1035" s="4" t="s">
        <v>3212</v>
      </c>
      <c r="F1035" s="106">
        <f>IF(COUNTIF($A$4:$A1035,$A1035)=1,1,0)</f>
        <v>0</v>
      </c>
      <c r="G1035" s="106" cm="1">
        <f t="array" ref="G1035">IF($F1035=1,IF(SUMPRODUCT(--ISNUMBER(SEARCH(","&amp;$A1035&amp;",",'Parts list'!$Z$4:$Z$185)))&gt;0,1,0),0)</f>
        <v>0</v>
      </c>
    </row>
    <row r="1036" spans="1:7" x14ac:dyDescent="0.2">
      <c r="A1036" s="1" t="s">
        <v>422</v>
      </c>
      <c r="B1036" s="104">
        <v>12</v>
      </c>
      <c r="C1036" s="104" t="s">
        <v>3213</v>
      </c>
      <c r="D1036" s="1" t="s">
        <v>2168</v>
      </c>
      <c r="E1036" s="4"/>
      <c r="F1036" s="106">
        <f>IF(COUNTIF($A$4:$A1036,$A1036)=1,1,0)</f>
        <v>0</v>
      </c>
      <c r="G1036" s="106" cm="1">
        <f t="array" ref="G1036">IF($F1036=1,IF(SUMPRODUCT(--ISNUMBER(SEARCH(","&amp;$A1036&amp;",",'Parts list'!$Z$4:$Z$185)))&gt;0,1,0),0)</f>
        <v>0</v>
      </c>
    </row>
    <row r="1037" spans="1:7" x14ac:dyDescent="0.2">
      <c r="A1037" s="1" t="s">
        <v>422</v>
      </c>
      <c r="B1037" s="104">
        <v>13</v>
      </c>
      <c r="C1037" s="104" t="s">
        <v>3214</v>
      </c>
      <c r="D1037" s="1" t="s">
        <v>2181</v>
      </c>
      <c r="E1037" s="4" t="s">
        <v>3215</v>
      </c>
      <c r="F1037" s="106">
        <f>IF(COUNTIF($A$4:$A1037,$A1037)=1,1,0)</f>
        <v>0</v>
      </c>
      <c r="G1037" s="106" cm="1">
        <f t="array" ref="G1037">IF($F1037=1,IF(SUMPRODUCT(--ISNUMBER(SEARCH(","&amp;$A1037&amp;",",'Parts list'!$Z$4:$Z$185)))&gt;0,1,0),0)</f>
        <v>0</v>
      </c>
    </row>
    <row r="1038" spans="1:7" ht="40.5" customHeight="1" x14ac:dyDescent="0.2">
      <c r="A1038" s="1" t="s">
        <v>422</v>
      </c>
      <c r="B1038" s="104">
        <v>14</v>
      </c>
      <c r="C1038" s="104" t="s">
        <v>3216</v>
      </c>
      <c r="D1038" s="1" t="s">
        <v>2342</v>
      </c>
      <c r="E1038" s="4" t="s">
        <v>3217</v>
      </c>
      <c r="F1038" s="106">
        <f>IF(COUNTIF($A$4:$A1038,$A1038)=1,1,0)</f>
        <v>0</v>
      </c>
      <c r="G1038" s="106" cm="1">
        <f t="array" ref="G1038">IF($F1038=1,IF(SUMPRODUCT(--ISNUMBER(SEARCH(","&amp;$A1038&amp;",",'Parts list'!$Z$4:$Z$185)))&gt;0,1,0),0)</f>
        <v>0</v>
      </c>
    </row>
    <row r="1039" spans="1:7" ht="27.75" customHeight="1" x14ac:dyDescent="0.2">
      <c r="A1039" s="1" t="s">
        <v>422</v>
      </c>
      <c r="B1039" s="104">
        <v>15</v>
      </c>
      <c r="C1039" s="104" t="s">
        <v>3218</v>
      </c>
      <c r="D1039" s="1" t="s">
        <v>2171</v>
      </c>
      <c r="E1039" s="4" t="s">
        <v>3219</v>
      </c>
      <c r="F1039" s="106">
        <f>IF(COUNTIF($A$4:$A1039,$A1039)=1,1,0)</f>
        <v>0</v>
      </c>
      <c r="G1039" s="106" cm="1">
        <f t="array" ref="G1039">IF($F1039=1,IF(SUMPRODUCT(--ISNUMBER(SEARCH(","&amp;$A1039&amp;",",'Parts list'!$Z$4:$Z$185)))&gt;0,1,0),0)</f>
        <v>0</v>
      </c>
    </row>
    <row r="1040" spans="1:7" ht="27.75" customHeight="1" x14ac:dyDescent="0.2">
      <c r="A1040" s="1" t="s">
        <v>422</v>
      </c>
      <c r="B1040" s="104">
        <v>16</v>
      </c>
      <c r="C1040" s="104" t="s">
        <v>3220</v>
      </c>
      <c r="D1040" s="1" t="s">
        <v>2702</v>
      </c>
      <c r="E1040" s="4" t="s">
        <v>3221</v>
      </c>
      <c r="F1040" s="106">
        <f>IF(COUNTIF($A$4:$A1040,$A1040)=1,1,0)</f>
        <v>0</v>
      </c>
      <c r="G1040" s="106" cm="1">
        <f t="array" ref="G1040">IF($F1040=1,IF(SUMPRODUCT(--ISNUMBER(SEARCH(","&amp;$A1040&amp;",",'Parts list'!$Z$4:$Z$185)))&gt;0,1,0),0)</f>
        <v>0</v>
      </c>
    </row>
    <row r="1041" spans="1:7" x14ac:dyDescent="0.2">
      <c r="A1041" s="1" t="s">
        <v>422</v>
      </c>
      <c r="B1041" s="104">
        <v>17</v>
      </c>
      <c r="C1041" s="104" t="s">
        <v>3222</v>
      </c>
      <c r="D1041" s="1" t="s">
        <v>2704</v>
      </c>
      <c r="E1041" s="4" t="s">
        <v>3223</v>
      </c>
      <c r="F1041" s="106">
        <f>IF(COUNTIF($A$4:$A1041,$A1041)=1,1,0)</f>
        <v>0</v>
      </c>
      <c r="G1041" s="106" cm="1">
        <f t="array" ref="G1041">IF($F1041=1,IF(SUMPRODUCT(--ISNUMBER(SEARCH(","&amp;$A1041&amp;",",'Parts list'!$Z$4:$Z$185)))&gt;0,1,0),0)</f>
        <v>0</v>
      </c>
    </row>
    <row r="1042" spans="1:7" x14ac:dyDescent="0.2">
      <c r="A1042" s="1" t="s">
        <v>422</v>
      </c>
      <c r="B1042" s="104">
        <v>18</v>
      </c>
      <c r="C1042" s="104" t="s">
        <v>3224</v>
      </c>
      <c r="D1042" s="1" t="s">
        <v>2168</v>
      </c>
      <c r="E1042" s="4"/>
      <c r="F1042" s="106">
        <f>IF(COUNTIF($A$4:$A1042,$A1042)=1,1,0)</f>
        <v>0</v>
      </c>
      <c r="G1042" s="106" cm="1">
        <f t="array" ref="G1042">IF($F1042=1,IF(SUMPRODUCT(--ISNUMBER(SEARCH(","&amp;$A1042&amp;",",'Parts list'!$Z$4:$Z$185)))&gt;0,1,0),0)</f>
        <v>0</v>
      </c>
    </row>
    <row r="1043" spans="1:7" x14ac:dyDescent="0.2">
      <c r="A1043" s="1" t="s">
        <v>422</v>
      </c>
      <c r="B1043" s="104">
        <v>19</v>
      </c>
      <c r="C1043" s="104" t="s">
        <v>3225</v>
      </c>
      <c r="D1043" s="1" t="s">
        <v>2181</v>
      </c>
      <c r="E1043" s="4" t="s">
        <v>3226</v>
      </c>
      <c r="F1043" s="106">
        <f>IF(COUNTIF($A$4:$A1043,$A1043)=1,1,0)</f>
        <v>0</v>
      </c>
      <c r="G1043" s="106" cm="1">
        <f t="array" ref="G1043">IF($F1043=1,IF(SUMPRODUCT(--ISNUMBER(SEARCH(","&amp;$A1043&amp;",",'Parts list'!$Z$4:$Z$185)))&gt;0,1,0),0)</f>
        <v>0</v>
      </c>
    </row>
    <row r="1044" spans="1:7" x14ac:dyDescent="0.2">
      <c r="A1044" s="1" t="s">
        <v>422</v>
      </c>
      <c r="B1044" s="104">
        <v>20</v>
      </c>
      <c r="C1044" s="104" t="s">
        <v>3227</v>
      </c>
      <c r="D1044" s="1" t="s">
        <v>3228</v>
      </c>
      <c r="E1044" s="4" t="s">
        <v>3229</v>
      </c>
      <c r="F1044" s="106">
        <f>IF(COUNTIF($A$4:$A1044,$A1044)=1,1,0)</f>
        <v>0</v>
      </c>
      <c r="G1044" s="106" cm="1">
        <f t="array" ref="G1044">IF($F1044=1,IF(SUMPRODUCT(--ISNUMBER(SEARCH(","&amp;$A1044&amp;",",'Parts list'!$Z$4:$Z$185)))&gt;0,1,0),0)</f>
        <v>0</v>
      </c>
    </row>
    <row r="1045" spans="1:7" x14ac:dyDescent="0.2">
      <c r="A1045" s="1" t="s">
        <v>422</v>
      </c>
      <c r="B1045" s="104">
        <v>21</v>
      </c>
      <c r="C1045" s="104" t="s">
        <v>3230</v>
      </c>
      <c r="D1045" s="1" t="s">
        <v>2754</v>
      </c>
      <c r="E1045" s="4" t="s">
        <v>3231</v>
      </c>
      <c r="F1045" s="106">
        <f>IF(COUNTIF($A$4:$A1045,$A1045)=1,1,0)</f>
        <v>0</v>
      </c>
      <c r="G1045" s="106" cm="1">
        <f t="array" ref="G1045">IF($F1045=1,IF(SUMPRODUCT(--ISNUMBER(SEARCH(","&amp;$A1045&amp;",",'Parts list'!$Z$4:$Z$185)))&gt;0,1,0),0)</f>
        <v>0</v>
      </c>
    </row>
    <row r="1046" spans="1:7" x14ac:dyDescent="0.2">
      <c r="A1046" s="1" t="s">
        <v>422</v>
      </c>
      <c r="B1046" s="104">
        <v>22</v>
      </c>
      <c r="C1046" s="104" t="s">
        <v>3232</v>
      </c>
      <c r="D1046" s="1" t="s">
        <v>3233</v>
      </c>
      <c r="E1046" s="4" t="s">
        <v>3234</v>
      </c>
      <c r="F1046" s="106">
        <f>IF(COUNTIF($A$4:$A1046,$A1046)=1,1,0)</f>
        <v>0</v>
      </c>
      <c r="G1046" s="106" cm="1">
        <f t="array" ref="G1046">IF($F1046=1,IF(SUMPRODUCT(--ISNUMBER(SEARCH(","&amp;$A1046&amp;",",'Parts list'!$Z$4:$Z$185)))&gt;0,1,0),0)</f>
        <v>0</v>
      </c>
    </row>
    <row r="1047" spans="1:7" x14ac:dyDescent="0.2">
      <c r="A1047" s="1" t="s">
        <v>422</v>
      </c>
      <c r="B1047" s="104">
        <v>23</v>
      </c>
      <c r="C1047" s="104" t="s">
        <v>3235</v>
      </c>
      <c r="D1047" s="1" t="s">
        <v>2758</v>
      </c>
      <c r="E1047" s="4" t="s">
        <v>3236</v>
      </c>
      <c r="F1047" s="106">
        <f>IF(COUNTIF($A$4:$A1047,$A1047)=1,1,0)</f>
        <v>0</v>
      </c>
      <c r="G1047" s="106" cm="1">
        <f t="array" ref="G1047">IF($F1047=1,IF(SUMPRODUCT(--ISNUMBER(SEARCH(","&amp;$A1047&amp;",",'Parts list'!$Z$4:$Z$185)))&gt;0,1,0),0)</f>
        <v>0</v>
      </c>
    </row>
    <row r="1048" spans="1:7" ht="27.75" customHeight="1" x14ac:dyDescent="0.2">
      <c r="A1048" s="1" t="s">
        <v>422</v>
      </c>
      <c r="B1048" s="104">
        <v>24</v>
      </c>
      <c r="C1048" s="104" t="s">
        <v>3237</v>
      </c>
      <c r="D1048" s="1" t="s">
        <v>2807</v>
      </c>
      <c r="E1048" s="4" t="s">
        <v>3238</v>
      </c>
      <c r="F1048" s="106">
        <f>IF(COUNTIF($A$4:$A1048,$A1048)=1,1,0)</f>
        <v>0</v>
      </c>
      <c r="G1048" s="106" cm="1">
        <f t="array" ref="G1048">IF($F1048=1,IF(SUMPRODUCT(--ISNUMBER(SEARCH(","&amp;$A1048&amp;",",'Parts list'!$Z$4:$Z$185)))&gt;0,1,0),0)</f>
        <v>0</v>
      </c>
    </row>
    <row r="1049" spans="1:7" x14ac:dyDescent="0.2">
      <c r="A1049" s="1" t="s">
        <v>422</v>
      </c>
      <c r="B1049" s="104">
        <v>25</v>
      </c>
      <c r="C1049" s="104" t="s">
        <v>3239</v>
      </c>
      <c r="D1049" s="1" t="s">
        <v>2567</v>
      </c>
      <c r="E1049" s="4" t="s">
        <v>3240</v>
      </c>
      <c r="F1049" s="106">
        <f>IF(COUNTIF($A$4:$A1049,$A1049)=1,1,0)</f>
        <v>0</v>
      </c>
      <c r="G1049" s="106" cm="1">
        <f t="array" ref="G1049">IF($F1049=1,IF(SUMPRODUCT(--ISNUMBER(SEARCH(","&amp;$A1049&amp;",",'Parts list'!$Z$4:$Z$185)))&gt;0,1,0),0)</f>
        <v>0</v>
      </c>
    </row>
    <row r="1050" spans="1:7" ht="27.75" customHeight="1" x14ac:dyDescent="0.2">
      <c r="A1050" s="1" t="s">
        <v>422</v>
      </c>
      <c r="B1050" s="104">
        <v>26</v>
      </c>
      <c r="C1050" s="104" t="s">
        <v>3241</v>
      </c>
      <c r="D1050" s="1" t="s">
        <v>3020</v>
      </c>
      <c r="E1050" s="4" t="s">
        <v>3242</v>
      </c>
      <c r="F1050" s="106">
        <f>IF(COUNTIF($A$4:$A1050,$A1050)=1,1,0)</f>
        <v>0</v>
      </c>
      <c r="G1050" s="106" cm="1">
        <f t="array" ref="G1050">IF($F1050=1,IF(SUMPRODUCT(--ISNUMBER(SEARCH(","&amp;$A1050&amp;",",'Parts list'!$Z$4:$Z$185)))&gt;0,1,0),0)</f>
        <v>0</v>
      </c>
    </row>
    <row r="1051" spans="1:7" ht="27.75" customHeight="1" x14ac:dyDescent="0.2">
      <c r="A1051" s="1" t="s">
        <v>422</v>
      </c>
      <c r="B1051" s="104">
        <v>27</v>
      </c>
      <c r="C1051" s="104" t="s">
        <v>3243</v>
      </c>
      <c r="D1051" s="1" t="s">
        <v>2780</v>
      </c>
      <c r="E1051" s="4" t="s">
        <v>3244</v>
      </c>
      <c r="F1051" s="106">
        <f>IF(COUNTIF($A$4:$A1051,$A1051)=1,1,0)</f>
        <v>0</v>
      </c>
      <c r="G1051" s="106" cm="1">
        <f t="array" ref="G1051">IF($F1051=1,IF(SUMPRODUCT(--ISNUMBER(SEARCH(","&amp;$A1051&amp;",",'Parts list'!$Z$4:$Z$185)))&gt;0,1,0),0)</f>
        <v>0</v>
      </c>
    </row>
    <row r="1052" spans="1:7" x14ac:dyDescent="0.2">
      <c r="A1052" s="1" t="s">
        <v>422</v>
      </c>
      <c r="B1052" s="104">
        <v>28</v>
      </c>
      <c r="C1052" s="104" t="s">
        <v>3245</v>
      </c>
      <c r="D1052" s="1" t="s">
        <v>2774</v>
      </c>
      <c r="E1052" s="4" t="s">
        <v>3246</v>
      </c>
      <c r="F1052" s="106">
        <f>IF(COUNTIF($A$4:$A1052,$A1052)=1,1,0)</f>
        <v>0</v>
      </c>
      <c r="G1052" s="106" cm="1">
        <f t="array" ref="G1052">IF($F1052=1,IF(SUMPRODUCT(--ISNUMBER(SEARCH(","&amp;$A1052&amp;",",'Parts list'!$Z$4:$Z$185)))&gt;0,1,0),0)</f>
        <v>0</v>
      </c>
    </row>
    <row r="1053" spans="1:7" x14ac:dyDescent="0.2">
      <c r="A1053" s="1" t="s">
        <v>422</v>
      </c>
      <c r="B1053" s="104">
        <v>29</v>
      </c>
      <c r="C1053" s="104" t="s">
        <v>3247</v>
      </c>
      <c r="D1053" s="1" t="s">
        <v>2724</v>
      </c>
      <c r="E1053" s="4" t="s">
        <v>3248</v>
      </c>
      <c r="F1053" s="106">
        <f>IF(COUNTIF($A$4:$A1053,$A1053)=1,1,0)</f>
        <v>0</v>
      </c>
      <c r="G1053" s="106" cm="1">
        <f t="array" ref="G1053">IF($F1053=1,IF(SUMPRODUCT(--ISNUMBER(SEARCH(","&amp;$A1053&amp;",",'Parts list'!$Z$4:$Z$185)))&gt;0,1,0),0)</f>
        <v>0</v>
      </c>
    </row>
    <row r="1054" spans="1:7" x14ac:dyDescent="0.2">
      <c r="A1054" s="1" t="s">
        <v>422</v>
      </c>
      <c r="B1054" s="104">
        <v>30</v>
      </c>
      <c r="C1054" s="104" t="s">
        <v>3249</v>
      </c>
      <c r="D1054" s="1" t="s">
        <v>2727</v>
      </c>
      <c r="E1054" s="4" t="s">
        <v>3250</v>
      </c>
      <c r="F1054" s="106">
        <f>IF(COUNTIF($A$4:$A1054,$A1054)=1,1,0)</f>
        <v>0</v>
      </c>
      <c r="G1054" s="106" cm="1">
        <f t="array" ref="G1054">IF($F1054=1,IF(SUMPRODUCT(--ISNUMBER(SEARCH(","&amp;$A1054&amp;",",'Parts list'!$Z$4:$Z$185)))&gt;0,1,0),0)</f>
        <v>0</v>
      </c>
    </row>
    <row r="1055" spans="1:7" x14ac:dyDescent="0.2">
      <c r="A1055" s="1" t="s">
        <v>422</v>
      </c>
      <c r="B1055" s="104">
        <v>31</v>
      </c>
      <c r="C1055" s="104" t="s">
        <v>3251</v>
      </c>
      <c r="D1055" s="1" t="s">
        <v>2168</v>
      </c>
      <c r="E1055" s="4"/>
      <c r="F1055" s="106">
        <f>IF(COUNTIF($A$4:$A1055,$A1055)=1,1,0)</f>
        <v>0</v>
      </c>
      <c r="G1055" s="106" cm="1">
        <f t="array" ref="G1055">IF($F1055=1,IF(SUMPRODUCT(--ISNUMBER(SEARCH(","&amp;$A1055&amp;",",'Parts list'!$Z$4:$Z$185)))&gt;0,1,0),0)</f>
        <v>0</v>
      </c>
    </row>
    <row r="1056" spans="1:7" x14ac:dyDescent="0.2">
      <c r="A1056" s="1" t="s">
        <v>422</v>
      </c>
      <c r="B1056" s="104">
        <v>32</v>
      </c>
      <c r="C1056" s="104" t="s">
        <v>3252</v>
      </c>
      <c r="D1056" s="1" t="s">
        <v>2181</v>
      </c>
      <c r="E1056" s="4" t="s">
        <v>3253</v>
      </c>
      <c r="F1056" s="106">
        <f>IF(COUNTIF($A$4:$A1056,$A1056)=1,1,0)</f>
        <v>0</v>
      </c>
      <c r="G1056" s="106" cm="1">
        <f t="array" ref="G1056">IF($F1056=1,IF(SUMPRODUCT(--ISNUMBER(SEARCH(","&amp;$A1056&amp;",",'Parts list'!$Z$4:$Z$185)))&gt;0,1,0),0)</f>
        <v>0</v>
      </c>
    </row>
    <row r="1057" spans="1:7" x14ac:dyDescent="0.2">
      <c r="A1057" s="1" t="s">
        <v>422</v>
      </c>
      <c r="B1057" s="104">
        <v>33</v>
      </c>
      <c r="C1057" s="104" t="s">
        <v>3254</v>
      </c>
      <c r="D1057" s="1" t="s">
        <v>2768</v>
      </c>
      <c r="E1057" s="4" t="s">
        <v>3255</v>
      </c>
      <c r="F1057" s="106">
        <f>IF(COUNTIF($A$4:$A1057,$A1057)=1,1,0)</f>
        <v>0</v>
      </c>
      <c r="G1057" s="106" cm="1">
        <f t="array" ref="G1057">IF($F1057=1,IF(SUMPRODUCT(--ISNUMBER(SEARCH(","&amp;$A1057&amp;",",'Parts list'!$Z$4:$Z$185)))&gt;0,1,0),0)</f>
        <v>0</v>
      </c>
    </row>
    <row r="1058" spans="1:7" x14ac:dyDescent="0.2">
      <c r="A1058" s="1" t="s">
        <v>422</v>
      </c>
      <c r="B1058" s="104">
        <v>34</v>
      </c>
      <c r="C1058" s="104" t="s">
        <v>3256</v>
      </c>
      <c r="D1058" s="1" t="s">
        <v>2765</v>
      </c>
      <c r="E1058" s="4" t="s">
        <v>3257</v>
      </c>
      <c r="F1058" s="106">
        <f>IF(COUNTIF($A$4:$A1058,$A1058)=1,1,0)</f>
        <v>0</v>
      </c>
      <c r="G1058" s="106" cm="1">
        <f t="array" ref="G1058">IF($F1058=1,IF(SUMPRODUCT(--ISNUMBER(SEARCH(","&amp;$A1058&amp;",",'Parts list'!$Z$4:$Z$185)))&gt;0,1,0),0)</f>
        <v>0</v>
      </c>
    </row>
    <row r="1059" spans="1:7" x14ac:dyDescent="0.2">
      <c r="A1059" s="1" t="s">
        <v>422</v>
      </c>
      <c r="B1059" s="104">
        <v>35</v>
      </c>
      <c r="C1059" s="104" t="s">
        <v>3258</v>
      </c>
      <c r="D1059" s="1" t="s">
        <v>2777</v>
      </c>
      <c r="E1059" s="4" t="s">
        <v>3259</v>
      </c>
      <c r="F1059" s="106">
        <f>IF(COUNTIF($A$4:$A1059,$A1059)=1,1,0)</f>
        <v>0</v>
      </c>
      <c r="G1059" s="106" cm="1">
        <f t="array" ref="G1059">IF($F1059=1,IF(SUMPRODUCT(--ISNUMBER(SEARCH(","&amp;$A1059&amp;",",'Parts list'!$Z$4:$Z$185)))&gt;0,1,0),0)</f>
        <v>0</v>
      </c>
    </row>
    <row r="1060" spans="1:7" x14ac:dyDescent="0.2">
      <c r="A1060" s="1" t="s">
        <v>422</v>
      </c>
      <c r="B1060" s="104">
        <v>36</v>
      </c>
      <c r="C1060" s="104" t="s">
        <v>3260</v>
      </c>
      <c r="D1060" s="1" t="s">
        <v>2770</v>
      </c>
      <c r="E1060" s="4" t="s">
        <v>3261</v>
      </c>
      <c r="F1060" s="106">
        <f>IF(COUNTIF($A$4:$A1060,$A1060)=1,1,0)</f>
        <v>0</v>
      </c>
      <c r="G1060" s="106" cm="1">
        <f t="array" ref="G1060">IF($F1060=1,IF(SUMPRODUCT(--ISNUMBER(SEARCH(","&amp;$A1060&amp;",",'Parts list'!$Z$4:$Z$185)))&gt;0,1,0),0)</f>
        <v>0</v>
      </c>
    </row>
    <row r="1061" spans="1:7" x14ac:dyDescent="0.2">
      <c r="A1061" s="1" t="s">
        <v>422</v>
      </c>
      <c r="B1061" s="104">
        <v>37</v>
      </c>
      <c r="C1061" s="104" t="s">
        <v>3262</v>
      </c>
      <c r="D1061" s="1" t="s">
        <v>3023</v>
      </c>
      <c r="E1061" s="4" t="s">
        <v>3263</v>
      </c>
      <c r="F1061" s="106">
        <f>IF(COUNTIF($A$4:$A1061,$A1061)=1,1,0)</f>
        <v>0</v>
      </c>
      <c r="G1061" s="106" cm="1">
        <f t="array" ref="G1061">IF($F1061=1,IF(SUMPRODUCT(--ISNUMBER(SEARCH(","&amp;$A1061&amp;",",'Parts list'!$Z$4:$Z$185)))&gt;0,1,0),0)</f>
        <v>0</v>
      </c>
    </row>
    <row r="1062" spans="1:7" x14ac:dyDescent="0.2">
      <c r="A1062" s="1" t="s">
        <v>422</v>
      </c>
      <c r="B1062" s="104">
        <v>38</v>
      </c>
      <c r="C1062" s="104" t="s">
        <v>3264</v>
      </c>
      <c r="D1062" s="1" t="s">
        <v>3025</v>
      </c>
      <c r="E1062" s="4" t="s">
        <v>3265</v>
      </c>
      <c r="F1062" s="106">
        <f>IF(COUNTIF($A$4:$A1062,$A1062)=1,1,0)</f>
        <v>0</v>
      </c>
      <c r="G1062" s="106" cm="1">
        <f t="array" ref="G1062">IF($F1062=1,IF(SUMPRODUCT(--ISNUMBER(SEARCH(","&amp;$A1062&amp;",",'Parts list'!$Z$4:$Z$185)))&gt;0,1,0),0)</f>
        <v>0</v>
      </c>
    </row>
    <row r="1063" spans="1:7" x14ac:dyDescent="0.2">
      <c r="A1063" s="1" t="s">
        <v>422</v>
      </c>
      <c r="B1063" s="104">
        <v>39</v>
      </c>
      <c r="C1063" s="104" t="s">
        <v>3266</v>
      </c>
      <c r="D1063" s="1" t="s">
        <v>3267</v>
      </c>
      <c r="E1063" s="4" t="s">
        <v>3268</v>
      </c>
      <c r="F1063" s="106">
        <f>IF(COUNTIF($A$4:$A1063,$A1063)=1,1,0)</f>
        <v>0</v>
      </c>
      <c r="G1063" s="106" cm="1">
        <f t="array" ref="G1063">IF($F1063=1,IF(SUMPRODUCT(--ISNUMBER(SEARCH(","&amp;$A1063&amp;",",'Parts list'!$Z$4:$Z$185)))&gt;0,1,0),0)</f>
        <v>0</v>
      </c>
    </row>
    <row r="1064" spans="1:7" x14ac:dyDescent="0.2">
      <c r="A1064" s="1" t="s">
        <v>422</v>
      </c>
      <c r="B1064" s="104">
        <v>40</v>
      </c>
      <c r="C1064" s="104" t="s">
        <v>3269</v>
      </c>
      <c r="D1064" s="1" t="s">
        <v>3270</v>
      </c>
      <c r="E1064" s="4" t="s">
        <v>3271</v>
      </c>
      <c r="F1064" s="106">
        <f>IF(COUNTIF($A$4:$A1064,$A1064)=1,1,0)</f>
        <v>0</v>
      </c>
      <c r="G1064" s="106" cm="1">
        <f t="array" ref="G1064">IF($F1064=1,IF(SUMPRODUCT(--ISNUMBER(SEARCH(","&amp;$A1064&amp;",",'Parts list'!$Z$4:$Z$185)))&gt;0,1,0),0)</f>
        <v>0</v>
      </c>
    </row>
    <row r="1065" spans="1:7" ht="27.75" customHeight="1" x14ac:dyDescent="0.2">
      <c r="A1065" s="1" t="s">
        <v>422</v>
      </c>
      <c r="B1065" s="104">
        <v>41</v>
      </c>
      <c r="C1065" s="104" t="s">
        <v>3272</v>
      </c>
      <c r="D1065" s="1" t="s">
        <v>2622</v>
      </c>
      <c r="E1065" s="4" t="s">
        <v>3273</v>
      </c>
      <c r="F1065" s="106">
        <f>IF(COUNTIF($A$4:$A1065,$A1065)=1,1,0)</f>
        <v>0</v>
      </c>
      <c r="G1065" s="106" cm="1">
        <f t="array" ref="G1065">IF($F1065=1,IF(SUMPRODUCT(--ISNUMBER(SEARCH(","&amp;$A1065&amp;",",'Parts list'!$Z$4:$Z$185)))&gt;0,1,0),0)</f>
        <v>0</v>
      </c>
    </row>
    <row r="1066" spans="1:7" x14ac:dyDescent="0.2">
      <c r="A1066" s="1" t="s">
        <v>422</v>
      </c>
      <c r="B1066" s="104">
        <v>42</v>
      </c>
      <c r="C1066" s="104" t="s">
        <v>3274</v>
      </c>
      <c r="D1066" s="1" t="s">
        <v>2559</v>
      </c>
      <c r="E1066" s="4" t="s">
        <v>3275</v>
      </c>
      <c r="F1066" s="106">
        <f>IF(COUNTIF($A$4:$A1066,$A1066)=1,1,0)</f>
        <v>0</v>
      </c>
      <c r="G1066" s="106" cm="1">
        <f t="array" ref="G1066">IF($F1066=1,IF(SUMPRODUCT(--ISNUMBER(SEARCH(","&amp;$A1066&amp;",",'Parts list'!$Z$4:$Z$185)))&gt;0,1,0),0)</f>
        <v>0</v>
      </c>
    </row>
    <row r="1067" spans="1:7" x14ac:dyDescent="0.2">
      <c r="A1067" s="1" t="s">
        <v>422</v>
      </c>
      <c r="B1067" s="104">
        <v>43</v>
      </c>
      <c r="C1067" s="104" t="s">
        <v>3276</v>
      </c>
      <c r="D1067" s="1" t="s">
        <v>2560</v>
      </c>
      <c r="E1067" s="4" t="s">
        <v>3277</v>
      </c>
      <c r="F1067" s="106">
        <f>IF(COUNTIF($A$4:$A1067,$A1067)=1,1,0)</f>
        <v>0</v>
      </c>
      <c r="G1067" s="106" cm="1">
        <f t="array" ref="G1067">IF($F1067=1,IF(SUMPRODUCT(--ISNUMBER(SEARCH(","&amp;$A1067&amp;",",'Parts list'!$Z$4:$Z$185)))&gt;0,1,0),0)</f>
        <v>0</v>
      </c>
    </row>
    <row r="1068" spans="1:7" ht="27.75" customHeight="1" x14ac:dyDescent="0.2">
      <c r="A1068" s="1" t="s">
        <v>422</v>
      </c>
      <c r="B1068" s="104">
        <v>44</v>
      </c>
      <c r="C1068" s="104" t="s">
        <v>3278</v>
      </c>
      <c r="D1068" s="1" t="s">
        <v>2919</v>
      </c>
      <c r="E1068" s="4" t="s">
        <v>3279</v>
      </c>
      <c r="F1068" s="106">
        <f>IF(COUNTIF($A$4:$A1068,$A1068)=1,1,0)</f>
        <v>0</v>
      </c>
      <c r="G1068" s="106" cm="1">
        <f t="array" ref="G1068">IF($F1068=1,IF(SUMPRODUCT(--ISNUMBER(SEARCH(","&amp;$A1068&amp;",",'Parts list'!$Z$4:$Z$185)))&gt;0,1,0),0)</f>
        <v>0</v>
      </c>
    </row>
    <row r="1069" spans="1:7" ht="27.75" customHeight="1" x14ac:dyDescent="0.2">
      <c r="A1069" s="1" t="s">
        <v>422</v>
      </c>
      <c r="B1069" s="104">
        <v>45</v>
      </c>
      <c r="C1069" s="104" t="s">
        <v>3280</v>
      </c>
      <c r="D1069" s="1" t="s">
        <v>3002</v>
      </c>
      <c r="E1069" s="4" t="s">
        <v>3281</v>
      </c>
      <c r="F1069" s="106">
        <f>IF(COUNTIF($A$4:$A1069,$A1069)=1,1,0)</f>
        <v>0</v>
      </c>
      <c r="G1069" s="106" cm="1">
        <f t="array" ref="G1069">IF($F1069=1,IF(SUMPRODUCT(--ISNUMBER(SEARCH(","&amp;$A1069&amp;",",'Parts list'!$Z$4:$Z$185)))&gt;0,1,0),0)</f>
        <v>0</v>
      </c>
    </row>
    <row r="1070" spans="1:7" x14ac:dyDescent="0.2">
      <c r="A1070" s="1" t="s">
        <v>422</v>
      </c>
      <c r="B1070" s="104">
        <v>46</v>
      </c>
      <c r="C1070" s="104" t="s">
        <v>3282</v>
      </c>
      <c r="D1070" s="1" t="s">
        <v>2556</v>
      </c>
      <c r="E1070" s="4" t="s">
        <v>3283</v>
      </c>
      <c r="F1070" s="106">
        <f>IF(COUNTIF($A$4:$A1070,$A1070)=1,1,0)</f>
        <v>0</v>
      </c>
      <c r="G1070" s="106" cm="1">
        <f t="array" ref="G1070">IF($F1070=1,IF(SUMPRODUCT(--ISNUMBER(SEARCH(","&amp;$A1070&amp;",",'Parts list'!$Z$4:$Z$185)))&gt;0,1,0),0)</f>
        <v>0</v>
      </c>
    </row>
    <row r="1071" spans="1:7" x14ac:dyDescent="0.2">
      <c r="A1071" s="1" t="s">
        <v>422</v>
      </c>
      <c r="B1071" s="104">
        <v>47</v>
      </c>
      <c r="C1071" s="104" t="s">
        <v>3284</v>
      </c>
      <c r="D1071" s="1" t="s">
        <v>2168</v>
      </c>
      <c r="E1071" s="4"/>
      <c r="F1071" s="106">
        <f>IF(COUNTIF($A$4:$A1071,$A1071)=1,1,0)</f>
        <v>0</v>
      </c>
      <c r="G1071" s="106" cm="1">
        <f t="array" ref="G1071">IF($F1071=1,IF(SUMPRODUCT(--ISNUMBER(SEARCH(","&amp;$A1071&amp;",",'Parts list'!$Z$4:$Z$185)))&gt;0,1,0),0)</f>
        <v>0</v>
      </c>
    </row>
    <row r="1072" spans="1:7" x14ac:dyDescent="0.2">
      <c r="A1072" s="1" t="s">
        <v>422</v>
      </c>
      <c r="B1072" s="104">
        <v>48</v>
      </c>
      <c r="C1072" s="104" t="s">
        <v>3285</v>
      </c>
      <c r="D1072" s="1" t="s">
        <v>2181</v>
      </c>
      <c r="E1072" s="4" t="s">
        <v>3286</v>
      </c>
      <c r="F1072" s="106">
        <f>IF(COUNTIF($A$4:$A1072,$A1072)=1,1,0)</f>
        <v>0</v>
      </c>
      <c r="G1072" s="106" cm="1">
        <f t="array" ref="G1072">IF($F1072=1,IF(SUMPRODUCT(--ISNUMBER(SEARCH(","&amp;$A1072&amp;",",'Parts list'!$Z$4:$Z$185)))&gt;0,1,0),0)</f>
        <v>0</v>
      </c>
    </row>
    <row r="1073" spans="1:7" x14ac:dyDescent="0.2">
      <c r="A1073" s="1" t="s">
        <v>422</v>
      </c>
      <c r="B1073" s="104">
        <v>49</v>
      </c>
      <c r="C1073" s="104" t="s">
        <v>3287</v>
      </c>
      <c r="D1073" s="1" t="s">
        <v>2557</v>
      </c>
      <c r="E1073" s="4" t="s">
        <v>3288</v>
      </c>
      <c r="F1073" s="106">
        <f>IF(COUNTIF($A$4:$A1073,$A1073)=1,1,0)</f>
        <v>0</v>
      </c>
      <c r="G1073" s="106" cm="1">
        <f t="array" ref="G1073">IF($F1073=1,IF(SUMPRODUCT(--ISNUMBER(SEARCH(","&amp;$A1073&amp;",",'Parts list'!$Z$4:$Z$185)))&gt;0,1,0),0)</f>
        <v>0</v>
      </c>
    </row>
    <row r="1074" spans="1:7" ht="27.75" customHeight="1" x14ac:dyDescent="0.2">
      <c r="A1074" s="1" t="s">
        <v>422</v>
      </c>
      <c r="B1074" s="104">
        <v>50</v>
      </c>
      <c r="C1074" s="104" t="s">
        <v>3289</v>
      </c>
      <c r="D1074" s="1" t="s">
        <v>2870</v>
      </c>
      <c r="E1074" s="4" t="s">
        <v>3290</v>
      </c>
      <c r="F1074" s="106">
        <f>IF(COUNTIF($A$4:$A1074,$A1074)=1,1,0)</f>
        <v>0</v>
      </c>
      <c r="G1074" s="106" cm="1">
        <f t="array" ref="G1074">IF($F1074=1,IF(SUMPRODUCT(--ISNUMBER(SEARCH(","&amp;$A1074&amp;",",'Parts list'!$Z$4:$Z$185)))&gt;0,1,0),0)</f>
        <v>0</v>
      </c>
    </row>
    <row r="1075" spans="1:7" x14ac:dyDescent="0.2">
      <c r="A1075" s="1" t="s">
        <v>422</v>
      </c>
      <c r="B1075" s="104">
        <v>51</v>
      </c>
      <c r="C1075" s="104" t="s">
        <v>3291</v>
      </c>
      <c r="D1075" s="1" t="s">
        <v>2784</v>
      </c>
      <c r="E1075" s="4" t="s">
        <v>3292</v>
      </c>
      <c r="F1075" s="106">
        <f>IF(COUNTIF($A$4:$A1075,$A1075)=1,1,0)</f>
        <v>0</v>
      </c>
      <c r="G1075" s="106" cm="1">
        <f t="array" ref="G1075">IF($F1075=1,IF(SUMPRODUCT(--ISNUMBER(SEARCH(","&amp;$A1075&amp;",",'Parts list'!$Z$4:$Z$185)))&gt;0,1,0),0)</f>
        <v>0</v>
      </c>
    </row>
    <row r="1076" spans="1:7" x14ac:dyDescent="0.2">
      <c r="A1076" s="1" t="s">
        <v>422</v>
      </c>
      <c r="B1076" s="104">
        <v>52</v>
      </c>
      <c r="C1076" s="104" t="s">
        <v>3293</v>
      </c>
      <c r="D1076" s="1" t="s">
        <v>2629</v>
      </c>
      <c r="E1076" s="4" t="s">
        <v>3294</v>
      </c>
      <c r="F1076" s="106">
        <f>IF(COUNTIF($A$4:$A1076,$A1076)=1,1,0)</f>
        <v>0</v>
      </c>
      <c r="G1076" s="106" cm="1">
        <f t="array" ref="G1076">IF($F1076=1,IF(SUMPRODUCT(--ISNUMBER(SEARCH(","&amp;$A1076&amp;",",'Parts list'!$Z$4:$Z$185)))&gt;0,1,0),0)</f>
        <v>0</v>
      </c>
    </row>
    <row r="1077" spans="1:7" x14ac:dyDescent="0.2">
      <c r="A1077" s="1" t="s">
        <v>422</v>
      </c>
      <c r="B1077" s="104">
        <v>53</v>
      </c>
      <c r="C1077" s="104" t="s">
        <v>3295</v>
      </c>
      <c r="D1077" s="1" t="s">
        <v>2872</v>
      </c>
      <c r="E1077" s="4" t="s">
        <v>3296</v>
      </c>
      <c r="F1077" s="106">
        <f>IF(COUNTIF($A$4:$A1077,$A1077)=1,1,0)</f>
        <v>0</v>
      </c>
      <c r="G1077" s="106" cm="1">
        <f t="array" ref="G1077">IF($F1077=1,IF(SUMPRODUCT(--ISNUMBER(SEARCH(","&amp;$A1077&amp;",",'Parts list'!$Z$4:$Z$185)))&gt;0,1,0),0)</f>
        <v>0</v>
      </c>
    </row>
    <row r="1078" spans="1:7" x14ac:dyDescent="0.2">
      <c r="A1078" s="1" t="s">
        <v>422</v>
      </c>
      <c r="B1078" s="104">
        <v>54</v>
      </c>
      <c r="C1078" s="104" t="s">
        <v>3297</v>
      </c>
      <c r="D1078" s="1" t="s">
        <v>3298</v>
      </c>
      <c r="E1078" s="4" t="s">
        <v>3299</v>
      </c>
      <c r="F1078" s="106">
        <f>IF(COUNTIF($A$4:$A1078,$A1078)=1,1,0)</f>
        <v>0</v>
      </c>
      <c r="G1078" s="106" cm="1">
        <f t="array" ref="G1078">IF($F1078=1,IF(SUMPRODUCT(--ISNUMBER(SEARCH(","&amp;$A1078&amp;",",'Parts list'!$Z$4:$Z$185)))&gt;0,1,0),0)</f>
        <v>0</v>
      </c>
    </row>
    <row r="1079" spans="1:7" x14ac:dyDescent="0.2">
      <c r="A1079" s="1" t="s">
        <v>422</v>
      </c>
      <c r="B1079" s="104">
        <v>55</v>
      </c>
      <c r="C1079" s="104" t="s">
        <v>3300</v>
      </c>
      <c r="D1079" s="1" t="s">
        <v>2669</v>
      </c>
      <c r="E1079" s="4" t="s">
        <v>3301</v>
      </c>
      <c r="F1079" s="106">
        <f>IF(COUNTIF($A$4:$A1079,$A1079)=1,1,0)</f>
        <v>0</v>
      </c>
      <c r="G1079" s="106" cm="1">
        <f t="array" ref="G1079">IF($F1079=1,IF(SUMPRODUCT(--ISNUMBER(SEARCH(","&amp;$A1079&amp;",",'Parts list'!$Z$4:$Z$185)))&gt;0,1,0),0)</f>
        <v>0</v>
      </c>
    </row>
    <row r="1080" spans="1:7" ht="27.75" customHeight="1" x14ac:dyDescent="0.2">
      <c r="A1080" s="1" t="s">
        <v>422</v>
      </c>
      <c r="B1080" s="104">
        <v>56</v>
      </c>
      <c r="C1080" s="104" t="s">
        <v>3302</v>
      </c>
      <c r="D1080" s="1" t="s">
        <v>2873</v>
      </c>
      <c r="E1080" s="4" t="s">
        <v>3303</v>
      </c>
      <c r="F1080" s="106">
        <f>IF(COUNTIF($A$4:$A1080,$A1080)=1,1,0)</f>
        <v>0</v>
      </c>
      <c r="G1080" s="106" cm="1">
        <f t="array" ref="G1080">IF($F1080=1,IF(SUMPRODUCT(--ISNUMBER(SEARCH(","&amp;$A1080&amp;",",'Parts list'!$Z$4:$Z$185)))&gt;0,1,0),0)</f>
        <v>0</v>
      </c>
    </row>
    <row r="1081" spans="1:7" ht="27.75" customHeight="1" x14ac:dyDescent="0.2">
      <c r="A1081" s="1" t="s">
        <v>422</v>
      </c>
      <c r="B1081" s="104">
        <v>57</v>
      </c>
      <c r="C1081" s="104" t="s">
        <v>3304</v>
      </c>
      <c r="D1081" s="1" t="s">
        <v>2871</v>
      </c>
      <c r="E1081" s="4" t="s">
        <v>3305</v>
      </c>
      <c r="F1081" s="106">
        <f>IF(COUNTIF($A$4:$A1081,$A1081)=1,1,0)</f>
        <v>0</v>
      </c>
      <c r="G1081" s="106" cm="1">
        <f t="array" ref="G1081">IF($F1081=1,IF(SUMPRODUCT(--ISNUMBER(SEARCH(","&amp;$A1081&amp;",",'Parts list'!$Z$4:$Z$185)))&gt;0,1,0),0)</f>
        <v>0</v>
      </c>
    </row>
    <row r="1082" spans="1:7" x14ac:dyDescent="0.2">
      <c r="A1082" s="1" t="s">
        <v>422</v>
      </c>
      <c r="B1082" s="104">
        <v>58</v>
      </c>
      <c r="C1082" s="104" t="s">
        <v>3306</v>
      </c>
      <c r="D1082" s="1" t="s">
        <v>2533</v>
      </c>
      <c r="E1082" s="4" t="s">
        <v>3307</v>
      </c>
      <c r="F1082" s="106">
        <f>IF(COUNTIF($A$4:$A1082,$A1082)=1,1,0)</f>
        <v>0</v>
      </c>
      <c r="G1082" s="106" cm="1">
        <f t="array" ref="G1082">IF($F1082=1,IF(SUMPRODUCT(--ISNUMBER(SEARCH(","&amp;$A1082&amp;",",'Parts list'!$Z$4:$Z$185)))&gt;0,1,0),0)</f>
        <v>0</v>
      </c>
    </row>
    <row r="1083" spans="1:7" x14ac:dyDescent="0.2">
      <c r="A1083" s="1" t="s">
        <v>422</v>
      </c>
      <c r="B1083" s="104">
        <v>59</v>
      </c>
      <c r="C1083" s="104" t="s">
        <v>3308</v>
      </c>
      <c r="D1083" s="1" t="s">
        <v>2530</v>
      </c>
      <c r="E1083" s="4" t="s">
        <v>3309</v>
      </c>
      <c r="F1083" s="106">
        <f>IF(COUNTIF($A$4:$A1083,$A1083)=1,1,0)</f>
        <v>0</v>
      </c>
      <c r="G1083" s="106" cm="1">
        <f t="array" ref="G1083">IF($F1083=1,IF(SUMPRODUCT(--ISNUMBER(SEARCH(","&amp;$A1083&amp;",",'Parts list'!$Z$4:$Z$185)))&gt;0,1,0),0)</f>
        <v>0</v>
      </c>
    </row>
    <row r="1084" spans="1:7" x14ac:dyDescent="0.2">
      <c r="A1084" s="1" t="s">
        <v>422</v>
      </c>
      <c r="B1084" s="104">
        <v>60</v>
      </c>
      <c r="C1084" s="104" t="s">
        <v>2558</v>
      </c>
      <c r="D1084" s="1" t="s">
        <v>2558</v>
      </c>
      <c r="E1084" s="4" t="s">
        <v>3310</v>
      </c>
      <c r="F1084" s="106">
        <f>IF(COUNTIF($A$4:$A1084,$A1084)=1,1,0)</f>
        <v>0</v>
      </c>
      <c r="G1084" s="106" cm="1">
        <f t="array" ref="G1084">IF($F1084=1,IF(SUMPRODUCT(--ISNUMBER(SEARCH(","&amp;$A1084&amp;",",'Parts list'!$Z$4:$Z$185)))&gt;0,1,0),0)</f>
        <v>0</v>
      </c>
    </row>
    <row r="1085" spans="1:7" ht="27.75" customHeight="1" x14ac:dyDescent="0.2">
      <c r="A1085" s="1" t="s">
        <v>422</v>
      </c>
      <c r="B1085" s="104">
        <v>61</v>
      </c>
      <c r="C1085" s="104" t="s">
        <v>3311</v>
      </c>
      <c r="D1085" s="1" t="s">
        <v>2501</v>
      </c>
      <c r="E1085" s="4" t="s">
        <v>3312</v>
      </c>
      <c r="F1085" s="106">
        <f>IF(COUNTIF($A$4:$A1085,$A1085)=1,1,0)</f>
        <v>0</v>
      </c>
      <c r="G1085" s="106" cm="1">
        <f t="array" ref="G1085">IF($F1085=1,IF(SUMPRODUCT(--ISNUMBER(SEARCH(","&amp;$A1085&amp;",",'Parts list'!$Z$4:$Z$185)))&gt;0,1,0),0)</f>
        <v>0</v>
      </c>
    </row>
    <row r="1086" spans="1:7" x14ac:dyDescent="0.2">
      <c r="A1086" s="1" t="s">
        <v>422</v>
      </c>
      <c r="B1086" s="104">
        <v>62</v>
      </c>
      <c r="C1086" s="104" t="s">
        <v>3313</v>
      </c>
      <c r="D1086" s="1" t="s">
        <v>3005</v>
      </c>
      <c r="E1086" s="4" t="s">
        <v>3314</v>
      </c>
      <c r="F1086" s="106">
        <f>IF(COUNTIF($A$4:$A1086,$A1086)=1,1,0)</f>
        <v>0</v>
      </c>
      <c r="G1086" s="106" cm="1">
        <f t="array" ref="G1086">IF($F1086=1,IF(SUMPRODUCT(--ISNUMBER(SEARCH(","&amp;$A1086&amp;",",'Parts list'!$Z$4:$Z$185)))&gt;0,1,0),0)</f>
        <v>0</v>
      </c>
    </row>
    <row r="1087" spans="1:7" x14ac:dyDescent="0.2">
      <c r="A1087" s="1" t="s">
        <v>422</v>
      </c>
      <c r="B1087" s="104">
        <v>63</v>
      </c>
      <c r="C1087" s="104" t="s">
        <v>3315</v>
      </c>
      <c r="D1087" s="1" t="s">
        <v>2168</v>
      </c>
      <c r="E1087" s="4"/>
      <c r="F1087" s="106">
        <f>IF(COUNTIF($A$4:$A1087,$A1087)=1,1,0)</f>
        <v>0</v>
      </c>
      <c r="G1087" s="106" cm="1">
        <f t="array" ref="G1087">IF($F1087=1,IF(SUMPRODUCT(--ISNUMBER(SEARCH(","&amp;$A1087&amp;",",'Parts list'!$Z$4:$Z$185)))&gt;0,1,0),0)</f>
        <v>0</v>
      </c>
    </row>
    <row r="1088" spans="1:7" x14ac:dyDescent="0.2">
      <c r="A1088" s="1" t="s">
        <v>422</v>
      </c>
      <c r="B1088" s="104">
        <v>64</v>
      </c>
      <c r="C1088" s="104" t="s">
        <v>3316</v>
      </c>
      <c r="D1088" s="1" t="s">
        <v>2181</v>
      </c>
      <c r="E1088" s="4" t="s">
        <v>3317</v>
      </c>
      <c r="F1088" s="106">
        <f>IF(COUNTIF($A$4:$A1088,$A1088)=1,1,0)</f>
        <v>0</v>
      </c>
      <c r="G1088" s="106" cm="1">
        <f t="array" ref="G1088">IF($F1088=1,IF(SUMPRODUCT(--ISNUMBER(SEARCH(","&amp;$A1088&amp;",",'Parts list'!$Z$4:$Z$185)))&gt;0,1,0),0)</f>
        <v>0</v>
      </c>
    </row>
    <row r="1089" spans="1:7" x14ac:dyDescent="0.2">
      <c r="A1089" s="1" t="s">
        <v>433</v>
      </c>
      <c r="B1089" s="104">
        <v>1</v>
      </c>
      <c r="C1089" s="104" t="s">
        <v>3318</v>
      </c>
      <c r="D1089" s="1" t="s">
        <v>2745</v>
      </c>
      <c r="E1089" s="4" t="s">
        <v>3319</v>
      </c>
      <c r="F1089" s="106">
        <f>IF(COUNTIF($A$4:$A1089,$A1089)=1,1,0)</f>
        <v>1</v>
      </c>
      <c r="G1089" s="106" cm="1">
        <f t="array" ref="G1089">IF($F1089=1,IF(SUMPRODUCT(--ISNUMBER(SEARCH(","&amp;$A1089&amp;",",'Parts list'!$Z$4:$Z$185)))&gt;0,1,0),0)</f>
        <v>1</v>
      </c>
    </row>
    <row r="1090" spans="1:7" x14ac:dyDescent="0.2">
      <c r="A1090" s="1" t="s">
        <v>433</v>
      </c>
      <c r="B1090" s="104">
        <v>2</v>
      </c>
      <c r="C1090" s="104" t="s">
        <v>3320</v>
      </c>
      <c r="D1090" s="1" t="s">
        <v>2737</v>
      </c>
      <c r="E1090" s="4" t="s">
        <v>3321</v>
      </c>
      <c r="F1090" s="106">
        <f>IF(COUNTIF($A$4:$A1090,$A1090)=1,1,0)</f>
        <v>0</v>
      </c>
      <c r="G1090" s="106" cm="1">
        <f t="array" ref="G1090">IF($F1090=1,IF(SUMPRODUCT(--ISNUMBER(SEARCH(","&amp;$A1090&amp;",",'Parts list'!$Z$4:$Z$185)))&gt;0,1,0),0)</f>
        <v>0</v>
      </c>
    </row>
    <row r="1091" spans="1:7" x14ac:dyDescent="0.2">
      <c r="A1091" s="1" t="s">
        <v>433</v>
      </c>
      <c r="B1091" s="104">
        <v>3</v>
      </c>
      <c r="C1091" s="104" t="s">
        <v>3322</v>
      </c>
      <c r="D1091" s="1" t="s">
        <v>2740</v>
      </c>
      <c r="E1091" s="4" t="s">
        <v>3323</v>
      </c>
      <c r="F1091" s="106">
        <f>IF(COUNTIF($A$4:$A1091,$A1091)=1,1,0)</f>
        <v>0</v>
      </c>
      <c r="G1091" s="106" cm="1">
        <f t="array" ref="G1091">IF($F1091=1,IF(SUMPRODUCT(--ISNUMBER(SEARCH(","&amp;$A1091&amp;",",'Parts list'!$Z$4:$Z$185)))&gt;0,1,0),0)</f>
        <v>0</v>
      </c>
    </row>
    <row r="1092" spans="1:7" x14ac:dyDescent="0.2">
      <c r="A1092" s="1" t="s">
        <v>433</v>
      </c>
      <c r="B1092" s="104">
        <v>4</v>
      </c>
      <c r="C1092" s="104" t="s">
        <v>2199</v>
      </c>
      <c r="D1092" s="1" t="s">
        <v>2567</v>
      </c>
      <c r="E1092" s="4" t="s">
        <v>3324</v>
      </c>
      <c r="F1092" s="106">
        <f>IF(COUNTIF($A$4:$A1092,$A1092)=1,1,0)</f>
        <v>0</v>
      </c>
      <c r="G1092" s="106" cm="1">
        <f t="array" ref="G1092">IF($F1092=1,IF(SUMPRODUCT(--ISNUMBER(SEARCH(","&amp;$A1092&amp;",",'Parts list'!$Z$4:$Z$185)))&gt;0,1,0),0)</f>
        <v>0</v>
      </c>
    </row>
    <row r="1093" spans="1:7" x14ac:dyDescent="0.2">
      <c r="A1093" s="1" t="s">
        <v>433</v>
      </c>
      <c r="B1093" s="104">
        <v>5</v>
      </c>
      <c r="C1093" s="104" t="s">
        <v>3325</v>
      </c>
      <c r="D1093" s="1" t="s">
        <v>2469</v>
      </c>
      <c r="E1093" s="4" t="s">
        <v>3326</v>
      </c>
      <c r="F1093" s="106">
        <f>IF(COUNTIF($A$4:$A1093,$A1093)=1,1,0)</f>
        <v>0</v>
      </c>
      <c r="G1093" s="106" cm="1">
        <f t="array" ref="G1093">IF($F1093=1,IF(SUMPRODUCT(--ISNUMBER(SEARCH(","&amp;$A1093&amp;",",'Parts list'!$Z$4:$Z$185)))&gt;0,1,0),0)</f>
        <v>0</v>
      </c>
    </row>
    <row r="1094" spans="1:7" x14ac:dyDescent="0.2">
      <c r="A1094" s="1" t="s">
        <v>433</v>
      </c>
      <c r="B1094" s="104">
        <v>6</v>
      </c>
      <c r="C1094" s="104" t="s">
        <v>3327</v>
      </c>
      <c r="D1094" s="1" t="s">
        <v>2202</v>
      </c>
      <c r="E1094" s="4" t="s">
        <v>3328</v>
      </c>
      <c r="F1094" s="106">
        <f>IF(COUNTIF($A$4:$A1094,$A1094)=1,1,0)</f>
        <v>0</v>
      </c>
      <c r="G1094" s="106" cm="1">
        <f t="array" ref="G1094">IF($F1094=1,IF(SUMPRODUCT(--ISNUMBER(SEARCH(","&amp;$A1094&amp;",",'Parts list'!$Z$4:$Z$185)))&gt;0,1,0),0)</f>
        <v>0</v>
      </c>
    </row>
    <row r="1095" spans="1:7" x14ac:dyDescent="0.2">
      <c r="A1095" s="1" t="s">
        <v>433</v>
      </c>
      <c r="B1095" s="104">
        <v>7</v>
      </c>
      <c r="C1095" s="104" t="s">
        <v>3329</v>
      </c>
      <c r="D1095" s="1" t="s">
        <v>2469</v>
      </c>
      <c r="E1095" s="4" t="s">
        <v>3326</v>
      </c>
      <c r="F1095" s="106">
        <f>IF(COUNTIF($A$4:$A1095,$A1095)=1,1,0)</f>
        <v>0</v>
      </c>
      <c r="G1095" s="106" cm="1">
        <f t="array" ref="G1095">IF($F1095=1,IF(SUMPRODUCT(--ISNUMBER(SEARCH(","&amp;$A1095&amp;",",'Parts list'!$Z$4:$Z$185)))&gt;0,1,0),0)</f>
        <v>0</v>
      </c>
    </row>
    <row r="1096" spans="1:7" x14ac:dyDescent="0.2">
      <c r="A1096" s="1" t="s">
        <v>433</v>
      </c>
      <c r="B1096" s="104">
        <v>8</v>
      </c>
      <c r="C1096" s="104" t="s">
        <v>3330</v>
      </c>
      <c r="D1096" s="1" t="s">
        <v>2469</v>
      </c>
      <c r="E1096" s="4" t="s">
        <v>3326</v>
      </c>
      <c r="F1096" s="106">
        <f>IF(COUNTIF($A$4:$A1096,$A1096)=1,1,0)</f>
        <v>0</v>
      </c>
      <c r="G1096" s="106" cm="1">
        <f t="array" ref="G1096">IF($F1096=1,IF(SUMPRODUCT(--ISNUMBER(SEARCH(","&amp;$A1096&amp;",",'Parts list'!$Z$4:$Z$185)))&gt;0,1,0),0)</f>
        <v>0</v>
      </c>
    </row>
    <row r="1097" spans="1:7" x14ac:dyDescent="0.2">
      <c r="A1097" s="1" t="s">
        <v>433</v>
      </c>
      <c r="B1097" s="104">
        <v>9</v>
      </c>
      <c r="C1097" s="104" t="s">
        <v>3331</v>
      </c>
      <c r="D1097" s="1" t="s">
        <v>3332</v>
      </c>
      <c r="E1097" s="4" t="s">
        <v>3333</v>
      </c>
      <c r="F1097" s="106">
        <f>IF(COUNTIF($A$4:$A1097,$A1097)=1,1,0)</f>
        <v>0</v>
      </c>
      <c r="G1097" s="106" cm="1">
        <f t="array" ref="G1097">IF($F1097=1,IF(SUMPRODUCT(--ISNUMBER(SEARCH(","&amp;$A1097&amp;",",'Parts list'!$Z$4:$Z$185)))&gt;0,1,0),0)</f>
        <v>0</v>
      </c>
    </row>
    <row r="1098" spans="1:7" x14ac:dyDescent="0.2">
      <c r="A1098" s="1" t="s">
        <v>433</v>
      </c>
      <c r="B1098" s="104">
        <v>10</v>
      </c>
      <c r="C1098" s="104" t="s">
        <v>3334</v>
      </c>
      <c r="D1098" s="1" t="s">
        <v>3335</v>
      </c>
      <c r="E1098" s="4" t="s">
        <v>3336</v>
      </c>
      <c r="F1098" s="106">
        <f>IF(COUNTIF($A$4:$A1098,$A1098)=1,1,0)</f>
        <v>0</v>
      </c>
      <c r="G1098" s="106" cm="1">
        <f t="array" ref="G1098">IF($F1098=1,IF(SUMPRODUCT(--ISNUMBER(SEARCH(","&amp;$A1098&amp;",",'Parts list'!$Z$4:$Z$185)))&gt;0,1,0),0)</f>
        <v>0</v>
      </c>
    </row>
    <row r="1099" spans="1:7" x14ac:dyDescent="0.2">
      <c r="A1099" s="1" t="s">
        <v>433</v>
      </c>
      <c r="B1099" s="104">
        <v>11</v>
      </c>
      <c r="C1099" s="104" t="s">
        <v>3337</v>
      </c>
      <c r="D1099" s="1" t="s">
        <v>3338</v>
      </c>
      <c r="E1099" s="4" t="s">
        <v>3339</v>
      </c>
      <c r="F1099" s="106">
        <f>IF(COUNTIF($A$4:$A1099,$A1099)=1,1,0)</f>
        <v>0</v>
      </c>
      <c r="G1099" s="106" cm="1">
        <f t="array" ref="G1099">IF($F1099=1,IF(SUMPRODUCT(--ISNUMBER(SEARCH(","&amp;$A1099&amp;",",'Parts list'!$Z$4:$Z$185)))&gt;0,1,0),0)</f>
        <v>0</v>
      </c>
    </row>
    <row r="1100" spans="1:7" x14ac:dyDescent="0.2">
      <c r="A1100" s="1" t="s">
        <v>433</v>
      </c>
      <c r="B1100" s="104">
        <v>12</v>
      </c>
      <c r="C1100" s="104" t="s">
        <v>3340</v>
      </c>
      <c r="D1100" s="1" t="s">
        <v>3233</v>
      </c>
      <c r="E1100" s="4" t="s">
        <v>3341</v>
      </c>
      <c r="F1100" s="106">
        <f>IF(COUNTIF($A$4:$A1100,$A1100)=1,1,0)</f>
        <v>0</v>
      </c>
      <c r="G1100" s="106" cm="1">
        <f t="array" ref="G1100">IF($F1100=1,IF(SUMPRODUCT(--ISNUMBER(SEARCH(","&amp;$A1100&amp;",",'Parts list'!$Z$4:$Z$185)))&gt;0,1,0),0)</f>
        <v>0</v>
      </c>
    </row>
    <row r="1101" spans="1:7" x14ac:dyDescent="0.2">
      <c r="A1101" s="1" t="s">
        <v>433</v>
      </c>
      <c r="B1101" s="104">
        <v>13</v>
      </c>
      <c r="C1101" s="104" t="s">
        <v>3342</v>
      </c>
      <c r="D1101" s="1" t="s">
        <v>3298</v>
      </c>
      <c r="E1101" s="4" t="s">
        <v>3343</v>
      </c>
      <c r="F1101" s="106">
        <f>IF(COUNTIF($A$4:$A1101,$A1101)=1,1,0)</f>
        <v>0</v>
      </c>
      <c r="G1101" s="106" cm="1">
        <f t="array" ref="G1101">IF($F1101=1,IF(SUMPRODUCT(--ISNUMBER(SEARCH(","&amp;$A1101&amp;",",'Parts list'!$Z$4:$Z$185)))&gt;0,1,0),0)</f>
        <v>0</v>
      </c>
    </row>
    <row r="1102" spans="1:7" x14ac:dyDescent="0.2">
      <c r="A1102" s="1" t="s">
        <v>433</v>
      </c>
      <c r="B1102" s="104">
        <v>14</v>
      </c>
      <c r="C1102" s="104" t="s">
        <v>3344</v>
      </c>
      <c r="D1102" s="1" t="s">
        <v>3267</v>
      </c>
      <c r="E1102" s="4" t="s">
        <v>3345</v>
      </c>
      <c r="F1102" s="106">
        <f>IF(COUNTIF($A$4:$A1102,$A1102)=1,1,0)</f>
        <v>0</v>
      </c>
      <c r="G1102" s="106" cm="1">
        <f t="array" ref="G1102">IF($F1102=1,IF(SUMPRODUCT(--ISNUMBER(SEARCH(","&amp;$A1102&amp;",",'Parts list'!$Z$4:$Z$185)))&gt;0,1,0),0)</f>
        <v>0</v>
      </c>
    </row>
    <row r="1103" spans="1:7" x14ac:dyDescent="0.2">
      <c r="A1103" s="1" t="s">
        <v>433</v>
      </c>
      <c r="B1103" s="104">
        <v>15</v>
      </c>
      <c r="C1103" s="104" t="s">
        <v>3346</v>
      </c>
      <c r="D1103" s="1" t="s">
        <v>2469</v>
      </c>
      <c r="E1103" s="4" t="s">
        <v>3326</v>
      </c>
      <c r="F1103" s="106">
        <f>IF(COUNTIF($A$4:$A1103,$A1103)=1,1,0)</f>
        <v>0</v>
      </c>
      <c r="G1103" s="106" cm="1">
        <f t="array" ref="G1103">IF($F1103=1,IF(SUMPRODUCT(--ISNUMBER(SEARCH(","&amp;$A1103&amp;",",'Parts list'!$Z$4:$Z$185)))&gt;0,1,0),0)</f>
        <v>0</v>
      </c>
    </row>
    <row r="1104" spans="1:7" x14ac:dyDescent="0.2">
      <c r="A1104" s="1" t="s">
        <v>433</v>
      </c>
      <c r="B1104" s="104">
        <v>16</v>
      </c>
      <c r="C1104" s="104" t="s">
        <v>3347</v>
      </c>
      <c r="D1104" s="1" t="s">
        <v>2202</v>
      </c>
      <c r="E1104" s="4" t="s">
        <v>3348</v>
      </c>
      <c r="F1104" s="106">
        <f>IF(COUNTIF($A$4:$A1104,$A1104)=1,1,0)</f>
        <v>0</v>
      </c>
      <c r="G1104" s="106" cm="1">
        <f t="array" ref="G1104">IF($F1104=1,IF(SUMPRODUCT(--ISNUMBER(SEARCH(","&amp;$A1104&amp;",",'Parts list'!$Z$4:$Z$185)))&gt;0,1,0),0)</f>
        <v>0</v>
      </c>
    </row>
    <row r="1105" spans="1:7" x14ac:dyDescent="0.2">
      <c r="A1105" s="1" t="s">
        <v>433</v>
      </c>
      <c r="B1105" s="104">
        <v>17</v>
      </c>
      <c r="C1105" s="104" t="s">
        <v>2168</v>
      </c>
      <c r="D1105" s="1" t="s">
        <v>2168</v>
      </c>
      <c r="E1105" s="4"/>
      <c r="F1105" s="106">
        <f>IF(COUNTIF($A$4:$A1105,$A1105)=1,1,0)</f>
        <v>0</v>
      </c>
      <c r="G1105" s="106" cm="1">
        <f t="array" ref="G1105">IF($F1105=1,IF(SUMPRODUCT(--ISNUMBER(SEARCH(","&amp;$A1105&amp;",",'Parts list'!$Z$4:$Z$185)))&gt;0,1,0),0)</f>
        <v>0</v>
      </c>
    </row>
    <row r="1106" spans="1:7" x14ac:dyDescent="0.2">
      <c r="A1106" s="1" t="s">
        <v>433</v>
      </c>
      <c r="B1106" s="104">
        <v>18</v>
      </c>
      <c r="C1106" s="104" t="s">
        <v>3349</v>
      </c>
      <c r="D1106" s="1" t="s">
        <v>2715</v>
      </c>
      <c r="E1106" s="4" t="s">
        <v>3350</v>
      </c>
      <c r="F1106" s="106">
        <f>IF(COUNTIF($A$4:$A1106,$A1106)=1,1,0)</f>
        <v>0</v>
      </c>
      <c r="G1106" s="106" cm="1">
        <f t="array" ref="G1106">IF($F1106=1,IF(SUMPRODUCT(--ISNUMBER(SEARCH(","&amp;$A1106&amp;",",'Parts list'!$Z$4:$Z$185)))&gt;0,1,0),0)</f>
        <v>0</v>
      </c>
    </row>
    <row r="1107" spans="1:7" x14ac:dyDescent="0.2">
      <c r="A1107" s="1" t="s">
        <v>433</v>
      </c>
      <c r="B1107" s="104">
        <v>19</v>
      </c>
      <c r="C1107" s="104" t="s">
        <v>3351</v>
      </c>
      <c r="D1107" s="1" t="s">
        <v>2718</v>
      </c>
      <c r="E1107" s="4" t="s">
        <v>3352</v>
      </c>
      <c r="F1107" s="106">
        <f>IF(COUNTIF($A$4:$A1107,$A1107)=1,1,0)</f>
        <v>0</v>
      </c>
      <c r="G1107" s="106" cm="1">
        <f t="array" ref="G1107">IF($F1107=1,IF(SUMPRODUCT(--ISNUMBER(SEARCH(","&amp;$A1107&amp;",",'Parts list'!$Z$4:$Z$185)))&gt;0,1,0),0)</f>
        <v>0</v>
      </c>
    </row>
    <row r="1108" spans="1:7" x14ac:dyDescent="0.2">
      <c r="A1108" s="1" t="s">
        <v>433</v>
      </c>
      <c r="B1108" s="104">
        <v>20</v>
      </c>
      <c r="C1108" s="104" t="s">
        <v>3353</v>
      </c>
      <c r="D1108" s="1" t="s">
        <v>2721</v>
      </c>
      <c r="E1108" s="4" t="s">
        <v>3354</v>
      </c>
      <c r="F1108" s="106">
        <f>IF(COUNTIF($A$4:$A1108,$A1108)=1,1,0)</f>
        <v>0</v>
      </c>
      <c r="G1108" s="106" cm="1">
        <f t="array" ref="G1108">IF($F1108=1,IF(SUMPRODUCT(--ISNUMBER(SEARCH(","&amp;$A1108&amp;",",'Parts list'!$Z$4:$Z$185)))&gt;0,1,0),0)</f>
        <v>0</v>
      </c>
    </row>
    <row r="1109" spans="1:7" x14ac:dyDescent="0.2">
      <c r="A1109" s="1" t="s">
        <v>433</v>
      </c>
      <c r="B1109" s="104">
        <v>21</v>
      </c>
      <c r="C1109" s="104" t="s">
        <v>3355</v>
      </c>
      <c r="D1109" s="1" t="s">
        <v>2751</v>
      </c>
      <c r="E1109" s="4" t="s">
        <v>3356</v>
      </c>
      <c r="F1109" s="106">
        <f>IF(COUNTIF($A$4:$A1109,$A1109)=1,1,0)</f>
        <v>0</v>
      </c>
      <c r="G1109" s="106" cm="1">
        <f t="array" ref="G1109">IF($F1109=1,IF(SUMPRODUCT(--ISNUMBER(SEARCH(","&amp;$A1109&amp;",",'Parts list'!$Z$4:$Z$185)))&gt;0,1,0),0)</f>
        <v>0</v>
      </c>
    </row>
    <row r="1110" spans="1:7" x14ac:dyDescent="0.2">
      <c r="A1110" s="1" t="s">
        <v>433</v>
      </c>
      <c r="B1110" s="104">
        <v>22</v>
      </c>
      <c r="C1110" s="104" t="s">
        <v>3357</v>
      </c>
      <c r="D1110" s="1" t="s">
        <v>2469</v>
      </c>
      <c r="E1110" s="4" t="s">
        <v>3326</v>
      </c>
      <c r="F1110" s="106">
        <f>IF(COUNTIF($A$4:$A1110,$A1110)=1,1,0)</f>
        <v>0</v>
      </c>
      <c r="G1110" s="106" cm="1">
        <f t="array" ref="G1110">IF($F1110=1,IF(SUMPRODUCT(--ISNUMBER(SEARCH(","&amp;$A1110&amp;",",'Parts list'!$Z$4:$Z$185)))&gt;0,1,0),0)</f>
        <v>0</v>
      </c>
    </row>
    <row r="1111" spans="1:7" x14ac:dyDescent="0.2">
      <c r="A1111" s="1" t="s">
        <v>433</v>
      </c>
      <c r="B1111" s="104">
        <v>23</v>
      </c>
      <c r="C1111" s="104" t="s">
        <v>3358</v>
      </c>
      <c r="D1111" s="1" t="s">
        <v>2469</v>
      </c>
      <c r="E1111" s="4" t="s">
        <v>3326</v>
      </c>
      <c r="F1111" s="106">
        <f>IF(COUNTIF($A$4:$A1111,$A1111)=1,1,0)</f>
        <v>0</v>
      </c>
      <c r="G1111" s="106" cm="1">
        <f t="array" ref="G1111">IF($F1111=1,IF(SUMPRODUCT(--ISNUMBER(SEARCH(","&amp;$A1111&amp;",",'Parts list'!$Z$4:$Z$185)))&gt;0,1,0),0)</f>
        <v>0</v>
      </c>
    </row>
    <row r="1112" spans="1:7" x14ac:dyDescent="0.2">
      <c r="A1112" s="1" t="s">
        <v>433</v>
      </c>
      <c r="B1112" s="104">
        <v>24</v>
      </c>
      <c r="C1112" s="104" t="s">
        <v>2565</v>
      </c>
      <c r="D1112" s="1" t="s">
        <v>2566</v>
      </c>
      <c r="E1112" s="4" t="s">
        <v>3359</v>
      </c>
      <c r="F1112" s="106">
        <f>IF(COUNTIF($A$4:$A1112,$A1112)=1,1,0)</f>
        <v>0</v>
      </c>
      <c r="G1112" s="106" cm="1">
        <f t="array" ref="G1112">IF($F1112=1,IF(SUMPRODUCT(--ISNUMBER(SEARCH(","&amp;$A1112&amp;",",'Parts list'!$Z$4:$Z$185)))&gt;0,1,0),0)</f>
        <v>0</v>
      </c>
    </row>
    <row r="1113" spans="1:7" x14ac:dyDescent="0.2">
      <c r="A1113" s="1" t="s">
        <v>433</v>
      </c>
      <c r="B1113" s="104">
        <v>25</v>
      </c>
      <c r="C1113" s="104" t="s">
        <v>2563</v>
      </c>
      <c r="D1113" s="1" t="s">
        <v>2564</v>
      </c>
      <c r="E1113" s="4" t="s">
        <v>3360</v>
      </c>
      <c r="F1113" s="106">
        <f>IF(COUNTIF($A$4:$A1113,$A1113)=1,1,0)</f>
        <v>0</v>
      </c>
      <c r="G1113" s="106" cm="1">
        <f t="array" ref="G1113">IF($F1113=1,IF(SUMPRODUCT(--ISNUMBER(SEARCH(","&amp;$A1113&amp;",",'Parts list'!$Z$4:$Z$185)))&gt;0,1,0),0)</f>
        <v>0</v>
      </c>
    </row>
    <row r="1114" spans="1:7" x14ac:dyDescent="0.2">
      <c r="A1114" s="1" t="s">
        <v>433</v>
      </c>
      <c r="B1114" s="104">
        <v>26</v>
      </c>
      <c r="C1114" s="104" t="s">
        <v>3361</v>
      </c>
      <c r="D1114" s="1" t="s">
        <v>2469</v>
      </c>
      <c r="E1114" s="4" t="s">
        <v>3326</v>
      </c>
      <c r="F1114" s="106">
        <f>IF(COUNTIF($A$4:$A1114,$A1114)=1,1,0)</f>
        <v>0</v>
      </c>
      <c r="G1114" s="106" cm="1">
        <f t="array" ref="G1114">IF($F1114=1,IF(SUMPRODUCT(--ISNUMBER(SEARCH(","&amp;$A1114&amp;",",'Parts list'!$Z$4:$Z$185)))&gt;0,1,0),0)</f>
        <v>0</v>
      </c>
    </row>
    <row r="1115" spans="1:7" x14ac:dyDescent="0.2">
      <c r="A1115" s="1" t="s">
        <v>433</v>
      </c>
      <c r="B1115" s="104">
        <v>27</v>
      </c>
      <c r="C1115" s="104" t="s">
        <v>3362</v>
      </c>
      <c r="D1115" s="1" t="s">
        <v>2469</v>
      </c>
      <c r="E1115" s="4" t="s">
        <v>3326</v>
      </c>
      <c r="F1115" s="106">
        <f>IF(COUNTIF($A$4:$A1115,$A1115)=1,1,0)</f>
        <v>0</v>
      </c>
      <c r="G1115" s="106" cm="1">
        <f t="array" ref="G1115">IF($F1115=1,IF(SUMPRODUCT(--ISNUMBER(SEARCH(","&amp;$A1115&amp;",",'Parts list'!$Z$4:$Z$185)))&gt;0,1,0),0)</f>
        <v>0</v>
      </c>
    </row>
    <row r="1116" spans="1:7" x14ac:dyDescent="0.2">
      <c r="A1116" s="1" t="s">
        <v>433</v>
      </c>
      <c r="B1116" s="104">
        <v>28</v>
      </c>
      <c r="C1116" s="104" t="s">
        <v>3363</v>
      </c>
      <c r="D1116" s="1" t="s">
        <v>2469</v>
      </c>
      <c r="E1116" s="4" t="s">
        <v>3326</v>
      </c>
      <c r="F1116" s="106">
        <f>IF(COUNTIF($A$4:$A1116,$A1116)=1,1,0)</f>
        <v>0</v>
      </c>
      <c r="G1116" s="106" cm="1">
        <f t="array" ref="G1116">IF($F1116=1,IF(SUMPRODUCT(--ISNUMBER(SEARCH(","&amp;$A1116&amp;",",'Parts list'!$Z$4:$Z$185)))&gt;0,1,0),0)</f>
        <v>0</v>
      </c>
    </row>
    <row r="1117" spans="1:7" x14ac:dyDescent="0.2">
      <c r="A1117" s="1" t="s">
        <v>433</v>
      </c>
      <c r="B1117" s="104">
        <v>29</v>
      </c>
      <c r="C1117" s="104" t="s">
        <v>3364</v>
      </c>
      <c r="D1117" s="1" t="s">
        <v>2469</v>
      </c>
      <c r="E1117" s="4" t="s">
        <v>3326</v>
      </c>
      <c r="F1117" s="106">
        <f>IF(COUNTIF($A$4:$A1117,$A1117)=1,1,0)</f>
        <v>0</v>
      </c>
      <c r="G1117" s="106" cm="1">
        <f t="array" ref="G1117">IF($F1117=1,IF(SUMPRODUCT(--ISNUMBER(SEARCH(","&amp;$A1117&amp;",",'Parts list'!$Z$4:$Z$185)))&gt;0,1,0),0)</f>
        <v>0</v>
      </c>
    </row>
    <row r="1118" spans="1:7" x14ac:dyDescent="0.2">
      <c r="A1118" s="1" t="s">
        <v>433</v>
      </c>
      <c r="B1118" s="104">
        <v>30</v>
      </c>
      <c r="C1118" s="104" t="s">
        <v>2168</v>
      </c>
      <c r="D1118" s="1" t="s">
        <v>2168</v>
      </c>
      <c r="E1118" s="4"/>
      <c r="F1118" s="106">
        <f>IF(COUNTIF($A$4:$A1118,$A1118)=1,1,0)</f>
        <v>0</v>
      </c>
      <c r="G1118" s="106" cm="1">
        <f t="array" ref="G1118">IF($F1118=1,IF(SUMPRODUCT(--ISNUMBER(SEARCH(","&amp;$A1118&amp;",",'Parts list'!$Z$4:$Z$185)))&gt;0,1,0),0)</f>
        <v>0</v>
      </c>
    </row>
    <row r="1119" spans="1:7" x14ac:dyDescent="0.2">
      <c r="A1119" s="1" t="s">
        <v>433</v>
      </c>
      <c r="B1119" s="104">
        <v>31</v>
      </c>
      <c r="C1119" s="104" t="s">
        <v>3365</v>
      </c>
      <c r="D1119" s="1" t="s">
        <v>2469</v>
      </c>
      <c r="E1119" s="4" t="s">
        <v>3326</v>
      </c>
      <c r="F1119" s="106">
        <f>IF(COUNTIF($A$4:$A1119,$A1119)=1,1,0)</f>
        <v>0</v>
      </c>
      <c r="G1119" s="106" cm="1">
        <f t="array" ref="G1119">IF($F1119=1,IF(SUMPRODUCT(--ISNUMBER(SEARCH(","&amp;$A1119&amp;",",'Parts list'!$Z$4:$Z$185)))&gt;0,1,0),0)</f>
        <v>0</v>
      </c>
    </row>
    <row r="1120" spans="1:7" x14ac:dyDescent="0.2">
      <c r="A1120" s="1" t="s">
        <v>433</v>
      </c>
      <c r="B1120" s="104">
        <v>32</v>
      </c>
      <c r="C1120" s="104" t="s">
        <v>3347</v>
      </c>
      <c r="D1120" s="1" t="s">
        <v>2202</v>
      </c>
      <c r="E1120" s="4" t="s">
        <v>3366</v>
      </c>
      <c r="F1120" s="106">
        <f>IF(COUNTIF($A$4:$A1120,$A1120)=1,1,0)</f>
        <v>0</v>
      </c>
      <c r="G1120" s="106" cm="1">
        <f t="array" ref="G1120">IF($F1120=1,IF(SUMPRODUCT(--ISNUMBER(SEARCH(","&amp;$A1120&amp;",",'Parts list'!$Z$4:$Z$185)))&gt;0,1,0),0)</f>
        <v>0</v>
      </c>
    </row>
    <row r="1121" spans="1:7" x14ac:dyDescent="0.2">
      <c r="A1121" s="1" t="s">
        <v>433</v>
      </c>
      <c r="B1121" s="104" t="s">
        <v>2580</v>
      </c>
      <c r="C1121" s="104" t="s">
        <v>3367</v>
      </c>
      <c r="D1121" s="1" t="s">
        <v>2168</v>
      </c>
      <c r="E1121" s="4" t="s">
        <v>3368</v>
      </c>
      <c r="F1121" s="106">
        <f>IF(COUNTIF($A$4:$A1121,$A1121)=1,1,0)</f>
        <v>0</v>
      </c>
      <c r="G1121" s="106" cm="1">
        <f t="array" ref="G1121">IF($F1121=1,IF(SUMPRODUCT(--ISNUMBER(SEARCH(","&amp;$A1121&amp;",",'Parts list'!$Z$4:$Z$185)))&gt;0,1,0),0)</f>
        <v>0</v>
      </c>
    </row>
    <row r="1122" spans="1:7" x14ac:dyDescent="0.2">
      <c r="A1122" s="1" t="s">
        <v>444</v>
      </c>
      <c r="B1122" s="104">
        <v>1</v>
      </c>
      <c r="C1122" s="104" t="s">
        <v>3369</v>
      </c>
      <c r="D1122" s="1" t="s">
        <v>2735</v>
      </c>
      <c r="E1122" s="4" t="s">
        <v>3370</v>
      </c>
      <c r="F1122" s="106">
        <f>IF(COUNTIF($A$4:$A1122,$A1122)=1,1,0)</f>
        <v>1</v>
      </c>
      <c r="G1122" s="106" cm="1">
        <f t="array" ref="G1122">IF($F1122=1,IF(SUMPRODUCT(--ISNUMBER(SEARCH(","&amp;$A1122&amp;",",'Parts list'!$Z$4:$Z$185)))&gt;0,1,0),0)</f>
        <v>1</v>
      </c>
    </row>
    <row r="1123" spans="1:7" x14ac:dyDescent="0.2">
      <c r="A1123" s="1" t="s">
        <v>444</v>
      </c>
      <c r="B1123" s="104">
        <v>2</v>
      </c>
      <c r="C1123" s="104" t="s">
        <v>2168</v>
      </c>
      <c r="D1123" s="1" t="s">
        <v>2168</v>
      </c>
      <c r="E1123" s="4"/>
      <c r="F1123" s="106">
        <f>IF(COUNTIF($A$4:$A1123,$A1123)=1,1,0)</f>
        <v>0</v>
      </c>
      <c r="G1123" s="106" cm="1">
        <f t="array" ref="G1123">IF($F1123=1,IF(SUMPRODUCT(--ISNUMBER(SEARCH(","&amp;$A1123&amp;",",'Parts list'!$Z$4:$Z$185)))&gt;0,1,0),0)</f>
        <v>0</v>
      </c>
    </row>
    <row r="1124" spans="1:7" x14ac:dyDescent="0.2">
      <c r="A1124" s="1" t="s">
        <v>444</v>
      </c>
      <c r="B1124" s="104">
        <v>3</v>
      </c>
      <c r="C1124" s="104" t="s">
        <v>3371</v>
      </c>
      <c r="D1124" s="1" t="s">
        <v>2731</v>
      </c>
      <c r="E1124" s="4" t="s">
        <v>3372</v>
      </c>
      <c r="F1124" s="106">
        <f>IF(COUNTIF($A$4:$A1124,$A1124)=1,1,0)</f>
        <v>0</v>
      </c>
      <c r="G1124" s="106" cm="1">
        <f t="array" ref="G1124">IF($F1124=1,IF(SUMPRODUCT(--ISNUMBER(SEARCH(","&amp;$A1124&amp;",",'Parts list'!$Z$4:$Z$185)))&gt;0,1,0),0)</f>
        <v>0</v>
      </c>
    </row>
    <row r="1125" spans="1:7" x14ac:dyDescent="0.2">
      <c r="A1125" s="1" t="s">
        <v>444</v>
      </c>
      <c r="B1125" s="104">
        <v>4</v>
      </c>
      <c r="C1125" s="104" t="s">
        <v>3373</v>
      </c>
      <c r="D1125" s="1" t="s">
        <v>2743</v>
      </c>
      <c r="E1125" s="4" t="s">
        <v>3374</v>
      </c>
      <c r="F1125" s="106">
        <f>IF(COUNTIF($A$4:$A1125,$A1125)=1,1,0)</f>
        <v>0</v>
      </c>
      <c r="G1125" s="106" cm="1">
        <f t="array" ref="G1125">IF($F1125=1,IF(SUMPRODUCT(--ISNUMBER(SEARCH(","&amp;$A1125&amp;",",'Parts list'!$Z$4:$Z$185)))&gt;0,1,0),0)</f>
        <v>0</v>
      </c>
    </row>
    <row r="1126" spans="1:7" x14ac:dyDescent="0.2">
      <c r="A1126" s="1" t="s">
        <v>444</v>
      </c>
      <c r="B1126" s="104">
        <v>5</v>
      </c>
      <c r="C1126" s="104" t="s">
        <v>3375</v>
      </c>
      <c r="D1126" s="1" t="s">
        <v>2208</v>
      </c>
      <c r="E1126" s="4" t="s">
        <v>3376</v>
      </c>
      <c r="F1126" s="106">
        <f>IF(COUNTIF($A$4:$A1126,$A1126)=1,1,0)</f>
        <v>0</v>
      </c>
      <c r="G1126" s="106" cm="1">
        <f t="array" ref="G1126">IF($F1126=1,IF(SUMPRODUCT(--ISNUMBER(SEARCH(","&amp;$A1126&amp;",",'Parts list'!$Z$4:$Z$185)))&gt;0,1,0),0)</f>
        <v>0</v>
      </c>
    </row>
    <row r="1127" spans="1:7" x14ac:dyDescent="0.2">
      <c r="A1127" s="1" t="s">
        <v>444</v>
      </c>
      <c r="B1127" s="104">
        <v>6</v>
      </c>
      <c r="C1127" s="104" t="s">
        <v>2624</v>
      </c>
      <c r="D1127" s="1" t="s">
        <v>2740</v>
      </c>
      <c r="E1127" s="4" t="s">
        <v>3377</v>
      </c>
      <c r="F1127" s="106">
        <f>IF(COUNTIF($A$4:$A1127,$A1127)=1,1,0)</f>
        <v>0</v>
      </c>
      <c r="G1127" s="106" cm="1">
        <f t="array" ref="G1127">IF($F1127=1,IF(SUMPRODUCT(--ISNUMBER(SEARCH(","&amp;$A1127&amp;",",'Parts list'!$Z$4:$Z$185)))&gt;0,1,0),0)</f>
        <v>0</v>
      </c>
    </row>
    <row r="1128" spans="1:7" x14ac:dyDescent="0.2">
      <c r="A1128" s="1" t="s">
        <v>455</v>
      </c>
      <c r="B1128" s="104">
        <v>1</v>
      </c>
      <c r="C1128" s="104" t="s">
        <v>2466</v>
      </c>
      <c r="D1128" s="1" t="s">
        <v>2751</v>
      </c>
      <c r="E1128" s="4" t="s">
        <v>3378</v>
      </c>
      <c r="F1128" s="106">
        <f>IF(COUNTIF($A$4:$A1128,$A1128)=1,1,0)</f>
        <v>1</v>
      </c>
      <c r="G1128" s="106" cm="1">
        <f t="array" ref="G1128">IF($F1128=1,IF(SUMPRODUCT(--ISNUMBER(SEARCH(","&amp;$A1128&amp;",",'Parts list'!$Z$4:$Z$185)))&gt;0,1,0),0)</f>
        <v>1</v>
      </c>
    </row>
    <row r="1129" spans="1:7" x14ac:dyDescent="0.2">
      <c r="A1129" s="1" t="s">
        <v>455</v>
      </c>
      <c r="B1129" s="104">
        <v>2</v>
      </c>
      <c r="C1129" s="104" t="s">
        <v>2168</v>
      </c>
      <c r="D1129" s="1" t="s">
        <v>2168</v>
      </c>
      <c r="E1129" s="4"/>
      <c r="F1129" s="106">
        <f>IF(COUNTIF($A$4:$A1129,$A1129)=1,1,0)</f>
        <v>0</v>
      </c>
      <c r="G1129" s="106" cm="1">
        <f t="array" ref="G1129">IF($F1129=1,IF(SUMPRODUCT(--ISNUMBER(SEARCH(","&amp;$A1129&amp;",",'Parts list'!$Z$4:$Z$185)))&gt;0,1,0),0)</f>
        <v>0</v>
      </c>
    </row>
    <row r="1130" spans="1:7" x14ac:dyDescent="0.2">
      <c r="A1130" s="1" t="s">
        <v>455</v>
      </c>
      <c r="B1130" s="104">
        <v>3</v>
      </c>
      <c r="C1130" s="104" t="s">
        <v>2645</v>
      </c>
      <c r="D1130" s="1" t="s">
        <v>2673</v>
      </c>
      <c r="E1130" s="4" t="s">
        <v>3379</v>
      </c>
      <c r="F1130" s="106">
        <f>IF(COUNTIF($A$4:$A1130,$A1130)=1,1,0)</f>
        <v>0</v>
      </c>
      <c r="G1130" s="106" cm="1">
        <f t="array" ref="G1130">IF($F1130=1,IF(SUMPRODUCT(--ISNUMBER(SEARCH(","&amp;$A1130&amp;",",'Parts list'!$Z$4:$Z$185)))&gt;0,1,0),0)</f>
        <v>0</v>
      </c>
    </row>
    <row r="1131" spans="1:7" ht="27.75" customHeight="1" x14ac:dyDescent="0.2">
      <c r="A1131" s="1" t="s">
        <v>455</v>
      </c>
      <c r="B1131" s="104">
        <v>4</v>
      </c>
      <c r="C1131" s="104" t="s">
        <v>3373</v>
      </c>
      <c r="D1131" s="1" t="s">
        <v>2780</v>
      </c>
      <c r="E1131" s="4" t="s">
        <v>3380</v>
      </c>
      <c r="F1131" s="106">
        <f>IF(COUNTIF($A$4:$A1131,$A1131)=1,1,0)</f>
        <v>0</v>
      </c>
      <c r="G1131" s="106" cm="1">
        <f t="array" ref="G1131">IF($F1131=1,IF(SUMPRODUCT(--ISNUMBER(SEARCH(","&amp;$A1131&amp;",",'Parts list'!$Z$4:$Z$185)))&gt;0,1,0),0)</f>
        <v>0</v>
      </c>
    </row>
    <row r="1132" spans="1:7" x14ac:dyDescent="0.2">
      <c r="A1132" s="1" t="s">
        <v>455</v>
      </c>
      <c r="B1132" s="104">
        <v>5</v>
      </c>
      <c r="C1132" s="104" t="s">
        <v>3375</v>
      </c>
      <c r="D1132" s="1" t="s">
        <v>2208</v>
      </c>
      <c r="E1132" s="4" t="s">
        <v>3381</v>
      </c>
      <c r="F1132" s="106">
        <f>IF(COUNTIF($A$4:$A1132,$A1132)=1,1,0)</f>
        <v>0</v>
      </c>
      <c r="G1132" s="106" cm="1">
        <f t="array" ref="G1132">IF($F1132=1,IF(SUMPRODUCT(--ISNUMBER(SEARCH(","&amp;$A1132&amp;",",'Parts list'!$Z$4:$Z$185)))&gt;0,1,0),0)</f>
        <v>0</v>
      </c>
    </row>
    <row r="1133" spans="1:7" x14ac:dyDescent="0.2">
      <c r="A1133" s="1" t="s">
        <v>455</v>
      </c>
      <c r="B1133" s="104">
        <v>6</v>
      </c>
      <c r="C1133" s="104" t="s">
        <v>2649</v>
      </c>
      <c r="D1133" s="1" t="s">
        <v>2777</v>
      </c>
      <c r="E1133" s="4" t="s">
        <v>3382</v>
      </c>
      <c r="F1133" s="106">
        <f>IF(COUNTIF($A$4:$A1133,$A1133)=1,1,0)</f>
        <v>0</v>
      </c>
      <c r="G1133" s="106" cm="1">
        <f t="array" ref="G1133">IF($F1133=1,IF(SUMPRODUCT(--ISNUMBER(SEARCH(","&amp;$A1133&amp;",",'Parts list'!$Z$4:$Z$185)))&gt;0,1,0),0)</f>
        <v>0</v>
      </c>
    </row>
    <row r="1134" spans="1:7" x14ac:dyDescent="0.2">
      <c r="A1134" s="1" t="s">
        <v>465</v>
      </c>
      <c r="B1134" s="104">
        <v>1</v>
      </c>
      <c r="C1134" s="104" t="s">
        <v>3383</v>
      </c>
      <c r="D1134" s="1" t="s">
        <v>2756</v>
      </c>
      <c r="E1134" s="4" t="s">
        <v>3384</v>
      </c>
      <c r="F1134" s="106">
        <f>IF(COUNTIF($A$4:$A1134,$A1134)=1,1,0)</f>
        <v>1</v>
      </c>
      <c r="G1134" s="106" cm="1">
        <f t="array" ref="G1134">IF($F1134=1,IF(SUMPRODUCT(--ISNUMBER(SEARCH(","&amp;$A1134&amp;",",'Parts list'!$Z$4:$Z$185)))&gt;0,1,0),0)</f>
        <v>1</v>
      </c>
    </row>
    <row r="1135" spans="1:7" x14ac:dyDescent="0.2">
      <c r="A1135" s="1" t="s">
        <v>465</v>
      </c>
      <c r="B1135" s="104">
        <v>2</v>
      </c>
      <c r="C1135" s="104" t="s">
        <v>3385</v>
      </c>
      <c r="D1135" s="1" t="s">
        <v>3338</v>
      </c>
      <c r="E1135" s="4" t="s">
        <v>3386</v>
      </c>
      <c r="F1135" s="106">
        <f>IF(COUNTIF($A$4:$A1135,$A1135)=1,1,0)</f>
        <v>0</v>
      </c>
      <c r="G1135" s="106" cm="1">
        <f t="array" ref="G1135">IF($F1135=1,IF(SUMPRODUCT(--ISNUMBER(SEARCH(","&amp;$A1135&amp;",",'Parts list'!$Z$4:$Z$185)))&gt;0,1,0),0)</f>
        <v>0</v>
      </c>
    </row>
    <row r="1136" spans="1:7" x14ac:dyDescent="0.2">
      <c r="A1136" s="1" t="s">
        <v>465</v>
      </c>
      <c r="B1136" s="104">
        <v>3</v>
      </c>
      <c r="C1136" s="104" t="s">
        <v>3387</v>
      </c>
      <c r="D1136" s="1" t="s">
        <v>2760</v>
      </c>
      <c r="E1136" s="4" t="s">
        <v>3388</v>
      </c>
      <c r="F1136" s="106">
        <f>IF(COUNTIF($A$4:$A1136,$A1136)=1,1,0)</f>
        <v>0</v>
      </c>
      <c r="G1136" s="106" cm="1">
        <f t="array" ref="G1136">IF($F1136=1,IF(SUMPRODUCT(--ISNUMBER(SEARCH(","&amp;$A1136&amp;",",'Parts list'!$Z$4:$Z$185)))&gt;0,1,0),0)</f>
        <v>0</v>
      </c>
    </row>
    <row r="1137" spans="1:7" x14ac:dyDescent="0.2">
      <c r="A1137" s="1" t="s">
        <v>465</v>
      </c>
      <c r="B1137" s="104">
        <v>4</v>
      </c>
      <c r="C1137" s="104" t="s">
        <v>2168</v>
      </c>
      <c r="D1137" s="1" t="s">
        <v>2168</v>
      </c>
      <c r="E1137" s="4"/>
      <c r="F1137" s="106">
        <f>IF(COUNTIF($A$4:$A1137,$A1137)=1,1,0)</f>
        <v>0</v>
      </c>
      <c r="G1137" s="106" cm="1">
        <f t="array" ref="G1137">IF($F1137=1,IF(SUMPRODUCT(--ISNUMBER(SEARCH(","&amp;$A1137&amp;",",'Parts list'!$Z$4:$Z$185)))&gt;0,1,0),0)</f>
        <v>0</v>
      </c>
    </row>
    <row r="1138" spans="1:7" x14ac:dyDescent="0.2">
      <c r="A1138" s="1" t="s">
        <v>465</v>
      </c>
      <c r="B1138" s="104">
        <v>5</v>
      </c>
      <c r="C1138" s="104" t="s">
        <v>3389</v>
      </c>
      <c r="D1138" s="1" t="s">
        <v>3335</v>
      </c>
      <c r="E1138" s="4" t="s">
        <v>3390</v>
      </c>
      <c r="F1138" s="106">
        <f>IF(COUNTIF($A$4:$A1138,$A1138)=1,1,0)</f>
        <v>0</v>
      </c>
      <c r="G1138" s="106" cm="1">
        <f t="array" ref="G1138">IF($F1138=1,IF(SUMPRODUCT(--ISNUMBER(SEARCH(","&amp;$A1138&amp;",",'Parts list'!$Z$4:$Z$185)))&gt;0,1,0),0)</f>
        <v>0</v>
      </c>
    </row>
    <row r="1139" spans="1:7" x14ac:dyDescent="0.2">
      <c r="A1139" s="1" t="s">
        <v>465</v>
      </c>
      <c r="B1139" s="104">
        <v>6</v>
      </c>
      <c r="C1139" s="104" t="s">
        <v>3391</v>
      </c>
      <c r="D1139" s="1" t="s">
        <v>3228</v>
      </c>
      <c r="E1139" s="4" t="s">
        <v>3392</v>
      </c>
      <c r="F1139" s="106">
        <f>IF(COUNTIF($A$4:$A1139,$A1139)=1,1,0)</f>
        <v>0</v>
      </c>
      <c r="G1139" s="106" cm="1">
        <f t="array" ref="G1139">IF($F1139=1,IF(SUMPRODUCT(--ISNUMBER(SEARCH(","&amp;$A1139&amp;",",'Parts list'!$Z$4:$Z$185)))&gt;0,1,0),0)</f>
        <v>0</v>
      </c>
    </row>
    <row r="1140" spans="1:7" x14ac:dyDescent="0.2">
      <c r="A1140" s="1" t="s">
        <v>465</v>
      </c>
      <c r="B1140" s="104">
        <v>7</v>
      </c>
      <c r="C1140" s="104" t="s">
        <v>3393</v>
      </c>
      <c r="D1140" s="1" t="s">
        <v>3332</v>
      </c>
      <c r="E1140" s="4" t="s">
        <v>3394</v>
      </c>
      <c r="F1140" s="106">
        <f>IF(COUNTIF($A$4:$A1140,$A1140)=1,1,0)</f>
        <v>0</v>
      </c>
      <c r="G1140" s="106" cm="1">
        <f t="array" ref="G1140">IF($F1140=1,IF(SUMPRODUCT(--ISNUMBER(SEARCH(","&amp;$A1140&amp;",",'Parts list'!$Z$4:$Z$185)))&gt;0,1,0),0)</f>
        <v>0</v>
      </c>
    </row>
    <row r="1141" spans="1:7" x14ac:dyDescent="0.2">
      <c r="A1141" s="1" t="s">
        <v>465</v>
      </c>
      <c r="B1141" s="104">
        <v>8</v>
      </c>
      <c r="C1141" s="104" t="s">
        <v>3375</v>
      </c>
      <c r="D1141" s="1" t="s">
        <v>2208</v>
      </c>
      <c r="E1141" s="4" t="s">
        <v>3395</v>
      </c>
      <c r="F1141" s="106">
        <f>IF(COUNTIF($A$4:$A1141,$A1141)=1,1,0)</f>
        <v>0</v>
      </c>
      <c r="G1141" s="106" cm="1">
        <f t="array" ref="G1141">IF($F1141=1,IF(SUMPRODUCT(--ISNUMBER(SEARCH(","&amp;$A1141&amp;",",'Parts list'!$Z$4:$Z$185)))&gt;0,1,0),0)</f>
        <v>0</v>
      </c>
    </row>
    <row r="1142" spans="1:7" x14ac:dyDescent="0.2">
      <c r="A1142" s="1" t="s">
        <v>588</v>
      </c>
      <c r="B1142" s="104">
        <v>1</v>
      </c>
      <c r="C1142" s="104" t="s">
        <v>3396</v>
      </c>
      <c r="D1142" s="1" t="s">
        <v>2168</v>
      </c>
      <c r="E1142" s="4"/>
      <c r="F1142" s="106">
        <f>IF(COUNTIF($A$4:$A1142,$A1142)=1,1,0)</f>
        <v>1</v>
      </c>
      <c r="G1142" s="106" cm="1">
        <f t="array" ref="G1142">IF($F1142=1,IF(SUMPRODUCT(--ISNUMBER(SEARCH(","&amp;$A1142&amp;",",'Parts list'!$Z$4:$Z$185)))&gt;0,1,0),0)</f>
        <v>1</v>
      </c>
    </row>
    <row r="1143" spans="1:7" x14ac:dyDescent="0.2">
      <c r="A1143" s="1" t="s">
        <v>588</v>
      </c>
      <c r="B1143" s="104">
        <v>2</v>
      </c>
      <c r="C1143" s="104" t="s">
        <v>2605</v>
      </c>
      <c r="D1143" s="1" t="s">
        <v>2168</v>
      </c>
      <c r="E1143" s="4" t="s">
        <v>3397</v>
      </c>
      <c r="F1143" s="106">
        <f>IF(COUNTIF($A$4:$A1143,$A1143)=1,1,0)</f>
        <v>0</v>
      </c>
      <c r="G1143" s="106" cm="1">
        <f t="array" ref="G1143">IF($F1143=1,IF(SUMPRODUCT(--ISNUMBER(SEARCH(","&amp;$A1143&amp;",",'Parts list'!$Z$4:$Z$185)))&gt;0,1,0),0)</f>
        <v>0</v>
      </c>
    </row>
    <row r="1144" spans="1:7" x14ac:dyDescent="0.2">
      <c r="A1144" s="1" t="s">
        <v>588</v>
      </c>
      <c r="B1144" s="104">
        <v>3</v>
      </c>
      <c r="C1144" s="104" t="s">
        <v>3398</v>
      </c>
      <c r="D1144" s="1" t="s">
        <v>2724</v>
      </c>
      <c r="E1144" s="4" t="s">
        <v>3399</v>
      </c>
      <c r="F1144" s="106">
        <f>IF(COUNTIF($A$4:$A1144,$A1144)=1,1,0)</f>
        <v>0</v>
      </c>
      <c r="G1144" s="106" cm="1">
        <f t="array" ref="G1144">IF($F1144=1,IF(SUMPRODUCT(--ISNUMBER(SEARCH(","&amp;$A1144&amp;",",'Parts list'!$Z$4:$Z$185)))&gt;0,1,0),0)</f>
        <v>0</v>
      </c>
    </row>
    <row r="1145" spans="1:7" x14ac:dyDescent="0.2">
      <c r="A1145" s="1" t="s">
        <v>588</v>
      </c>
      <c r="B1145" s="104">
        <v>4</v>
      </c>
      <c r="C1145" s="104" t="s">
        <v>3400</v>
      </c>
      <c r="D1145" s="1" t="s">
        <v>2727</v>
      </c>
      <c r="E1145" s="4" t="s">
        <v>3401</v>
      </c>
      <c r="F1145" s="106">
        <f>IF(COUNTIF($A$4:$A1145,$A1145)=1,1,0)</f>
        <v>0</v>
      </c>
      <c r="G1145" s="106" cm="1">
        <f t="array" ref="G1145">IF($F1145=1,IF(SUMPRODUCT(--ISNUMBER(SEARCH(","&amp;$A1145&amp;",",'Parts list'!$Z$4:$Z$185)))&gt;0,1,0),0)</f>
        <v>0</v>
      </c>
    </row>
    <row r="1146" spans="1:7" x14ac:dyDescent="0.2">
      <c r="A1146" s="1" t="s">
        <v>588</v>
      </c>
      <c r="B1146" s="104">
        <v>5</v>
      </c>
      <c r="C1146" s="104" t="s">
        <v>3402</v>
      </c>
      <c r="D1146" s="1" t="s">
        <v>2168</v>
      </c>
      <c r="E1146" s="4" t="s">
        <v>3403</v>
      </c>
      <c r="F1146" s="106">
        <f>IF(COUNTIF($A$4:$A1146,$A1146)=1,1,0)</f>
        <v>0</v>
      </c>
      <c r="G1146" s="106" cm="1">
        <f t="array" ref="G1146">IF($F1146=1,IF(SUMPRODUCT(--ISNUMBER(SEARCH(","&amp;$A1146&amp;",",'Parts list'!$Z$4:$Z$185)))&gt;0,1,0),0)</f>
        <v>0</v>
      </c>
    </row>
    <row r="1147" spans="1:7" x14ac:dyDescent="0.2">
      <c r="A1147" s="1" t="s">
        <v>588</v>
      </c>
      <c r="B1147" s="104">
        <v>6</v>
      </c>
      <c r="C1147" s="104" t="s">
        <v>3404</v>
      </c>
      <c r="D1147" s="1" t="s">
        <v>2469</v>
      </c>
      <c r="E1147" s="4" t="s">
        <v>3405</v>
      </c>
      <c r="F1147" s="106">
        <f>IF(COUNTIF($A$4:$A1147,$A1147)=1,1,0)</f>
        <v>0</v>
      </c>
      <c r="G1147" s="106" cm="1">
        <f t="array" ref="G1147">IF($F1147=1,IF(SUMPRODUCT(--ISNUMBER(SEARCH(","&amp;$A1147&amp;",",'Parts list'!$Z$4:$Z$185)))&gt;0,1,0),0)</f>
        <v>0</v>
      </c>
    </row>
    <row r="1148" spans="1:7" ht="15" customHeight="1" x14ac:dyDescent="0.2">
      <c r="A1148" s="1" t="s">
        <v>588</v>
      </c>
      <c r="B1148" s="104">
        <v>7</v>
      </c>
      <c r="C1148" s="104" t="s">
        <v>3406</v>
      </c>
      <c r="D1148" s="1" t="s">
        <v>2713</v>
      </c>
      <c r="E1148" s="4" t="s">
        <v>3407</v>
      </c>
      <c r="F1148" s="106">
        <f>IF(COUNTIF($A$4:$A1148,$A1148)=1,1,0)</f>
        <v>0</v>
      </c>
      <c r="G1148" s="106" cm="1">
        <f t="array" ref="G1148">IF($F1148=1,IF(SUMPRODUCT(--ISNUMBER(SEARCH(","&amp;$A1148&amp;",",'Parts list'!$Z$4:$Z$185)))&gt;0,1,0),0)</f>
        <v>0</v>
      </c>
    </row>
    <row r="1149" spans="1:7" x14ac:dyDescent="0.2">
      <c r="A1149" s="1" t="s">
        <v>588</v>
      </c>
      <c r="B1149" s="104">
        <v>8</v>
      </c>
      <c r="C1149" s="104" t="s">
        <v>3408</v>
      </c>
      <c r="D1149" s="1" t="s">
        <v>2168</v>
      </c>
      <c r="E1149" s="4"/>
      <c r="F1149" s="106">
        <f>IF(COUNTIF($A$4:$A1149,$A1149)=1,1,0)</f>
        <v>0</v>
      </c>
      <c r="G1149" s="106" cm="1">
        <f t="array" ref="G1149">IF($F1149=1,IF(SUMPRODUCT(--ISNUMBER(SEARCH(","&amp;$A1149&amp;",",'Parts list'!$Z$4:$Z$185)))&gt;0,1,0),0)</f>
        <v>0</v>
      </c>
    </row>
    <row r="1150" spans="1:7" x14ac:dyDescent="0.2">
      <c r="A1150" s="1" t="s">
        <v>588</v>
      </c>
      <c r="B1150" s="104">
        <v>9</v>
      </c>
      <c r="C1150" s="104" t="s">
        <v>2285</v>
      </c>
      <c r="D1150" s="1" t="s">
        <v>2285</v>
      </c>
      <c r="E1150" s="4" t="s">
        <v>3409</v>
      </c>
      <c r="F1150" s="106">
        <f>IF(COUNTIF($A$4:$A1150,$A1150)=1,1,0)</f>
        <v>0</v>
      </c>
      <c r="G1150" s="106" cm="1">
        <f t="array" ref="G1150">IF($F1150=1,IF(SUMPRODUCT(--ISNUMBER(SEARCH(","&amp;$A1150&amp;",",'Parts list'!$Z$4:$Z$185)))&gt;0,1,0),0)</f>
        <v>0</v>
      </c>
    </row>
    <row r="1151" spans="1:7" x14ac:dyDescent="0.2">
      <c r="A1151" s="1" t="s">
        <v>588</v>
      </c>
      <c r="B1151" s="104">
        <v>10</v>
      </c>
      <c r="C1151" s="104" t="s">
        <v>2288</v>
      </c>
      <c r="D1151" s="1" t="s">
        <v>2288</v>
      </c>
      <c r="E1151" s="4" t="s">
        <v>3410</v>
      </c>
      <c r="F1151" s="106">
        <f>IF(COUNTIF($A$4:$A1151,$A1151)=1,1,0)</f>
        <v>0</v>
      </c>
      <c r="G1151" s="106" cm="1">
        <f t="array" ref="G1151">IF($F1151=1,IF(SUMPRODUCT(--ISNUMBER(SEARCH(","&amp;$A1151&amp;",",'Parts list'!$Z$4:$Z$185)))&gt;0,1,0),0)</f>
        <v>0</v>
      </c>
    </row>
    <row r="1152" spans="1:7" x14ac:dyDescent="0.2">
      <c r="A1152" s="1" t="s">
        <v>588</v>
      </c>
      <c r="B1152" s="104">
        <v>11</v>
      </c>
      <c r="C1152" s="104" t="s">
        <v>3411</v>
      </c>
      <c r="D1152" s="1" t="s">
        <v>2168</v>
      </c>
      <c r="E1152" s="4"/>
      <c r="F1152" s="106">
        <f>IF(COUNTIF($A$4:$A1152,$A1152)=1,1,0)</f>
        <v>0</v>
      </c>
      <c r="G1152" s="106" cm="1">
        <f t="array" ref="G1152">IF($F1152=1,IF(SUMPRODUCT(--ISNUMBER(SEARCH(","&amp;$A1152&amp;",",'Parts list'!$Z$4:$Z$185)))&gt;0,1,0),0)</f>
        <v>0</v>
      </c>
    </row>
    <row r="1153" spans="1:7" x14ac:dyDescent="0.2">
      <c r="A1153" s="1" t="s">
        <v>588</v>
      </c>
      <c r="B1153" s="104">
        <v>12</v>
      </c>
      <c r="C1153" s="104" t="s">
        <v>3412</v>
      </c>
      <c r="D1153" s="1" t="s">
        <v>2168</v>
      </c>
      <c r="E1153" s="4"/>
      <c r="F1153" s="106">
        <f>IF(COUNTIF($A$4:$A1153,$A1153)=1,1,0)</f>
        <v>0</v>
      </c>
      <c r="G1153" s="106" cm="1">
        <f t="array" ref="G1153">IF($F1153=1,IF(SUMPRODUCT(--ISNUMBER(SEARCH(","&amp;$A1153&amp;",",'Parts list'!$Z$4:$Z$185)))&gt;0,1,0),0)</f>
        <v>0</v>
      </c>
    </row>
    <row r="1154" spans="1:7" x14ac:dyDescent="0.2">
      <c r="A1154" s="1" t="s">
        <v>588</v>
      </c>
      <c r="B1154" s="104">
        <v>13</v>
      </c>
      <c r="C1154" s="104" t="s">
        <v>2278</v>
      </c>
      <c r="D1154" s="1" t="s">
        <v>2278</v>
      </c>
      <c r="E1154" s="4" t="s">
        <v>3413</v>
      </c>
      <c r="F1154" s="106">
        <f>IF(COUNTIF($A$4:$A1154,$A1154)=1,1,0)</f>
        <v>0</v>
      </c>
      <c r="G1154" s="106" cm="1">
        <f t="array" ref="G1154">IF($F1154=1,IF(SUMPRODUCT(--ISNUMBER(SEARCH(","&amp;$A1154&amp;",",'Parts list'!$Z$4:$Z$185)))&gt;0,1,0),0)</f>
        <v>0</v>
      </c>
    </row>
    <row r="1155" spans="1:7" x14ac:dyDescent="0.2">
      <c r="A1155" s="1" t="s">
        <v>588</v>
      </c>
      <c r="B1155" s="104">
        <v>14</v>
      </c>
      <c r="C1155" s="104" t="s">
        <v>2282</v>
      </c>
      <c r="D1155" s="1" t="s">
        <v>2282</v>
      </c>
      <c r="E1155" s="4" t="s">
        <v>3414</v>
      </c>
      <c r="F1155" s="106">
        <f>IF(COUNTIF($A$4:$A1155,$A1155)=1,1,0)</f>
        <v>0</v>
      </c>
      <c r="G1155" s="106" cm="1">
        <f t="array" ref="G1155">IF($F1155=1,IF(SUMPRODUCT(--ISNUMBER(SEARCH(","&amp;$A1155&amp;",",'Parts list'!$Z$4:$Z$185)))&gt;0,1,0),0)</f>
        <v>0</v>
      </c>
    </row>
    <row r="1156" spans="1:7" x14ac:dyDescent="0.2">
      <c r="A1156" s="1" t="s">
        <v>588</v>
      </c>
      <c r="B1156" s="104">
        <v>15</v>
      </c>
      <c r="C1156" s="104" t="s">
        <v>2223</v>
      </c>
      <c r="D1156" s="1" t="s">
        <v>2223</v>
      </c>
      <c r="E1156" s="4" t="s">
        <v>3415</v>
      </c>
      <c r="F1156" s="106">
        <f>IF(COUNTIF($A$4:$A1156,$A1156)=1,1,0)</f>
        <v>0</v>
      </c>
      <c r="G1156" s="106" cm="1">
        <f t="array" ref="G1156">IF($F1156=1,IF(SUMPRODUCT(--ISNUMBER(SEARCH(","&amp;$A1156&amp;",",'Parts list'!$Z$4:$Z$185)))&gt;0,1,0),0)</f>
        <v>0</v>
      </c>
    </row>
    <row r="1157" spans="1:7" x14ac:dyDescent="0.2">
      <c r="A1157" s="1" t="s">
        <v>588</v>
      </c>
      <c r="B1157" s="104">
        <v>16</v>
      </c>
      <c r="C1157" s="104" t="s">
        <v>2225</v>
      </c>
      <c r="D1157" s="1" t="s">
        <v>2225</v>
      </c>
      <c r="E1157" s="4" t="s">
        <v>3416</v>
      </c>
      <c r="F1157" s="106">
        <f>IF(COUNTIF($A$4:$A1157,$A1157)=1,1,0)</f>
        <v>0</v>
      </c>
      <c r="G1157" s="106" cm="1">
        <f t="array" ref="G1157">IF($F1157=1,IF(SUMPRODUCT(--ISNUMBER(SEARCH(","&amp;$A1157&amp;",",'Parts list'!$Z$4:$Z$185)))&gt;0,1,0),0)</f>
        <v>0</v>
      </c>
    </row>
    <row r="1158" spans="1:7" x14ac:dyDescent="0.2">
      <c r="A1158" s="1" t="s">
        <v>588</v>
      </c>
      <c r="B1158" s="104">
        <v>17</v>
      </c>
      <c r="C1158" s="104" t="s">
        <v>2231</v>
      </c>
      <c r="D1158" s="1" t="s">
        <v>2231</v>
      </c>
      <c r="E1158" s="4" t="s">
        <v>3417</v>
      </c>
      <c r="F1158" s="106">
        <f>IF(COUNTIF($A$4:$A1158,$A1158)=1,1,0)</f>
        <v>0</v>
      </c>
      <c r="G1158" s="106" cm="1">
        <f t="array" ref="G1158">IF($F1158=1,IF(SUMPRODUCT(--ISNUMBER(SEARCH(","&amp;$A1158&amp;",",'Parts list'!$Z$4:$Z$185)))&gt;0,1,0),0)</f>
        <v>0</v>
      </c>
    </row>
    <row r="1159" spans="1:7" x14ac:dyDescent="0.2">
      <c r="A1159" s="1" t="s">
        <v>588</v>
      </c>
      <c r="B1159" s="104">
        <v>18</v>
      </c>
      <c r="C1159" s="104" t="s">
        <v>2234</v>
      </c>
      <c r="D1159" s="1" t="s">
        <v>2234</v>
      </c>
      <c r="E1159" s="4" t="s">
        <v>3418</v>
      </c>
      <c r="F1159" s="106">
        <f>IF(COUNTIF($A$4:$A1159,$A1159)=1,1,0)</f>
        <v>0</v>
      </c>
      <c r="G1159" s="106" cm="1">
        <f t="array" ref="G1159">IF($F1159=1,IF(SUMPRODUCT(--ISNUMBER(SEARCH(","&amp;$A1159&amp;",",'Parts list'!$Z$4:$Z$185)))&gt;0,1,0),0)</f>
        <v>0</v>
      </c>
    </row>
    <row r="1160" spans="1:7" x14ac:dyDescent="0.2">
      <c r="A1160" s="1" t="s">
        <v>588</v>
      </c>
      <c r="B1160" s="104">
        <v>19</v>
      </c>
      <c r="C1160" s="104" t="s">
        <v>2605</v>
      </c>
      <c r="D1160" s="1" t="s">
        <v>2168</v>
      </c>
      <c r="E1160" s="4" t="s">
        <v>3419</v>
      </c>
      <c r="F1160" s="106">
        <f>IF(COUNTIF($A$4:$A1160,$A1160)=1,1,0)</f>
        <v>0</v>
      </c>
      <c r="G1160" s="106" cm="1">
        <f t="array" ref="G1160">IF($F1160=1,IF(SUMPRODUCT(--ISNUMBER(SEARCH(","&amp;$A1160&amp;",",'Parts list'!$Z$4:$Z$185)))&gt;0,1,0),0)</f>
        <v>0</v>
      </c>
    </row>
    <row r="1161" spans="1:7" x14ac:dyDescent="0.2">
      <c r="A1161" s="1" t="s">
        <v>588</v>
      </c>
      <c r="B1161" s="104">
        <v>20</v>
      </c>
      <c r="C1161" s="104" t="s">
        <v>3396</v>
      </c>
      <c r="D1161" s="1" t="s">
        <v>2168</v>
      </c>
      <c r="E1161" s="4" t="s">
        <v>3420</v>
      </c>
      <c r="F1161" s="106">
        <f>IF(COUNTIF($A$4:$A1161,$A1161)=1,1,0)</f>
        <v>0</v>
      </c>
      <c r="G1161" s="106" cm="1">
        <f t="array" ref="G1161">IF($F1161=1,IF(SUMPRODUCT(--ISNUMBER(SEARCH(","&amp;$A1161&amp;",",'Parts list'!$Z$4:$Z$185)))&gt;0,1,0),0)</f>
        <v>0</v>
      </c>
    </row>
    <row r="1162" spans="1:7" x14ac:dyDescent="0.2">
      <c r="A1162" s="1" t="s">
        <v>588</v>
      </c>
      <c r="B1162" s="104">
        <v>21</v>
      </c>
      <c r="C1162" s="104" t="s">
        <v>3421</v>
      </c>
      <c r="D1162" s="1" t="s">
        <v>2237</v>
      </c>
      <c r="E1162" s="4" t="s">
        <v>3422</v>
      </c>
      <c r="F1162" s="106">
        <f>IF(COUNTIF($A$4:$A1162,$A1162)=1,1,0)</f>
        <v>0</v>
      </c>
      <c r="G1162" s="106" cm="1">
        <f t="array" ref="G1162">IF($F1162=1,IF(SUMPRODUCT(--ISNUMBER(SEARCH(","&amp;$A1162&amp;",",'Parts list'!$Z$4:$Z$185)))&gt;0,1,0),0)</f>
        <v>0</v>
      </c>
    </row>
    <row r="1163" spans="1:7" x14ac:dyDescent="0.2">
      <c r="A1163" s="1" t="s">
        <v>588</v>
      </c>
      <c r="B1163" s="104">
        <v>22</v>
      </c>
      <c r="C1163" s="104" t="s">
        <v>2605</v>
      </c>
      <c r="D1163" s="1" t="s">
        <v>2168</v>
      </c>
      <c r="E1163" s="4" t="s">
        <v>3419</v>
      </c>
      <c r="F1163" s="106">
        <f>IF(COUNTIF($A$4:$A1163,$A1163)=1,1,0)</f>
        <v>0</v>
      </c>
      <c r="G1163" s="106" cm="1">
        <f t="array" ref="G1163">IF($F1163=1,IF(SUMPRODUCT(--ISNUMBER(SEARCH(","&amp;$A1163&amp;",",'Parts list'!$Z$4:$Z$185)))&gt;0,1,0),0)</f>
        <v>0</v>
      </c>
    </row>
    <row r="1164" spans="1:7" x14ac:dyDescent="0.2">
      <c r="A1164" s="1" t="s">
        <v>588</v>
      </c>
      <c r="B1164" s="104">
        <v>23</v>
      </c>
      <c r="C1164" s="104" t="s">
        <v>3423</v>
      </c>
      <c r="D1164" s="1" t="s">
        <v>3270</v>
      </c>
      <c r="E1164" s="4" t="s">
        <v>3424</v>
      </c>
      <c r="F1164" s="106">
        <f>IF(COUNTIF($A$4:$A1164,$A1164)=1,1,0)</f>
        <v>0</v>
      </c>
      <c r="G1164" s="106" cm="1">
        <f t="array" ref="G1164">IF($F1164=1,IF(SUMPRODUCT(--ISNUMBER(SEARCH(","&amp;$A1164&amp;",",'Parts list'!$Z$4:$Z$185)))&gt;0,1,0),0)</f>
        <v>0</v>
      </c>
    </row>
    <row r="1165" spans="1:7" x14ac:dyDescent="0.2">
      <c r="A1165" s="1" t="s">
        <v>588</v>
      </c>
      <c r="B1165" s="104">
        <v>24</v>
      </c>
      <c r="C1165" s="104" t="s">
        <v>3425</v>
      </c>
      <c r="D1165" s="1" t="s">
        <v>2469</v>
      </c>
      <c r="E1165" s="4" t="s">
        <v>3426</v>
      </c>
      <c r="F1165" s="106">
        <f>IF(COUNTIF($A$4:$A1165,$A1165)=1,1,0)</f>
        <v>0</v>
      </c>
      <c r="G1165" s="106" cm="1">
        <f t="array" ref="G1165">IF($F1165=1,IF(SUMPRODUCT(--ISNUMBER(SEARCH(","&amp;$A1165&amp;",",'Parts list'!$Z$4:$Z$185)))&gt;0,1,0),0)</f>
        <v>0</v>
      </c>
    </row>
    <row r="1166" spans="1:7" x14ac:dyDescent="0.2">
      <c r="A1166" s="1" t="s">
        <v>588</v>
      </c>
      <c r="B1166" s="104">
        <v>25</v>
      </c>
      <c r="C1166" s="104" t="s">
        <v>3427</v>
      </c>
      <c r="D1166" s="1" t="s">
        <v>2598</v>
      </c>
      <c r="E1166" s="4"/>
      <c r="F1166" s="106">
        <f>IF(COUNTIF($A$4:$A1166,$A1166)=1,1,0)</f>
        <v>0</v>
      </c>
      <c r="G1166" s="106" cm="1">
        <f t="array" ref="G1166">IF($F1166=1,IF(SUMPRODUCT(--ISNUMBER(SEARCH(","&amp;$A1166&amp;",",'Parts list'!$Z$4:$Z$185)))&gt;0,1,0),0)</f>
        <v>0</v>
      </c>
    </row>
    <row r="1167" spans="1:7" x14ac:dyDescent="0.2">
      <c r="A1167" s="1" t="s">
        <v>588</v>
      </c>
      <c r="B1167" s="104">
        <v>26</v>
      </c>
      <c r="C1167" s="104" t="s">
        <v>3428</v>
      </c>
      <c r="D1167" s="1" t="s">
        <v>2597</v>
      </c>
      <c r="E1167" s="4"/>
      <c r="F1167" s="106">
        <f>IF(COUNTIF($A$4:$A1167,$A1167)=1,1,0)</f>
        <v>0</v>
      </c>
      <c r="G1167" s="106" cm="1">
        <f t="array" ref="G1167">IF($F1167=1,IF(SUMPRODUCT(--ISNUMBER(SEARCH(","&amp;$A1167&amp;",",'Parts list'!$Z$4:$Z$185)))&gt;0,1,0),0)</f>
        <v>0</v>
      </c>
    </row>
    <row r="1168" spans="1:7" x14ac:dyDescent="0.2">
      <c r="A1168" s="1" t="s">
        <v>588</v>
      </c>
      <c r="B1168" s="104">
        <v>27</v>
      </c>
      <c r="C1168" s="104" t="s">
        <v>3429</v>
      </c>
      <c r="D1168" s="1" t="s">
        <v>2596</v>
      </c>
      <c r="E1168" s="4"/>
      <c r="F1168" s="106">
        <f>IF(COUNTIF($A$4:$A1168,$A1168)=1,1,0)</f>
        <v>0</v>
      </c>
      <c r="G1168" s="106" cm="1">
        <f t="array" ref="G1168">IF($F1168=1,IF(SUMPRODUCT(--ISNUMBER(SEARCH(","&amp;$A1168&amp;",",'Parts list'!$Z$4:$Z$185)))&gt;0,1,0),0)</f>
        <v>0</v>
      </c>
    </row>
    <row r="1169" spans="1:7" x14ac:dyDescent="0.2">
      <c r="A1169" s="1" t="s">
        <v>588</v>
      </c>
      <c r="B1169" s="104">
        <v>28</v>
      </c>
      <c r="C1169" s="104" t="s">
        <v>3430</v>
      </c>
      <c r="D1169" s="1" t="s">
        <v>2626</v>
      </c>
      <c r="E1169" s="4" t="s">
        <v>3431</v>
      </c>
      <c r="F1169" s="106">
        <f>IF(COUNTIF($A$4:$A1169,$A1169)=1,1,0)</f>
        <v>0</v>
      </c>
      <c r="G1169" s="106" cm="1">
        <f t="array" ref="G1169">IF($F1169=1,IF(SUMPRODUCT(--ISNUMBER(SEARCH(","&amp;$A1169&amp;",",'Parts list'!$Z$4:$Z$185)))&gt;0,1,0),0)</f>
        <v>0</v>
      </c>
    </row>
    <row r="1170" spans="1:7" x14ac:dyDescent="0.2">
      <c r="A1170" s="1" t="s">
        <v>588</v>
      </c>
      <c r="B1170" s="104" t="s">
        <v>2580</v>
      </c>
      <c r="C1170" s="104" t="s">
        <v>3432</v>
      </c>
      <c r="D1170" s="1" t="s">
        <v>2168</v>
      </c>
      <c r="E1170" s="4" t="s">
        <v>3433</v>
      </c>
      <c r="F1170" s="106">
        <f>IF(COUNTIF($A$4:$A1170,$A1170)=1,1,0)</f>
        <v>0</v>
      </c>
      <c r="G1170" s="106" cm="1">
        <f t="array" ref="G1170">IF($F1170=1,IF(SUMPRODUCT(--ISNUMBER(SEARCH(","&amp;$A1170&amp;",",'Parts list'!$Z$4:$Z$185)))&gt;0,1,0),0)</f>
        <v>0</v>
      </c>
    </row>
    <row r="1171" spans="1:7" x14ac:dyDescent="0.2">
      <c r="A1171" s="1" t="s">
        <v>599</v>
      </c>
      <c r="B1171" s="104">
        <v>1</v>
      </c>
      <c r="C1171" s="104" t="s">
        <v>3187</v>
      </c>
      <c r="D1171" s="1" t="s">
        <v>2220</v>
      </c>
      <c r="E1171" s="4" t="s">
        <v>3434</v>
      </c>
      <c r="F1171" s="106">
        <f>IF(COUNTIF($A$4:$A1171,$A1171)=1,1,0)</f>
        <v>1</v>
      </c>
      <c r="G1171" s="106" cm="1">
        <f t="array" ref="G1171">IF($F1171=1,IF(SUMPRODUCT(--ISNUMBER(SEARCH(","&amp;$A1171&amp;",",'Parts list'!$Z$4:$Z$185)))&gt;0,1,0),0)</f>
        <v>1</v>
      </c>
    </row>
    <row r="1172" spans="1:7" x14ac:dyDescent="0.2">
      <c r="A1172" s="1" t="s">
        <v>599</v>
      </c>
      <c r="B1172" s="104">
        <v>2</v>
      </c>
      <c r="C1172" s="104" t="s">
        <v>2168</v>
      </c>
      <c r="D1172" s="1" t="s">
        <v>2168</v>
      </c>
      <c r="E1172" s="4" t="s">
        <v>3434</v>
      </c>
      <c r="F1172" s="106">
        <f>IF(COUNTIF($A$4:$A1172,$A1172)=1,1,0)</f>
        <v>0</v>
      </c>
      <c r="G1172" s="106" cm="1">
        <f t="array" ref="G1172">IF($F1172=1,IF(SUMPRODUCT(--ISNUMBER(SEARCH(","&amp;$A1172&amp;",",'Parts list'!$Z$4:$Z$185)))&gt;0,1,0),0)</f>
        <v>0</v>
      </c>
    </row>
    <row r="1173" spans="1:7" x14ac:dyDescent="0.2">
      <c r="A1173" s="1" t="s">
        <v>599</v>
      </c>
      <c r="B1173" s="104">
        <v>3</v>
      </c>
      <c r="C1173" s="104" t="s">
        <v>3186</v>
      </c>
      <c r="D1173" s="1" t="s">
        <v>2629</v>
      </c>
      <c r="E1173" s="4" t="s">
        <v>3434</v>
      </c>
      <c r="F1173" s="106">
        <f>IF(COUNTIF($A$4:$A1173,$A1173)=1,1,0)</f>
        <v>0</v>
      </c>
      <c r="G1173" s="106" cm="1">
        <f t="array" ref="G1173">IF($F1173=1,IF(SUMPRODUCT(--ISNUMBER(SEARCH(","&amp;$A1173&amp;",",'Parts list'!$Z$4:$Z$185)))&gt;0,1,0),0)</f>
        <v>0</v>
      </c>
    </row>
    <row r="1174" spans="1:7" x14ac:dyDescent="0.2">
      <c r="A1174" s="1" t="s">
        <v>599</v>
      </c>
      <c r="B1174" s="104">
        <v>4</v>
      </c>
      <c r="C1174" s="104" t="s">
        <v>3435</v>
      </c>
      <c r="D1174" s="1" t="s">
        <v>2469</v>
      </c>
      <c r="E1174" s="4" t="s">
        <v>3434</v>
      </c>
      <c r="F1174" s="106">
        <f>IF(COUNTIF($A$4:$A1174,$A1174)=1,1,0)</f>
        <v>0</v>
      </c>
      <c r="G1174" s="106" cm="1">
        <f t="array" ref="G1174">IF($F1174=1,IF(SUMPRODUCT(--ISNUMBER(SEARCH(","&amp;$A1174&amp;",",'Parts list'!$Z$4:$Z$185)))&gt;0,1,0),0)</f>
        <v>0</v>
      </c>
    </row>
    <row r="1175" spans="1:7" x14ac:dyDescent="0.2">
      <c r="A1175" s="1" t="s">
        <v>599</v>
      </c>
      <c r="B1175" s="104">
        <v>5</v>
      </c>
      <c r="C1175" s="104" t="s">
        <v>3182</v>
      </c>
      <c r="D1175" s="1" t="s">
        <v>2221</v>
      </c>
      <c r="E1175" s="4" t="s">
        <v>3434</v>
      </c>
      <c r="F1175" s="106">
        <f>IF(COUNTIF($A$4:$A1175,$A1175)=1,1,0)</f>
        <v>0</v>
      </c>
      <c r="G1175" s="106" cm="1">
        <f t="array" ref="G1175">IF($F1175=1,IF(SUMPRODUCT(--ISNUMBER(SEARCH(","&amp;$A1175&amp;",",'Parts list'!$Z$4:$Z$185)))&gt;0,1,0),0)</f>
        <v>0</v>
      </c>
    </row>
    <row r="1176" spans="1:7" x14ac:dyDescent="0.2">
      <c r="A1176" s="1" t="s">
        <v>609</v>
      </c>
      <c r="B1176" s="104">
        <v>1</v>
      </c>
      <c r="C1176" s="104" t="s">
        <v>3187</v>
      </c>
      <c r="D1176" s="1" t="s">
        <v>2208</v>
      </c>
      <c r="E1176" s="4" t="s">
        <v>3436</v>
      </c>
      <c r="F1176" s="106">
        <f>IF(COUNTIF($A$4:$A1176,$A1176)=1,1,0)</f>
        <v>1</v>
      </c>
      <c r="G1176" s="106" cm="1">
        <f t="array" ref="G1176">IF($F1176=1,IF(SUMPRODUCT(--ISNUMBER(SEARCH(","&amp;$A1176&amp;",",'Parts list'!$Z$4:$Z$185)))&gt;0,1,0),0)</f>
        <v>1</v>
      </c>
    </row>
    <row r="1177" spans="1:7" x14ac:dyDescent="0.2">
      <c r="A1177" s="1" t="s">
        <v>609</v>
      </c>
      <c r="B1177" s="104">
        <v>2</v>
      </c>
      <c r="C1177" s="104" t="s">
        <v>2168</v>
      </c>
      <c r="D1177" s="1" t="s">
        <v>2168</v>
      </c>
      <c r="E1177" s="4" t="s">
        <v>3436</v>
      </c>
      <c r="F1177" s="106">
        <f>IF(COUNTIF($A$4:$A1177,$A1177)=1,1,0)</f>
        <v>0</v>
      </c>
      <c r="G1177" s="106" cm="1">
        <f t="array" ref="G1177">IF($F1177=1,IF(SUMPRODUCT(--ISNUMBER(SEARCH(","&amp;$A1177&amp;",",'Parts list'!$Z$4:$Z$185)))&gt;0,1,0),0)</f>
        <v>0</v>
      </c>
    </row>
    <row r="1178" spans="1:7" x14ac:dyDescent="0.2">
      <c r="A1178" s="1" t="s">
        <v>609</v>
      </c>
      <c r="B1178" s="104">
        <v>3</v>
      </c>
      <c r="C1178" s="104" t="s">
        <v>3186</v>
      </c>
      <c r="D1178" s="1" t="s">
        <v>2208</v>
      </c>
      <c r="E1178" s="4" t="s">
        <v>3436</v>
      </c>
      <c r="F1178" s="106">
        <f>IF(COUNTIF($A$4:$A1178,$A1178)=1,1,0)</f>
        <v>0</v>
      </c>
      <c r="G1178" s="106" cm="1">
        <f t="array" ref="G1178">IF($F1178=1,IF(SUMPRODUCT(--ISNUMBER(SEARCH(","&amp;$A1178&amp;",",'Parts list'!$Z$4:$Z$185)))&gt;0,1,0),0)</f>
        <v>0</v>
      </c>
    </row>
    <row r="1179" spans="1:7" x14ac:dyDescent="0.2">
      <c r="A1179" s="1" t="s">
        <v>609</v>
      </c>
      <c r="B1179" s="104">
        <v>4</v>
      </c>
      <c r="C1179" s="104" t="s">
        <v>3437</v>
      </c>
      <c r="D1179" s="1" t="s">
        <v>2880</v>
      </c>
      <c r="E1179" s="4" t="s">
        <v>3436</v>
      </c>
      <c r="F1179" s="106">
        <f>IF(COUNTIF($A$4:$A1179,$A1179)=1,1,0)</f>
        <v>0</v>
      </c>
      <c r="G1179" s="106" cm="1">
        <f t="array" ref="G1179">IF($F1179=1,IF(SUMPRODUCT(--ISNUMBER(SEARCH(","&amp;$A1179&amp;",",'Parts list'!$Z$4:$Z$185)))&gt;0,1,0),0)</f>
        <v>0</v>
      </c>
    </row>
    <row r="1180" spans="1:7" x14ac:dyDescent="0.2">
      <c r="A1180" s="1" t="s">
        <v>609</v>
      </c>
      <c r="B1180" s="104">
        <v>5</v>
      </c>
      <c r="C1180" s="104" t="s">
        <v>3182</v>
      </c>
      <c r="D1180" s="1" t="s">
        <v>2237</v>
      </c>
      <c r="E1180" s="4" t="s">
        <v>3436</v>
      </c>
      <c r="F1180" s="106">
        <f>IF(COUNTIF($A$4:$A1180,$A1180)=1,1,0)</f>
        <v>0</v>
      </c>
      <c r="G1180" s="106" cm="1">
        <f t="array" ref="G1180">IF($F1180=1,IF(SUMPRODUCT(--ISNUMBER(SEARCH(","&amp;$A1180&amp;",",'Parts list'!$Z$4:$Z$185)))&gt;0,1,0),0)</f>
        <v>0</v>
      </c>
    </row>
    <row r="1181" spans="1:7" x14ac:dyDescent="0.2">
      <c r="A1181" s="1" t="s">
        <v>3438</v>
      </c>
      <c r="B1181" s="104">
        <v>1</v>
      </c>
      <c r="C1181" s="105" t="s">
        <v>3439</v>
      </c>
      <c r="D1181" s="1" t="s">
        <v>2246</v>
      </c>
      <c r="E1181" s="4"/>
      <c r="F1181" s="106">
        <f>IF(COUNTIF($A$4:$A1181,$A1181)=1,1,0)</f>
        <v>1</v>
      </c>
      <c r="G1181" s="106" cm="1">
        <f t="array" ref="G1181">IF($F1181=1,IF(SUMPRODUCT(--ISNUMBER(SEARCH(","&amp;$A1181&amp;",",'Parts list'!$Z$4:$Z$185)))&gt;0,1,0),0)</f>
        <v>1</v>
      </c>
    </row>
    <row r="1182" spans="1:7" x14ac:dyDescent="0.2">
      <c r="A1182" s="1" t="s">
        <v>3438</v>
      </c>
      <c r="B1182" s="104">
        <v>2</v>
      </c>
      <c r="C1182" s="104" t="s">
        <v>3440</v>
      </c>
      <c r="D1182" s="1" t="s">
        <v>2264</v>
      </c>
      <c r="E1182" s="4"/>
      <c r="F1182" s="106">
        <f>IF(COUNTIF($A$4:$A1182,$A1182)=1,1,0)</f>
        <v>0</v>
      </c>
      <c r="G1182" s="106" cm="1">
        <f t="array" ref="G1182">IF($F1182=1,IF(SUMPRODUCT(--ISNUMBER(SEARCH(","&amp;$A1182&amp;",",'Parts list'!$Z$4:$Z$185)))&gt;0,1,0),0)</f>
        <v>0</v>
      </c>
    </row>
    <row r="1183" spans="1:7" x14ac:dyDescent="0.2">
      <c r="A1183" s="1" t="s">
        <v>3438</v>
      </c>
      <c r="B1183" s="104">
        <v>3</v>
      </c>
      <c r="C1183" s="104" t="s">
        <v>2168</v>
      </c>
      <c r="D1183" s="1" t="s">
        <v>2168</v>
      </c>
      <c r="E1183" s="4" t="s">
        <v>3441</v>
      </c>
      <c r="F1183" s="106">
        <f>IF(COUNTIF($A$4:$A1183,$A1183)=1,1,0)</f>
        <v>0</v>
      </c>
      <c r="G1183" s="106" cm="1">
        <f t="array" ref="G1183">IF($F1183=1,IF(SUMPRODUCT(--ISNUMBER(SEARCH(","&amp;$A1183&amp;",",'Parts list'!$Z$4:$Z$185)))&gt;0,1,0),0)</f>
        <v>0</v>
      </c>
    </row>
    <row r="1184" spans="1:7" x14ac:dyDescent="0.2">
      <c r="A1184" s="1" t="s">
        <v>3438</v>
      </c>
      <c r="B1184" s="104">
        <v>4</v>
      </c>
      <c r="C1184" s="104" t="s">
        <v>3442</v>
      </c>
      <c r="D1184" s="1" t="s">
        <v>2267</v>
      </c>
      <c r="E1184" s="4"/>
      <c r="F1184" s="106">
        <f>IF(COUNTIF($A$4:$A1184,$A1184)=1,1,0)</f>
        <v>0</v>
      </c>
      <c r="G1184" s="106" cm="1">
        <f t="array" ref="G1184">IF($F1184=1,IF(SUMPRODUCT(--ISNUMBER(SEARCH(","&amp;$A1184&amp;",",'Parts list'!$Z$4:$Z$185)))&gt;0,1,0),0)</f>
        <v>0</v>
      </c>
    </row>
    <row r="1185" spans="1:7" x14ac:dyDescent="0.2">
      <c r="A1185" s="1" t="s">
        <v>3438</v>
      </c>
      <c r="B1185" s="104">
        <v>5</v>
      </c>
      <c r="C1185" s="105" t="s">
        <v>3443</v>
      </c>
      <c r="D1185" s="1" t="s">
        <v>2252</v>
      </c>
      <c r="E1185" s="4"/>
      <c r="F1185" s="106">
        <f>IF(COUNTIF($A$4:$A1185,$A1185)=1,1,0)</f>
        <v>0</v>
      </c>
      <c r="G1185" s="106" cm="1">
        <f t="array" ref="G1185">IF($F1185=1,IF(SUMPRODUCT(--ISNUMBER(SEARCH(","&amp;$A1185&amp;",",'Parts list'!$Z$4:$Z$185)))&gt;0,1,0),0)</f>
        <v>0</v>
      </c>
    </row>
    <row r="1186" spans="1:7" x14ac:dyDescent="0.2">
      <c r="A1186" s="1" t="s">
        <v>3438</v>
      </c>
      <c r="B1186" s="104">
        <v>6</v>
      </c>
      <c r="C1186" s="105" t="s">
        <v>3444</v>
      </c>
      <c r="D1186" s="1" t="s">
        <v>2249</v>
      </c>
      <c r="E1186" s="4"/>
      <c r="F1186" s="106">
        <f>IF(COUNTIF($A$4:$A1186,$A1186)=1,1,0)</f>
        <v>0</v>
      </c>
      <c r="G1186" s="106" cm="1">
        <f t="array" ref="G1186">IF($F1186=1,IF(SUMPRODUCT(--ISNUMBER(SEARCH(","&amp;$A1186&amp;",",'Parts list'!$Z$4:$Z$185)))&gt;0,1,0),0)</f>
        <v>0</v>
      </c>
    </row>
    <row r="1187" spans="1:7" x14ac:dyDescent="0.2">
      <c r="A1187" s="1" t="s">
        <v>3438</v>
      </c>
      <c r="B1187" s="104">
        <v>7</v>
      </c>
      <c r="C1187" s="104" t="s">
        <v>3445</v>
      </c>
      <c r="D1187" s="1" t="s">
        <v>2250</v>
      </c>
      <c r="E1187" s="4"/>
      <c r="F1187" s="106">
        <f>IF(COUNTIF($A$4:$A1187,$A1187)=1,1,0)</f>
        <v>0</v>
      </c>
      <c r="G1187" s="106" cm="1">
        <f t="array" ref="G1187">IF($F1187=1,IF(SUMPRODUCT(--ISNUMBER(SEARCH(","&amp;$A1187&amp;",",'Parts list'!$Z$4:$Z$185)))&gt;0,1,0),0)</f>
        <v>0</v>
      </c>
    </row>
    <row r="1188" spans="1:7" x14ac:dyDescent="0.2">
      <c r="A1188" s="1" t="s">
        <v>3438</v>
      </c>
      <c r="B1188" s="104">
        <v>8</v>
      </c>
      <c r="C1188" s="104" t="s">
        <v>3186</v>
      </c>
      <c r="D1188" s="1" t="s">
        <v>2264</v>
      </c>
      <c r="E1188" s="4" t="s">
        <v>3446</v>
      </c>
      <c r="F1188" s="106">
        <f>IF(COUNTIF($A$4:$A1188,$A1188)=1,1,0)</f>
        <v>0</v>
      </c>
      <c r="G1188" s="106" cm="1">
        <f t="array" ref="G1188">IF($F1188=1,IF(SUMPRODUCT(--ISNUMBER(SEARCH(","&amp;$A1188&amp;",",'Parts list'!$Z$4:$Z$185)))&gt;0,1,0),0)</f>
        <v>0</v>
      </c>
    </row>
    <row r="1189" spans="1:7" x14ac:dyDescent="0.2">
      <c r="A1189" s="1" t="s">
        <v>3438</v>
      </c>
      <c r="B1189" s="104">
        <v>9</v>
      </c>
      <c r="C1189" s="104" t="s">
        <v>3447</v>
      </c>
      <c r="D1189" s="1" t="s">
        <v>2244</v>
      </c>
      <c r="E1189" s="4"/>
      <c r="F1189" s="106">
        <f>IF(COUNTIF($A$4:$A1189,$A1189)=1,1,0)</f>
        <v>0</v>
      </c>
      <c r="G1189" s="106" cm="1">
        <f t="array" ref="G1189">IF($F1189=1,IF(SUMPRODUCT(--ISNUMBER(SEARCH(","&amp;$A1189&amp;",",'Parts list'!$Z$4:$Z$185)))&gt;0,1,0),0)</f>
        <v>0</v>
      </c>
    </row>
    <row r="1190" spans="1:7" x14ac:dyDescent="0.2">
      <c r="A1190" s="1" t="s">
        <v>3438</v>
      </c>
      <c r="B1190" s="104">
        <v>10</v>
      </c>
      <c r="C1190" s="105" t="s">
        <v>3448</v>
      </c>
      <c r="D1190" s="1" t="s">
        <v>2242</v>
      </c>
      <c r="E1190" s="4"/>
      <c r="F1190" s="106">
        <f>IF(COUNTIF($A$4:$A1190,$A1190)=1,1,0)</f>
        <v>0</v>
      </c>
      <c r="G1190" s="106" cm="1">
        <f t="array" ref="G1190">IF($F1190=1,IF(SUMPRODUCT(--ISNUMBER(SEARCH(","&amp;$A1190&amp;",",'Parts list'!$Z$4:$Z$185)))&gt;0,1,0),0)</f>
        <v>0</v>
      </c>
    </row>
    <row r="1191" spans="1:7" x14ac:dyDescent="0.2">
      <c r="A1191" s="1" t="s">
        <v>3438</v>
      </c>
      <c r="B1191" s="104" t="s">
        <v>3188</v>
      </c>
      <c r="C1191" s="104" t="s">
        <v>3449</v>
      </c>
      <c r="D1191" s="1" t="s">
        <v>2267</v>
      </c>
      <c r="E1191" s="4" t="s">
        <v>3450</v>
      </c>
      <c r="F1191" s="106">
        <f>IF(COUNTIF($A$4:$A1191,$A1191)=1,1,0)</f>
        <v>0</v>
      </c>
      <c r="G1191" s="106" cm="1">
        <f t="array" ref="G1191">IF($F1191=1,IF(SUMPRODUCT(--ISNUMBER(SEARCH(","&amp;$A1191&amp;",",'Parts list'!$Z$4:$Z$185)))&gt;0,1,0),0)</f>
        <v>0</v>
      </c>
    </row>
    <row r="1192" spans="1:7" x14ac:dyDescent="0.2">
      <c r="A1192" s="1" t="s">
        <v>3451</v>
      </c>
      <c r="B1192" s="104">
        <v>1</v>
      </c>
      <c r="C1192" s="105" t="s">
        <v>3439</v>
      </c>
      <c r="D1192" s="1" t="s">
        <v>2257</v>
      </c>
      <c r="E1192" s="4"/>
      <c r="F1192" s="106">
        <f>IF(COUNTIF($A$4:$A1192,$A1192)=1,1,0)</f>
        <v>1</v>
      </c>
      <c r="G1192" s="106" cm="1">
        <f t="array" ref="G1192">IF($F1192=1,IF(SUMPRODUCT(--ISNUMBER(SEARCH(","&amp;$A1192&amp;",",'Parts list'!$Z$4:$Z$185)))&gt;0,1,0),0)</f>
        <v>1</v>
      </c>
    </row>
    <row r="1193" spans="1:7" x14ac:dyDescent="0.2">
      <c r="A1193" s="1" t="s">
        <v>3451</v>
      </c>
      <c r="B1193" s="104">
        <v>2</v>
      </c>
      <c r="C1193" s="104" t="s">
        <v>3440</v>
      </c>
      <c r="D1193" s="1" t="s">
        <v>2264</v>
      </c>
      <c r="E1193" s="4"/>
      <c r="F1193" s="106">
        <f>IF(COUNTIF($A$4:$A1193,$A1193)=1,1,0)</f>
        <v>0</v>
      </c>
      <c r="G1193" s="106" cm="1">
        <f t="array" ref="G1193">IF($F1193=1,IF(SUMPRODUCT(--ISNUMBER(SEARCH(","&amp;$A1193&amp;",",'Parts list'!$Z$4:$Z$185)))&gt;0,1,0),0)</f>
        <v>0</v>
      </c>
    </row>
    <row r="1194" spans="1:7" x14ac:dyDescent="0.2">
      <c r="A1194" s="1" t="s">
        <v>3451</v>
      </c>
      <c r="B1194" s="104">
        <v>3</v>
      </c>
      <c r="C1194" s="104" t="s">
        <v>2168</v>
      </c>
      <c r="D1194" s="1" t="s">
        <v>2168</v>
      </c>
      <c r="E1194" s="4" t="s">
        <v>3441</v>
      </c>
      <c r="F1194" s="106">
        <f>IF(COUNTIF($A$4:$A1194,$A1194)=1,1,0)</f>
        <v>0</v>
      </c>
      <c r="G1194" s="106" cm="1">
        <f t="array" ref="G1194">IF($F1194=1,IF(SUMPRODUCT(--ISNUMBER(SEARCH(","&amp;$A1194&amp;",",'Parts list'!$Z$4:$Z$185)))&gt;0,1,0),0)</f>
        <v>0</v>
      </c>
    </row>
    <row r="1195" spans="1:7" x14ac:dyDescent="0.2">
      <c r="A1195" s="1" t="s">
        <v>3451</v>
      </c>
      <c r="B1195" s="104">
        <v>4</v>
      </c>
      <c r="C1195" s="104" t="s">
        <v>3442</v>
      </c>
      <c r="D1195" s="1" t="s">
        <v>2267</v>
      </c>
      <c r="E1195" s="4"/>
      <c r="F1195" s="106">
        <f>IF(COUNTIF($A$4:$A1195,$A1195)=1,1,0)</f>
        <v>0</v>
      </c>
      <c r="G1195" s="106" cm="1">
        <f t="array" ref="G1195">IF($F1195=1,IF(SUMPRODUCT(--ISNUMBER(SEARCH(","&amp;$A1195&amp;",",'Parts list'!$Z$4:$Z$185)))&gt;0,1,0),0)</f>
        <v>0</v>
      </c>
    </row>
    <row r="1196" spans="1:7" x14ac:dyDescent="0.2">
      <c r="A1196" s="1" t="s">
        <v>3451</v>
      </c>
      <c r="B1196" s="104">
        <v>5</v>
      </c>
      <c r="C1196" s="105" t="s">
        <v>3443</v>
      </c>
      <c r="D1196" s="1" t="s">
        <v>2262</v>
      </c>
      <c r="E1196" s="4"/>
      <c r="F1196" s="106">
        <f>IF(COUNTIF($A$4:$A1196,$A1196)=1,1,0)</f>
        <v>0</v>
      </c>
      <c r="G1196" s="106" cm="1">
        <f t="array" ref="G1196">IF($F1196=1,IF(SUMPRODUCT(--ISNUMBER(SEARCH(","&amp;$A1196&amp;",",'Parts list'!$Z$4:$Z$185)))&gt;0,1,0),0)</f>
        <v>0</v>
      </c>
    </row>
    <row r="1197" spans="1:7" x14ac:dyDescent="0.2">
      <c r="A1197" s="1" t="s">
        <v>3451</v>
      </c>
      <c r="B1197" s="104">
        <v>6</v>
      </c>
      <c r="C1197" s="105" t="s">
        <v>3444</v>
      </c>
      <c r="D1197" s="1" t="s">
        <v>2259</v>
      </c>
      <c r="E1197" s="4"/>
      <c r="F1197" s="106">
        <f>IF(COUNTIF($A$4:$A1197,$A1197)=1,1,0)</f>
        <v>0</v>
      </c>
      <c r="G1197" s="106" cm="1">
        <f t="array" ref="G1197">IF($F1197=1,IF(SUMPRODUCT(--ISNUMBER(SEARCH(","&amp;$A1197&amp;",",'Parts list'!$Z$4:$Z$185)))&gt;0,1,0),0)</f>
        <v>0</v>
      </c>
    </row>
    <row r="1198" spans="1:7" x14ac:dyDescent="0.2">
      <c r="A1198" s="1" t="s">
        <v>3451</v>
      </c>
      <c r="B1198" s="104">
        <v>7</v>
      </c>
      <c r="C1198" s="104" t="s">
        <v>3445</v>
      </c>
      <c r="D1198" s="1" t="s">
        <v>2260</v>
      </c>
      <c r="E1198" s="4"/>
      <c r="F1198" s="106">
        <f>IF(COUNTIF($A$4:$A1198,$A1198)=1,1,0)</f>
        <v>0</v>
      </c>
      <c r="G1198" s="106" cm="1">
        <f t="array" ref="G1198">IF($F1198=1,IF(SUMPRODUCT(--ISNUMBER(SEARCH(","&amp;$A1198&amp;",",'Parts list'!$Z$4:$Z$185)))&gt;0,1,0),0)</f>
        <v>0</v>
      </c>
    </row>
    <row r="1199" spans="1:7" x14ac:dyDescent="0.2">
      <c r="A1199" s="1" t="s">
        <v>3451</v>
      </c>
      <c r="B1199" s="104">
        <v>8</v>
      </c>
      <c r="C1199" s="104" t="s">
        <v>3186</v>
      </c>
      <c r="D1199" s="1" t="s">
        <v>2264</v>
      </c>
      <c r="E1199" s="4" t="s">
        <v>3446</v>
      </c>
      <c r="F1199" s="106">
        <f>IF(COUNTIF($A$4:$A1199,$A1199)=1,1,0)</f>
        <v>0</v>
      </c>
      <c r="G1199" s="106" cm="1">
        <f t="array" ref="G1199">IF($F1199=1,IF(SUMPRODUCT(--ISNUMBER(SEARCH(","&amp;$A1199&amp;",",'Parts list'!$Z$4:$Z$185)))&gt;0,1,0),0)</f>
        <v>0</v>
      </c>
    </row>
    <row r="1200" spans="1:7" x14ac:dyDescent="0.2">
      <c r="A1200" s="1" t="s">
        <v>3451</v>
      </c>
      <c r="B1200" s="104">
        <v>9</v>
      </c>
      <c r="C1200" s="104" t="s">
        <v>3447</v>
      </c>
      <c r="D1200" s="1" t="s">
        <v>2255</v>
      </c>
      <c r="E1200" s="4"/>
      <c r="F1200" s="106">
        <f>IF(COUNTIF($A$4:$A1200,$A1200)=1,1,0)</f>
        <v>0</v>
      </c>
      <c r="G1200" s="106" cm="1">
        <f t="array" ref="G1200">IF($F1200=1,IF(SUMPRODUCT(--ISNUMBER(SEARCH(","&amp;$A1200&amp;",",'Parts list'!$Z$4:$Z$185)))&gt;0,1,0),0)</f>
        <v>0</v>
      </c>
    </row>
    <row r="1201" spans="1:7" x14ac:dyDescent="0.2">
      <c r="A1201" s="1" t="s">
        <v>3451</v>
      </c>
      <c r="B1201" s="104">
        <v>10</v>
      </c>
      <c r="C1201" s="105" t="s">
        <v>3448</v>
      </c>
      <c r="D1201" s="1" t="s">
        <v>2254</v>
      </c>
      <c r="E1201" s="4"/>
      <c r="F1201" s="106">
        <f>IF(COUNTIF($A$4:$A1201,$A1201)=1,1,0)</f>
        <v>0</v>
      </c>
      <c r="G1201" s="106" cm="1">
        <f t="array" ref="G1201">IF($F1201=1,IF(SUMPRODUCT(--ISNUMBER(SEARCH(","&amp;$A1201&amp;",",'Parts list'!$Z$4:$Z$185)))&gt;0,1,0),0)</f>
        <v>0</v>
      </c>
    </row>
    <row r="1202" spans="1:7" x14ac:dyDescent="0.2">
      <c r="A1202" s="1" t="s">
        <v>3451</v>
      </c>
      <c r="B1202" s="104" t="s">
        <v>3188</v>
      </c>
      <c r="C1202" s="104" t="s">
        <v>3449</v>
      </c>
      <c r="D1202" s="1" t="s">
        <v>2267</v>
      </c>
      <c r="E1202" s="4" t="s">
        <v>3450</v>
      </c>
      <c r="F1202" s="106">
        <f>IF(COUNTIF($A$4:$A1202,$A1202)=1,1,0)</f>
        <v>0</v>
      </c>
      <c r="G1202" s="106" cm="1">
        <f t="array" ref="G1202">IF($F1202=1,IF(SUMPRODUCT(--ISNUMBER(SEARCH(","&amp;$A1202&amp;",",'Parts list'!$Z$4:$Z$185)))&gt;0,1,0),0)</f>
        <v>0</v>
      </c>
    </row>
    <row r="1203" spans="1:7" x14ac:dyDescent="0.2">
      <c r="A1203" s="1" t="s">
        <v>3452</v>
      </c>
      <c r="B1203" s="104">
        <v>1</v>
      </c>
      <c r="C1203" s="104" t="s">
        <v>3453</v>
      </c>
      <c r="D1203" s="1" t="s">
        <v>2280</v>
      </c>
      <c r="E1203" s="4" t="s">
        <v>3454</v>
      </c>
      <c r="F1203" s="106">
        <f>IF(COUNTIF($A$4:$A1203,$A1203)=1,1,0)</f>
        <v>1</v>
      </c>
      <c r="G1203" s="106" cm="1">
        <f t="array" ref="G1203">IF($F1203=1,IF(SUMPRODUCT(--ISNUMBER(SEARCH(","&amp;$A1203&amp;",",'Parts list'!$Z$4:$Z$185)))&gt;0,1,0),0)</f>
        <v>1</v>
      </c>
    </row>
    <row r="1204" spans="1:7" x14ac:dyDescent="0.2">
      <c r="A1204" s="1" t="s">
        <v>3452</v>
      </c>
      <c r="B1204" s="104">
        <v>2</v>
      </c>
      <c r="C1204" s="105" t="s">
        <v>3455</v>
      </c>
      <c r="D1204" s="1" t="s">
        <v>2278</v>
      </c>
      <c r="E1204" s="4" t="s">
        <v>3456</v>
      </c>
      <c r="F1204" s="106">
        <f>IF(COUNTIF($A$4:$A1204,$A1204)=1,1,0)</f>
        <v>0</v>
      </c>
      <c r="G1204" s="106" cm="1">
        <f t="array" ref="G1204">IF($F1204=1,IF(SUMPRODUCT(--ISNUMBER(SEARCH(","&amp;$A1204&amp;",",'Parts list'!$Z$4:$Z$185)))&gt;0,1,0),0)</f>
        <v>0</v>
      </c>
    </row>
    <row r="1205" spans="1:7" x14ac:dyDescent="0.2">
      <c r="A1205" s="1" t="s">
        <v>3452</v>
      </c>
      <c r="B1205" s="104">
        <v>3</v>
      </c>
      <c r="C1205" s="105" t="s">
        <v>3457</v>
      </c>
      <c r="D1205" s="1" t="s">
        <v>2290</v>
      </c>
      <c r="E1205" s="4"/>
      <c r="F1205" s="106">
        <f>IF(COUNTIF($A$4:$A1205,$A1205)=1,1,0)</f>
        <v>0</v>
      </c>
      <c r="G1205" s="106" cm="1">
        <f t="array" ref="G1205">IF($F1205=1,IF(SUMPRODUCT(--ISNUMBER(SEARCH(","&amp;$A1205&amp;",",'Parts list'!$Z$4:$Z$185)))&gt;0,1,0),0)</f>
        <v>0</v>
      </c>
    </row>
    <row r="1206" spans="1:7" x14ac:dyDescent="0.2">
      <c r="A1206" s="1" t="s">
        <v>3452</v>
      </c>
      <c r="B1206" s="104">
        <v>4</v>
      </c>
      <c r="C1206" s="104" t="s">
        <v>3442</v>
      </c>
      <c r="D1206" s="1" t="s">
        <v>2295</v>
      </c>
      <c r="E1206" s="4" t="s">
        <v>3458</v>
      </c>
      <c r="F1206" s="106">
        <f>IF(COUNTIF($A$4:$A1206,$A1206)=1,1,0)</f>
        <v>0</v>
      </c>
      <c r="G1206" s="106" cm="1">
        <f t="array" ref="G1206">IF($F1206=1,IF(SUMPRODUCT(--ISNUMBER(SEARCH(","&amp;$A1206&amp;",",'Parts list'!$Z$4:$Z$185)))&gt;0,1,0),0)</f>
        <v>0</v>
      </c>
    </row>
    <row r="1207" spans="1:7" x14ac:dyDescent="0.2">
      <c r="A1207" s="1" t="s">
        <v>3452</v>
      </c>
      <c r="B1207" s="104">
        <v>5</v>
      </c>
      <c r="C1207" s="105" t="s">
        <v>3459</v>
      </c>
      <c r="D1207" s="1" t="s">
        <v>2290</v>
      </c>
      <c r="E1207" s="4"/>
      <c r="F1207" s="106">
        <f>IF(COUNTIF($A$4:$A1207,$A1207)=1,1,0)</f>
        <v>0</v>
      </c>
      <c r="G1207" s="106" cm="1">
        <f t="array" ref="G1207">IF($F1207=1,IF(SUMPRODUCT(--ISNUMBER(SEARCH(","&amp;$A1207&amp;",",'Parts list'!$Z$4:$Z$185)))&gt;0,1,0),0)</f>
        <v>0</v>
      </c>
    </row>
    <row r="1208" spans="1:7" x14ac:dyDescent="0.2">
      <c r="A1208" s="1" t="s">
        <v>3452</v>
      </c>
      <c r="B1208" s="104">
        <v>6</v>
      </c>
      <c r="C1208" s="105" t="s">
        <v>3460</v>
      </c>
      <c r="D1208" s="1" t="s">
        <v>2282</v>
      </c>
      <c r="E1208" s="4" t="s">
        <v>3456</v>
      </c>
      <c r="F1208" s="106">
        <f>IF(COUNTIF($A$4:$A1208,$A1208)=1,1,0)</f>
        <v>0</v>
      </c>
      <c r="G1208" s="106" cm="1">
        <f t="array" ref="G1208">IF($F1208=1,IF(SUMPRODUCT(--ISNUMBER(SEARCH(","&amp;$A1208&amp;",",'Parts list'!$Z$4:$Z$185)))&gt;0,1,0),0)</f>
        <v>0</v>
      </c>
    </row>
    <row r="1209" spans="1:7" x14ac:dyDescent="0.2">
      <c r="A1209" s="1" t="s">
        <v>3452</v>
      </c>
      <c r="B1209" s="104">
        <v>7</v>
      </c>
      <c r="C1209" s="104" t="s">
        <v>3461</v>
      </c>
      <c r="D1209" s="1" t="s">
        <v>2283</v>
      </c>
      <c r="E1209" s="4" t="s">
        <v>3462</v>
      </c>
      <c r="F1209" s="106">
        <f>IF(COUNTIF($A$4:$A1209,$A1209)=1,1,0)</f>
        <v>0</v>
      </c>
      <c r="G1209" s="106" cm="1">
        <f t="array" ref="G1209">IF($F1209=1,IF(SUMPRODUCT(--ISNUMBER(SEARCH(","&amp;$A1209&amp;",",'Parts list'!$Z$4:$Z$185)))&gt;0,1,0),0)</f>
        <v>0</v>
      </c>
    </row>
    <row r="1210" spans="1:7" x14ac:dyDescent="0.2">
      <c r="A1210" s="1" t="s">
        <v>3452</v>
      </c>
      <c r="B1210" s="104">
        <v>8</v>
      </c>
      <c r="C1210" s="104" t="s">
        <v>3440</v>
      </c>
      <c r="D1210" s="1" t="s">
        <v>2292</v>
      </c>
      <c r="E1210" s="4" t="s">
        <v>3463</v>
      </c>
      <c r="F1210" s="106">
        <f>IF(COUNTIF($A$4:$A1210,$A1210)=1,1,0)</f>
        <v>0</v>
      </c>
      <c r="G1210" s="106" cm="1">
        <f t="array" ref="G1210">IF($F1210=1,IF(SUMPRODUCT(--ISNUMBER(SEARCH(","&amp;$A1210&amp;",",'Parts list'!$Z$4:$Z$185)))&gt;0,1,0),0)</f>
        <v>0</v>
      </c>
    </row>
    <row r="1211" spans="1:7" x14ac:dyDescent="0.2">
      <c r="A1211" s="1" t="s">
        <v>3464</v>
      </c>
      <c r="B1211" s="104">
        <v>1</v>
      </c>
      <c r="C1211" s="104" t="s">
        <v>3453</v>
      </c>
      <c r="D1211" s="1" t="s">
        <v>2286</v>
      </c>
      <c r="E1211" s="4" t="s">
        <v>3465</v>
      </c>
      <c r="F1211" s="106">
        <f>IF(COUNTIF($A$4:$A1211,$A1211)=1,1,0)</f>
        <v>1</v>
      </c>
      <c r="G1211" s="106" cm="1">
        <f t="array" ref="G1211">IF($F1211=1,IF(SUMPRODUCT(--ISNUMBER(SEARCH(","&amp;$A1211&amp;",",'Parts list'!$Z$4:$Z$185)))&gt;0,1,0),0)</f>
        <v>1</v>
      </c>
    </row>
    <row r="1212" spans="1:7" x14ac:dyDescent="0.2">
      <c r="A1212" s="1" t="s">
        <v>3464</v>
      </c>
      <c r="B1212" s="104">
        <v>2</v>
      </c>
      <c r="C1212" s="105" t="s">
        <v>3455</v>
      </c>
      <c r="D1212" s="1" t="s">
        <v>2285</v>
      </c>
      <c r="E1212" s="4" t="s">
        <v>3456</v>
      </c>
      <c r="F1212" s="106">
        <f>IF(COUNTIF($A$4:$A1212,$A1212)=1,1,0)</f>
        <v>0</v>
      </c>
      <c r="G1212" s="106" cm="1">
        <f t="array" ref="G1212">IF($F1212=1,IF(SUMPRODUCT(--ISNUMBER(SEARCH(","&amp;$A1212&amp;",",'Parts list'!$Z$4:$Z$185)))&gt;0,1,0),0)</f>
        <v>0</v>
      </c>
    </row>
    <row r="1213" spans="1:7" x14ac:dyDescent="0.2">
      <c r="A1213" s="1" t="s">
        <v>3464</v>
      </c>
      <c r="B1213" s="104">
        <v>3</v>
      </c>
      <c r="C1213" s="105" t="s">
        <v>3457</v>
      </c>
      <c r="D1213" s="1" t="s">
        <v>2290</v>
      </c>
      <c r="E1213" s="4"/>
      <c r="F1213" s="106">
        <f>IF(COUNTIF($A$4:$A1213,$A1213)=1,1,0)</f>
        <v>0</v>
      </c>
      <c r="G1213" s="106" cm="1">
        <f t="array" ref="G1213">IF($F1213=1,IF(SUMPRODUCT(--ISNUMBER(SEARCH(","&amp;$A1213&amp;",",'Parts list'!$Z$4:$Z$185)))&gt;0,1,0),0)</f>
        <v>0</v>
      </c>
    </row>
    <row r="1214" spans="1:7" x14ac:dyDescent="0.2">
      <c r="A1214" s="1" t="s">
        <v>3464</v>
      </c>
      <c r="B1214" s="104">
        <v>4</v>
      </c>
      <c r="C1214" s="104" t="s">
        <v>3442</v>
      </c>
      <c r="D1214" s="1" t="s">
        <v>2295</v>
      </c>
      <c r="E1214" s="4" t="s">
        <v>3458</v>
      </c>
      <c r="F1214" s="106">
        <f>IF(COUNTIF($A$4:$A1214,$A1214)=1,1,0)</f>
        <v>0</v>
      </c>
      <c r="G1214" s="106" cm="1">
        <f t="array" ref="G1214">IF($F1214=1,IF(SUMPRODUCT(--ISNUMBER(SEARCH(","&amp;$A1214&amp;",",'Parts list'!$Z$4:$Z$185)))&gt;0,1,0),0)</f>
        <v>0</v>
      </c>
    </row>
    <row r="1215" spans="1:7" x14ac:dyDescent="0.2">
      <c r="A1215" s="1" t="s">
        <v>3464</v>
      </c>
      <c r="B1215" s="104">
        <v>5</v>
      </c>
      <c r="C1215" s="105" t="s">
        <v>3459</v>
      </c>
      <c r="D1215" s="1" t="s">
        <v>2290</v>
      </c>
      <c r="E1215" s="4"/>
      <c r="F1215" s="106">
        <f>IF(COUNTIF($A$4:$A1215,$A1215)=1,1,0)</f>
        <v>0</v>
      </c>
      <c r="G1215" s="106" cm="1">
        <f t="array" ref="G1215">IF($F1215=1,IF(SUMPRODUCT(--ISNUMBER(SEARCH(","&amp;$A1215&amp;",",'Parts list'!$Z$4:$Z$185)))&gt;0,1,0),0)</f>
        <v>0</v>
      </c>
    </row>
    <row r="1216" spans="1:7" x14ac:dyDescent="0.2">
      <c r="A1216" s="1" t="s">
        <v>3464</v>
      </c>
      <c r="B1216" s="104">
        <v>6</v>
      </c>
      <c r="C1216" s="105" t="s">
        <v>3460</v>
      </c>
      <c r="D1216" s="1" t="s">
        <v>2288</v>
      </c>
      <c r="E1216" s="4" t="s">
        <v>3456</v>
      </c>
      <c r="F1216" s="106">
        <f>IF(COUNTIF($A$4:$A1216,$A1216)=1,1,0)</f>
        <v>0</v>
      </c>
      <c r="G1216" s="106" cm="1">
        <f t="array" ref="G1216">IF($F1216=1,IF(SUMPRODUCT(--ISNUMBER(SEARCH(","&amp;$A1216&amp;",",'Parts list'!$Z$4:$Z$185)))&gt;0,1,0),0)</f>
        <v>0</v>
      </c>
    </row>
    <row r="1217" spans="1:7" x14ac:dyDescent="0.2">
      <c r="A1217" s="1" t="s">
        <v>3464</v>
      </c>
      <c r="B1217" s="104">
        <v>7</v>
      </c>
      <c r="C1217" s="104" t="s">
        <v>3461</v>
      </c>
      <c r="D1217" s="1" t="s">
        <v>2289</v>
      </c>
      <c r="E1217" s="4" t="s">
        <v>3466</v>
      </c>
      <c r="F1217" s="106">
        <f>IF(COUNTIF($A$4:$A1217,$A1217)=1,1,0)</f>
        <v>0</v>
      </c>
      <c r="G1217" s="106" cm="1">
        <f t="array" ref="G1217">IF($F1217=1,IF(SUMPRODUCT(--ISNUMBER(SEARCH(","&amp;$A1217&amp;",",'Parts list'!$Z$4:$Z$185)))&gt;0,1,0),0)</f>
        <v>0</v>
      </c>
    </row>
    <row r="1218" spans="1:7" x14ac:dyDescent="0.2">
      <c r="A1218" s="1" t="s">
        <v>3464</v>
      </c>
      <c r="B1218" s="104">
        <v>8</v>
      </c>
      <c r="C1218" s="104" t="s">
        <v>3440</v>
      </c>
      <c r="D1218" s="1" t="s">
        <v>2292</v>
      </c>
      <c r="E1218" s="4" t="s">
        <v>3463</v>
      </c>
      <c r="F1218" s="106">
        <f>IF(COUNTIF($A$4:$A1218,$A1218)=1,1,0)</f>
        <v>0</v>
      </c>
      <c r="G1218" s="106" cm="1">
        <f t="array" ref="G1218">IF($F1218=1,IF(SUMPRODUCT(--ISNUMBER(SEARCH(","&amp;$A1218&amp;",",'Parts list'!$Z$4:$Z$185)))&gt;0,1,0),0)</f>
        <v>0</v>
      </c>
    </row>
    <row r="1219" spans="1:7" x14ac:dyDescent="0.2">
      <c r="A1219" s="1" t="s">
        <v>989</v>
      </c>
      <c r="B1219" s="104">
        <v>1</v>
      </c>
      <c r="C1219" s="104" t="s">
        <v>3467</v>
      </c>
      <c r="D1219" s="1" t="s">
        <v>2866</v>
      </c>
      <c r="E1219" s="4" t="s">
        <v>3468</v>
      </c>
      <c r="F1219" s="106">
        <f>IF(COUNTIF($A$4:$A1219,$A1219)=1,1,0)</f>
        <v>1</v>
      </c>
      <c r="G1219" s="106" cm="1">
        <f t="array" ref="G1219">IF($F1219=1,IF(SUMPRODUCT(--ISNUMBER(SEARCH(","&amp;$A1219&amp;",",'Parts list'!$Z$4:$Z$185)))&gt;0,1,0),0)</f>
        <v>1</v>
      </c>
    </row>
    <row r="1220" spans="1:7" x14ac:dyDescent="0.2">
      <c r="A1220" s="1" t="s">
        <v>989</v>
      </c>
      <c r="B1220" s="104">
        <v>2</v>
      </c>
      <c r="C1220" s="104" t="s">
        <v>3469</v>
      </c>
      <c r="D1220" s="1" t="s">
        <v>2862</v>
      </c>
      <c r="E1220" s="4" t="s">
        <v>3468</v>
      </c>
      <c r="F1220" s="106">
        <f>IF(COUNTIF($A$4:$A1220,$A1220)=1,1,0)</f>
        <v>0</v>
      </c>
      <c r="G1220" s="106" cm="1">
        <f t="array" ref="G1220">IF($F1220=1,IF(SUMPRODUCT(--ISNUMBER(SEARCH(","&amp;$A1220&amp;",",'Parts list'!$Z$4:$Z$185)))&gt;0,1,0),0)</f>
        <v>0</v>
      </c>
    </row>
    <row r="1221" spans="1:7" x14ac:dyDescent="0.2">
      <c r="A1221" s="1" t="s">
        <v>989</v>
      </c>
      <c r="B1221" s="104">
        <v>3</v>
      </c>
      <c r="C1221" s="104" t="s">
        <v>3470</v>
      </c>
      <c r="D1221" s="1" t="s">
        <v>2331</v>
      </c>
      <c r="E1221" s="4" t="s">
        <v>3468</v>
      </c>
      <c r="F1221" s="106">
        <f>IF(COUNTIF($A$4:$A1221,$A1221)=1,1,0)</f>
        <v>0</v>
      </c>
      <c r="G1221" s="106" cm="1">
        <f t="array" ref="G1221">IF($F1221=1,IF(SUMPRODUCT(--ISNUMBER(SEARCH(","&amp;$A1221&amp;",",'Parts list'!$Z$4:$Z$185)))&gt;0,1,0),0)</f>
        <v>0</v>
      </c>
    </row>
    <row r="1222" spans="1:7" x14ac:dyDescent="0.2">
      <c r="A1222" s="1" t="s">
        <v>989</v>
      </c>
      <c r="B1222" s="104">
        <v>4</v>
      </c>
      <c r="C1222" s="104" t="s">
        <v>2168</v>
      </c>
      <c r="D1222" s="1" t="s">
        <v>2168</v>
      </c>
      <c r="E1222" s="4" t="s">
        <v>3468</v>
      </c>
      <c r="F1222" s="106">
        <f>IF(COUNTIF($A$4:$A1222,$A1222)=1,1,0)</f>
        <v>0</v>
      </c>
      <c r="G1222" s="106" cm="1">
        <f t="array" ref="G1222">IF($F1222=1,IF(SUMPRODUCT(--ISNUMBER(SEARCH(","&amp;$A1222&amp;",",'Parts list'!$Z$4:$Z$185)))&gt;0,1,0),0)</f>
        <v>0</v>
      </c>
    </row>
    <row r="1223" spans="1:7" x14ac:dyDescent="0.2">
      <c r="A1223" s="1" t="s">
        <v>989</v>
      </c>
      <c r="B1223" s="104">
        <v>5</v>
      </c>
      <c r="C1223" s="104" t="s">
        <v>3471</v>
      </c>
      <c r="D1223" s="1" t="s">
        <v>2335</v>
      </c>
      <c r="E1223" s="4" t="s">
        <v>3468</v>
      </c>
      <c r="F1223" s="106">
        <f>IF(COUNTIF($A$4:$A1223,$A1223)=1,1,0)</f>
        <v>0</v>
      </c>
      <c r="G1223" s="106" cm="1">
        <f t="array" ref="G1223">IF($F1223=1,IF(SUMPRODUCT(--ISNUMBER(SEARCH(","&amp;$A1223&amp;",",'Parts list'!$Z$4:$Z$185)))&gt;0,1,0),0)</f>
        <v>0</v>
      </c>
    </row>
    <row r="1224" spans="1:7" x14ac:dyDescent="0.2">
      <c r="A1224" s="1" t="s">
        <v>989</v>
      </c>
      <c r="B1224" s="104">
        <v>6</v>
      </c>
      <c r="C1224" s="104" t="s">
        <v>3472</v>
      </c>
      <c r="D1224" s="1" t="s">
        <v>2267</v>
      </c>
      <c r="E1224" s="4" t="s">
        <v>3468</v>
      </c>
      <c r="F1224" s="106">
        <f>IF(COUNTIF($A$4:$A1224,$A1224)=1,1,0)</f>
        <v>0</v>
      </c>
      <c r="G1224" s="106" cm="1">
        <f t="array" ref="G1224">IF($F1224=1,IF(SUMPRODUCT(--ISNUMBER(SEARCH(","&amp;$A1224&amp;",",'Parts list'!$Z$4:$Z$185)))&gt;0,1,0),0)</f>
        <v>0</v>
      </c>
    </row>
    <row r="1225" spans="1:7" x14ac:dyDescent="0.2">
      <c r="A1225" s="1" t="s">
        <v>989</v>
      </c>
      <c r="B1225" s="104">
        <v>7</v>
      </c>
      <c r="C1225" s="104" t="s">
        <v>3473</v>
      </c>
      <c r="D1225" s="1" t="s">
        <v>2864</v>
      </c>
      <c r="E1225" s="4" t="s">
        <v>3468</v>
      </c>
      <c r="F1225" s="106">
        <f>IF(COUNTIF($A$4:$A1225,$A1225)=1,1,0)</f>
        <v>0</v>
      </c>
      <c r="G1225" s="106" cm="1">
        <f t="array" ref="G1225">IF($F1225=1,IF(SUMPRODUCT(--ISNUMBER(SEARCH(","&amp;$A1225&amp;",",'Parts list'!$Z$4:$Z$185)))&gt;0,1,0),0)</f>
        <v>0</v>
      </c>
    </row>
    <row r="1226" spans="1:7" x14ac:dyDescent="0.2">
      <c r="A1226" s="1" t="s">
        <v>989</v>
      </c>
      <c r="B1226" s="104">
        <v>8</v>
      </c>
      <c r="C1226" s="104" t="s">
        <v>3474</v>
      </c>
      <c r="D1226" s="1" t="s">
        <v>2331</v>
      </c>
      <c r="E1226" s="4" t="s">
        <v>3468</v>
      </c>
      <c r="F1226" s="106">
        <f>IF(COUNTIF($A$4:$A1226,$A1226)=1,1,0)</f>
        <v>0</v>
      </c>
      <c r="G1226" s="106" cm="1">
        <f t="array" ref="G1226">IF($F1226=1,IF(SUMPRODUCT(--ISNUMBER(SEARCH(","&amp;$A1226&amp;",",'Parts list'!$Z$4:$Z$185)))&gt;0,1,0),0)</f>
        <v>0</v>
      </c>
    </row>
    <row r="1227" spans="1:7" x14ac:dyDescent="0.2">
      <c r="A1227" s="1" t="s">
        <v>989</v>
      </c>
      <c r="B1227" s="104">
        <v>9</v>
      </c>
      <c r="C1227" s="104" t="s">
        <v>3475</v>
      </c>
      <c r="D1227" s="1" t="s">
        <v>2333</v>
      </c>
      <c r="E1227" s="4" t="s">
        <v>3468</v>
      </c>
      <c r="F1227" s="106">
        <f>IF(COUNTIF($A$4:$A1227,$A1227)=1,1,0)</f>
        <v>0</v>
      </c>
      <c r="G1227" s="106" cm="1">
        <f t="array" ref="G1227">IF($F1227=1,IF(SUMPRODUCT(--ISNUMBER(SEARCH(","&amp;$A1227&amp;",",'Parts list'!$Z$4:$Z$185)))&gt;0,1,0),0)</f>
        <v>0</v>
      </c>
    </row>
    <row r="1228" spans="1:7" x14ac:dyDescent="0.2">
      <c r="A1228" s="1" t="s">
        <v>989</v>
      </c>
      <c r="B1228" s="104">
        <v>10</v>
      </c>
      <c r="C1228" s="104" t="s">
        <v>3476</v>
      </c>
      <c r="D1228" s="1" t="s">
        <v>2332</v>
      </c>
      <c r="E1228" s="4" t="s">
        <v>3468</v>
      </c>
      <c r="F1228" s="106">
        <f>IF(COUNTIF($A$4:$A1228,$A1228)=1,1,0)</f>
        <v>0</v>
      </c>
      <c r="G1228" s="106" cm="1">
        <f t="array" ref="G1228">IF($F1228=1,IF(SUMPRODUCT(--ISNUMBER(SEARCH(","&amp;$A1228&amp;",",'Parts list'!$Z$4:$Z$185)))&gt;0,1,0),0)</f>
        <v>0</v>
      </c>
    </row>
    <row r="1229" spans="1:7" x14ac:dyDescent="0.2">
      <c r="A1229" s="1" t="s">
        <v>989</v>
      </c>
      <c r="B1229" s="104">
        <v>11</v>
      </c>
      <c r="C1229" s="104" t="s">
        <v>3477</v>
      </c>
      <c r="D1229" s="1" t="s">
        <v>2264</v>
      </c>
      <c r="E1229" s="4" t="s">
        <v>3468</v>
      </c>
      <c r="F1229" s="106">
        <f>IF(COUNTIF($A$4:$A1229,$A1229)=1,1,0)</f>
        <v>0</v>
      </c>
      <c r="G1229" s="106" cm="1">
        <f t="array" ref="G1229">IF($F1229=1,IF(SUMPRODUCT(--ISNUMBER(SEARCH(","&amp;$A1229&amp;",",'Parts list'!$Z$4:$Z$185)))&gt;0,1,0),0)</f>
        <v>0</v>
      </c>
    </row>
    <row r="1230" spans="1:7" x14ac:dyDescent="0.2">
      <c r="A1230" s="1" t="s">
        <v>989</v>
      </c>
      <c r="B1230" s="104">
        <v>12</v>
      </c>
      <c r="C1230" s="104" t="s">
        <v>3478</v>
      </c>
      <c r="D1230" s="1" t="s">
        <v>2331</v>
      </c>
      <c r="E1230" s="4" t="s">
        <v>3468</v>
      </c>
      <c r="F1230" s="106">
        <f>IF(COUNTIF($A$4:$A1230,$A1230)=1,1,0)</f>
        <v>0</v>
      </c>
      <c r="G1230" s="106" cm="1">
        <f t="array" ref="G1230">IF($F1230=1,IF(SUMPRODUCT(--ISNUMBER(SEARCH(","&amp;$A1230&amp;",",'Parts list'!$Z$4:$Z$185)))&gt;0,1,0),0)</f>
        <v>0</v>
      </c>
    </row>
    <row r="1231" spans="1:7" x14ac:dyDescent="0.2">
      <c r="A1231" s="1" t="s">
        <v>989</v>
      </c>
      <c r="B1231" s="104" t="s">
        <v>3188</v>
      </c>
      <c r="C1231" s="104" t="s">
        <v>3479</v>
      </c>
      <c r="D1231" s="1" t="s">
        <v>2168</v>
      </c>
      <c r="E1231" s="4" t="s">
        <v>3468</v>
      </c>
      <c r="F1231" s="106">
        <f>IF(COUNTIF($A$4:$A1231,$A1231)=1,1,0)</f>
        <v>0</v>
      </c>
      <c r="G1231" s="106" cm="1">
        <f t="array" ref="G1231">IF($F1231=1,IF(SUMPRODUCT(--ISNUMBER(SEARCH(","&amp;$A1231&amp;",",'Parts list'!$Z$4:$Z$185)))&gt;0,1,0),0)</f>
        <v>0</v>
      </c>
    </row>
    <row r="1232" spans="1:7" x14ac:dyDescent="0.2">
      <c r="A1232" s="1" t="s">
        <v>999</v>
      </c>
      <c r="B1232" s="104">
        <v>1</v>
      </c>
      <c r="C1232" s="104" t="s">
        <v>3187</v>
      </c>
      <c r="D1232" s="1" t="s">
        <v>2169</v>
      </c>
      <c r="E1232" s="4" t="s">
        <v>3480</v>
      </c>
      <c r="F1232" s="106">
        <f>IF(COUNTIF($A$4:$A1232,$A1232)=1,1,0)</f>
        <v>1</v>
      </c>
      <c r="G1232" s="106" cm="1">
        <f t="array" ref="G1232">IF($F1232=1,IF(SUMPRODUCT(--ISNUMBER(SEARCH(","&amp;$A1232&amp;",",'Parts list'!$Z$4:$Z$185)))&gt;0,1,0),0)</f>
        <v>1</v>
      </c>
    </row>
    <row r="1233" spans="1:7" x14ac:dyDescent="0.2">
      <c r="A1233" s="1" t="s">
        <v>999</v>
      </c>
      <c r="B1233" s="104">
        <v>2</v>
      </c>
      <c r="C1233" s="104" t="s">
        <v>2168</v>
      </c>
      <c r="D1233" s="1" t="s">
        <v>2168</v>
      </c>
      <c r="E1233" s="4" t="s">
        <v>3480</v>
      </c>
      <c r="F1233" s="106">
        <f>IF(COUNTIF($A$4:$A1233,$A1233)=1,1,0)</f>
        <v>0</v>
      </c>
      <c r="G1233" s="106" cm="1">
        <f t="array" ref="G1233">IF($F1233=1,IF(SUMPRODUCT(--ISNUMBER(SEARCH(","&amp;$A1233&amp;",",'Parts list'!$Z$4:$Z$185)))&gt;0,1,0),0)</f>
        <v>0</v>
      </c>
    </row>
    <row r="1234" spans="1:7" x14ac:dyDescent="0.2">
      <c r="A1234" s="1" t="s">
        <v>999</v>
      </c>
      <c r="B1234" s="104">
        <v>3</v>
      </c>
      <c r="C1234" s="104" t="s">
        <v>3186</v>
      </c>
      <c r="D1234" s="1" t="s">
        <v>2469</v>
      </c>
      <c r="E1234" s="4" t="s">
        <v>3480</v>
      </c>
      <c r="F1234" s="106">
        <f>IF(COUNTIF($A$4:$A1234,$A1234)=1,1,0)</f>
        <v>0</v>
      </c>
      <c r="G1234" s="106" cm="1">
        <f t="array" ref="G1234">IF($F1234=1,IF(SUMPRODUCT(--ISNUMBER(SEARCH(","&amp;$A1234&amp;",",'Parts list'!$Z$4:$Z$185)))&gt;0,1,0),0)</f>
        <v>0</v>
      </c>
    </row>
    <row r="1235" spans="1:7" x14ac:dyDescent="0.2">
      <c r="A1235" s="1" t="s">
        <v>999</v>
      </c>
      <c r="B1235" s="104">
        <v>4</v>
      </c>
      <c r="C1235" s="104" t="s">
        <v>2469</v>
      </c>
      <c r="D1235" s="1" t="s">
        <v>2469</v>
      </c>
      <c r="E1235" s="4" t="s">
        <v>3480</v>
      </c>
      <c r="F1235" s="106">
        <f>IF(COUNTIF($A$4:$A1235,$A1235)=1,1,0)</f>
        <v>0</v>
      </c>
      <c r="G1235" s="106" cm="1">
        <f t="array" ref="G1235">IF($F1235=1,IF(SUMPRODUCT(--ISNUMBER(SEARCH(","&amp;$A1235&amp;",",'Parts list'!$Z$4:$Z$185)))&gt;0,1,0),0)</f>
        <v>0</v>
      </c>
    </row>
    <row r="1236" spans="1:7" x14ac:dyDescent="0.2">
      <c r="A1236" s="1" t="s">
        <v>999</v>
      </c>
      <c r="B1236" s="104">
        <v>5</v>
      </c>
      <c r="C1236" s="104" t="s">
        <v>3182</v>
      </c>
      <c r="D1236" s="1" t="s">
        <v>2181</v>
      </c>
      <c r="E1236" s="4" t="s">
        <v>3480</v>
      </c>
      <c r="F1236" s="106">
        <f>IF(COUNTIF($A$4:$A1236,$A1236)=1,1,0)</f>
        <v>0</v>
      </c>
      <c r="G1236" s="106" cm="1">
        <f t="array" ref="G1236">IF($F1236=1,IF(SUMPRODUCT(--ISNUMBER(SEARCH(","&amp;$A1236&amp;",",'Parts list'!$Z$4:$Z$185)))&gt;0,1,0),0)</f>
        <v>0</v>
      </c>
    </row>
    <row r="1237" spans="1:7" x14ac:dyDescent="0.2">
      <c r="A1237" s="1" t="s">
        <v>1009</v>
      </c>
      <c r="B1237" s="104">
        <v>1</v>
      </c>
      <c r="C1237" s="104" t="s">
        <v>2168</v>
      </c>
      <c r="D1237" s="1" t="s">
        <v>2168</v>
      </c>
      <c r="E1237" s="4" t="s">
        <v>3481</v>
      </c>
      <c r="F1237" s="106">
        <f>IF(COUNTIF($A$4:$A1237,$A1237)=1,1,0)</f>
        <v>1</v>
      </c>
      <c r="G1237" s="106" cm="1">
        <f t="array" ref="G1237">IF($F1237=1,IF(SUMPRODUCT(--ISNUMBER(SEARCH(","&amp;$A1237&amp;",",'Parts list'!$Z$4:$Z$185)))&gt;0,1,0),0)</f>
        <v>1</v>
      </c>
    </row>
    <row r="1238" spans="1:7" x14ac:dyDescent="0.2">
      <c r="A1238" s="1" t="s">
        <v>1009</v>
      </c>
      <c r="B1238" s="104">
        <v>2</v>
      </c>
      <c r="C1238" s="104" t="s">
        <v>3482</v>
      </c>
      <c r="D1238" s="1" t="s">
        <v>2339</v>
      </c>
      <c r="E1238" s="4" t="s">
        <v>3481</v>
      </c>
      <c r="F1238" s="106">
        <f>IF(COUNTIF($A$4:$A1238,$A1238)=1,1,0)</f>
        <v>0</v>
      </c>
      <c r="G1238" s="106" cm="1">
        <f t="array" ref="G1238">IF($F1238=1,IF(SUMPRODUCT(--ISNUMBER(SEARCH(","&amp;$A1238&amp;",",'Parts list'!$Z$4:$Z$185)))&gt;0,1,0),0)</f>
        <v>0</v>
      </c>
    </row>
    <row r="1239" spans="1:7" x14ac:dyDescent="0.2">
      <c r="A1239" s="1" t="s">
        <v>1009</v>
      </c>
      <c r="B1239" s="104">
        <v>3</v>
      </c>
      <c r="C1239" s="104" t="s">
        <v>3483</v>
      </c>
      <c r="D1239" s="1" t="s">
        <v>2872</v>
      </c>
      <c r="E1239" s="4" t="s">
        <v>3481</v>
      </c>
      <c r="F1239" s="106">
        <f>IF(COUNTIF($A$4:$A1239,$A1239)=1,1,0)</f>
        <v>0</v>
      </c>
      <c r="G1239" s="106" cm="1">
        <f t="array" ref="G1239">IF($F1239=1,IF(SUMPRODUCT(--ISNUMBER(SEARCH(","&amp;$A1239&amp;",",'Parts list'!$Z$4:$Z$185)))&gt;0,1,0),0)</f>
        <v>0</v>
      </c>
    </row>
    <row r="1240" spans="1:7" x14ac:dyDescent="0.2">
      <c r="A1240" s="1" t="s">
        <v>1009</v>
      </c>
      <c r="B1240" s="104">
        <v>4</v>
      </c>
      <c r="C1240" s="104" t="s">
        <v>3187</v>
      </c>
      <c r="D1240" s="1" t="s">
        <v>2220</v>
      </c>
      <c r="E1240" s="4" t="s">
        <v>3481</v>
      </c>
      <c r="F1240" s="106">
        <f>IF(COUNTIF($A$4:$A1240,$A1240)=1,1,0)</f>
        <v>0</v>
      </c>
      <c r="G1240" s="106" cm="1">
        <f t="array" ref="G1240">IF($F1240=1,IF(SUMPRODUCT(--ISNUMBER(SEARCH(","&amp;$A1240&amp;",",'Parts list'!$Z$4:$Z$185)))&gt;0,1,0),0)</f>
        <v>0</v>
      </c>
    </row>
    <row r="1241" spans="1:7" x14ac:dyDescent="0.2">
      <c r="A1241" s="1" t="s">
        <v>1009</v>
      </c>
      <c r="B1241" s="104">
        <v>5</v>
      </c>
      <c r="C1241" s="104" t="s">
        <v>3182</v>
      </c>
      <c r="D1241" s="1" t="s">
        <v>2330</v>
      </c>
      <c r="E1241" s="4" t="s">
        <v>3481</v>
      </c>
      <c r="F1241" s="106">
        <f>IF(COUNTIF($A$4:$A1241,$A1241)=1,1,0)</f>
        <v>0</v>
      </c>
      <c r="G1241" s="106" cm="1">
        <f t="array" ref="G1241">IF($F1241=1,IF(SUMPRODUCT(--ISNUMBER(SEARCH(","&amp;$A1241&amp;",",'Parts list'!$Z$4:$Z$185)))&gt;0,1,0),0)</f>
        <v>0</v>
      </c>
    </row>
    <row r="1242" spans="1:7" x14ac:dyDescent="0.2">
      <c r="A1242" s="1" t="s">
        <v>1009</v>
      </c>
      <c r="B1242" s="104">
        <v>6</v>
      </c>
      <c r="C1242" s="104" t="s">
        <v>3484</v>
      </c>
      <c r="D1242" s="1" t="s">
        <v>2871</v>
      </c>
      <c r="E1242" s="4" t="s">
        <v>3481</v>
      </c>
      <c r="F1242" s="106">
        <f>IF(COUNTIF($A$4:$A1242,$A1242)=1,1,0)</f>
        <v>0</v>
      </c>
      <c r="G1242" s="106" cm="1">
        <f t="array" ref="G1242">IF($F1242=1,IF(SUMPRODUCT(--ISNUMBER(SEARCH(","&amp;$A1242&amp;",",'Parts list'!$Z$4:$Z$185)))&gt;0,1,0),0)</f>
        <v>0</v>
      </c>
    </row>
    <row r="1243" spans="1:7" x14ac:dyDescent="0.2">
      <c r="A1243" s="1" t="s">
        <v>1009</v>
      </c>
      <c r="B1243" s="104">
        <v>7</v>
      </c>
      <c r="C1243" s="104" t="s">
        <v>3485</v>
      </c>
      <c r="D1243" s="1" t="s">
        <v>2867</v>
      </c>
      <c r="E1243" s="4" t="s">
        <v>3481</v>
      </c>
      <c r="F1243" s="106">
        <f>IF(COUNTIF($A$4:$A1243,$A1243)=1,1,0)</f>
        <v>0</v>
      </c>
      <c r="G1243" s="106" cm="1">
        <f t="array" ref="G1243">IF($F1243=1,IF(SUMPRODUCT(--ISNUMBER(SEARCH(","&amp;$A1243&amp;",",'Parts list'!$Z$4:$Z$185)))&gt;0,1,0),0)</f>
        <v>0</v>
      </c>
    </row>
    <row r="1244" spans="1:7" x14ac:dyDescent="0.2">
      <c r="A1244" s="1" t="s">
        <v>1009</v>
      </c>
      <c r="B1244" s="104">
        <v>8</v>
      </c>
      <c r="C1244" s="104" t="s">
        <v>3486</v>
      </c>
      <c r="D1244" s="1" t="s">
        <v>2469</v>
      </c>
      <c r="E1244" s="4" t="s">
        <v>3481</v>
      </c>
      <c r="F1244" s="106">
        <f>IF(COUNTIF($A$4:$A1244,$A1244)=1,1,0)</f>
        <v>0</v>
      </c>
      <c r="G1244" s="106" cm="1">
        <f t="array" ref="G1244">IF($F1244=1,IF(SUMPRODUCT(--ISNUMBER(SEARCH(","&amp;$A1244&amp;",",'Parts list'!$Z$4:$Z$185)))&gt;0,1,0),0)</f>
        <v>0</v>
      </c>
    </row>
    <row r="1245" spans="1:7" x14ac:dyDescent="0.2">
      <c r="A1245" s="1" t="s">
        <v>1009</v>
      </c>
      <c r="B1245" s="104" t="s">
        <v>3188</v>
      </c>
      <c r="C1245" s="104" t="s">
        <v>3479</v>
      </c>
      <c r="D1245" s="1" t="s">
        <v>2168</v>
      </c>
      <c r="E1245" s="4" t="s">
        <v>3481</v>
      </c>
      <c r="F1245" s="106">
        <f>IF(COUNTIF($A$4:$A1245,$A1245)=1,1,0)</f>
        <v>0</v>
      </c>
      <c r="G1245" s="106" cm="1">
        <f t="array" ref="G1245">IF($F1245=1,IF(SUMPRODUCT(--ISNUMBER(SEARCH(","&amp;$A1245&amp;",",'Parts list'!$Z$4:$Z$185)))&gt;0,1,0),0)</f>
        <v>0</v>
      </c>
    </row>
    <row r="1246" spans="1:7" x14ac:dyDescent="0.2">
      <c r="A1246" s="1" t="s">
        <v>1019</v>
      </c>
      <c r="B1246" s="104">
        <v>1</v>
      </c>
      <c r="C1246" s="104" t="s">
        <v>3182</v>
      </c>
      <c r="D1246" s="1" t="s">
        <v>2208</v>
      </c>
      <c r="E1246" s="4" t="s">
        <v>3487</v>
      </c>
      <c r="F1246" s="106">
        <f>IF(COUNTIF($A$4:$A1246,$A1246)=1,1,0)</f>
        <v>1</v>
      </c>
      <c r="G1246" s="106" cm="1">
        <f t="array" ref="G1246">IF($F1246=1,IF(SUMPRODUCT(--ISNUMBER(SEARCH(","&amp;$A1246&amp;",",'Parts list'!$Z$4:$Z$185)))&gt;0,1,0),0)</f>
        <v>1</v>
      </c>
    </row>
    <row r="1247" spans="1:7" x14ac:dyDescent="0.2">
      <c r="A1247" s="1" t="s">
        <v>1019</v>
      </c>
      <c r="B1247" s="104">
        <v>2</v>
      </c>
      <c r="C1247" s="104" t="s">
        <v>3488</v>
      </c>
      <c r="D1247" s="1" t="s">
        <v>2208</v>
      </c>
      <c r="E1247" s="4" t="s">
        <v>3487</v>
      </c>
      <c r="F1247" s="106">
        <f>IF(COUNTIF($A$4:$A1247,$A1247)=1,1,0)</f>
        <v>0</v>
      </c>
      <c r="G1247" s="106" cm="1">
        <f t="array" ref="G1247">IF($F1247=1,IF(SUMPRODUCT(--ISNUMBER(SEARCH(","&amp;$A1247&amp;",",'Parts list'!$Z$4:$Z$185)))&gt;0,1,0),0)</f>
        <v>0</v>
      </c>
    </row>
    <row r="1248" spans="1:7" x14ac:dyDescent="0.2">
      <c r="A1248" s="1" t="s">
        <v>1019</v>
      </c>
      <c r="B1248" s="104">
        <v>3</v>
      </c>
      <c r="C1248" s="104" t="s">
        <v>2168</v>
      </c>
      <c r="D1248" s="1" t="s">
        <v>2168</v>
      </c>
      <c r="E1248" s="4" t="s">
        <v>3487</v>
      </c>
      <c r="F1248" s="106">
        <f>IF(COUNTIF($A$4:$A1248,$A1248)=1,1,0)</f>
        <v>0</v>
      </c>
      <c r="G1248" s="106" cm="1">
        <f t="array" ref="G1248">IF($F1248=1,IF(SUMPRODUCT(--ISNUMBER(SEARCH(","&amp;$A1248&amp;",",'Parts list'!$Z$4:$Z$185)))&gt;0,1,0),0)</f>
        <v>0</v>
      </c>
    </row>
    <row r="1249" spans="1:7" x14ac:dyDescent="0.2">
      <c r="A1249" s="1" t="s">
        <v>1019</v>
      </c>
      <c r="B1249" s="104">
        <v>4</v>
      </c>
      <c r="C1249" s="104" t="s">
        <v>3186</v>
      </c>
      <c r="D1249" s="1" t="s">
        <v>2636</v>
      </c>
      <c r="E1249" s="4" t="s">
        <v>3487</v>
      </c>
      <c r="F1249" s="106">
        <f>IF(COUNTIF($A$4:$A1249,$A1249)=1,1,0)</f>
        <v>0</v>
      </c>
      <c r="G1249" s="106" cm="1">
        <f t="array" ref="G1249">IF($F1249=1,IF(SUMPRODUCT(--ISNUMBER(SEARCH(","&amp;$A1249&amp;",",'Parts list'!$Z$4:$Z$185)))&gt;0,1,0),0)</f>
        <v>0</v>
      </c>
    </row>
    <row r="1250" spans="1:7" x14ac:dyDescent="0.2">
      <c r="A1250" s="1" t="s">
        <v>1019</v>
      </c>
      <c r="B1250" s="104">
        <v>5</v>
      </c>
      <c r="C1250" s="104" t="s">
        <v>2168</v>
      </c>
      <c r="D1250" s="1" t="s">
        <v>2168</v>
      </c>
      <c r="E1250" s="4" t="s">
        <v>3487</v>
      </c>
      <c r="F1250" s="106">
        <f>IF(COUNTIF($A$4:$A1250,$A1250)=1,1,0)</f>
        <v>0</v>
      </c>
      <c r="G1250" s="106" cm="1">
        <f t="array" ref="G1250">IF($F1250=1,IF(SUMPRODUCT(--ISNUMBER(SEARCH(","&amp;$A1250&amp;",",'Parts list'!$Z$4:$Z$185)))&gt;0,1,0),0)</f>
        <v>0</v>
      </c>
    </row>
    <row r="1251" spans="1:7" x14ac:dyDescent="0.2">
      <c r="A1251" s="1" t="s">
        <v>1019</v>
      </c>
      <c r="B1251" s="104">
        <v>6</v>
      </c>
      <c r="C1251" s="104" t="s">
        <v>3187</v>
      </c>
      <c r="D1251" s="1" t="s">
        <v>2220</v>
      </c>
      <c r="E1251" s="4" t="s">
        <v>3487</v>
      </c>
      <c r="F1251" s="106">
        <f>IF(COUNTIF($A$4:$A1251,$A1251)=1,1,0)</f>
        <v>0</v>
      </c>
      <c r="G1251" s="106" cm="1">
        <f t="array" ref="G1251">IF($F1251=1,IF(SUMPRODUCT(--ISNUMBER(SEARCH(","&amp;$A1251&amp;",",'Parts list'!$Z$4:$Z$185)))&gt;0,1,0),0)</f>
        <v>0</v>
      </c>
    </row>
    <row r="1252" spans="1:7" x14ac:dyDescent="0.2">
      <c r="A1252" s="1" t="s">
        <v>1019</v>
      </c>
      <c r="B1252" s="104" t="s">
        <v>3188</v>
      </c>
      <c r="C1252" s="104" t="s">
        <v>3479</v>
      </c>
      <c r="D1252" s="1" t="s">
        <v>2168</v>
      </c>
      <c r="E1252" s="4" t="s">
        <v>3487</v>
      </c>
      <c r="F1252" s="106">
        <f>IF(COUNTIF($A$4:$A1252,$A1252)=1,1,0)</f>
        <v>0</v>
      </c>
      <c r="G1252" s="106" cm="1">
        <f t="array" ref="G1252">IF($F1252=1,IF(SUMPRODUCT(--ISNUMBER(SEARCH(","&amp;$A1252&amp;",",'Parts list'!$Z$4:$Z$185)))&gt;0,1,0),0)</f>
        <v>0</v>
      </c>
    </row>
    <row r="1253" spans="1:7" x14ac:dyDescent="0.2">
      <c r="A1253" s="1" t="s">
        <v>1029</v>
      </c>
      <c r="B1253" s="104">
        <v>1</v>
      </c>
      <c r="C1253" s="104" t="s">
        <v>2625</v>
      </c>
      <c r="D1253" s="1" t="s">
        <v>2869</v>
      </c>
      <c r="E1253" s="4" t="s">
        <v>3489</v>
      </c>
      <c r="F1253" s="106">
        <f>IF(COUNTIF($A$4:$A1253,$A1253)=1,1,0)</f>
        <v>1</v>
      </c>
      <c r="G1253" s="106" cm="1">
        <f t="array" ref="G1253">IF($F1253=1,IF(SUMPRODUCT(--ISNUMBER(SEARCH(","&amp;$A1253&amp;",",'Parts list'!$Z$4:$Z$185)))&gt;0,1,0),0)</f>
        <v>1</v>
      </c>
    </row>
    <row r="1254" spans="1:7" x14ac:dyDescent="0.2">
      <c r="A1254" s="1" t="s">
        <v>1029</v>
      </c>
      <c r="B1254" s="104">
        <v>2</v>
      </c>
      <c r="C1254" s="104" t="s">
        <v>2624</v>
      </c>
      <c r="D1254" s="1" t="s">
        <v>2168</v>
      </c>
      <c r="E1254" s="4" t="s">
        <v>3489</v>
      </c>
      <c r="F1254" s="106">
        <f>IF(COUNTIF($A$4:$A1254,$A1254)=1,1,0)</f>
        <v>0</v>
      </c>
      <c r="G1254" s="106" cm="1">
        <f t="array" ref="G1254">IF($F1254=1,IF(SUMPRODUCT(--ISNUMBER(SEARCH(","&amp;$A1254&amp;",",'Parts list'!$Z$4:$Z$185)))&gt;0,1,0),0)</f>
        <v>0</v>
      </c>
    </row>
    <row r="1255" spans="1:7" x14ac:dyDescent="0.2">
      <c r="A1255" s="1" t="s">
        <v>1029</v>
      </c>
      <c r="B1255" s="104">
        <v>3</v>
      </c>
      <c r="C1255" s="104" t="s">
        <v>2168</v>
      </c>
      <c r="D1255" s="1" t="s">
        <v>2168</v>
      </c>
      <c r="E1255" s="4" t="s">
        <v>3489</v>
      </c>
      <c r="F1255" s="106">
        <f>IF(COUNTIF($A$4:$A1255,$A1255)=1,1,0)</f>
        <v>0</v>
      </c>
      <c r="G1255" s="106" cm="1">
        <f t="array" ref="G1255">IF($F1255=1,IF(SUMPRODUCT(--ISNUMBER(SEARCH(","&amp;$A1255&amp;",",'Parts list'!$Z$4:$Z$185)))&gt;0,1,0),0)</f>
        <v>0</v>
      </c>
    </row>
    <row r="1256" spans="1:7" x14ac:dyDescent="0.2">
      <c r="A1256" s="1" t="s">
        <v>1029</v>
      </c>
      <c r="B1256" s="104">
        <v>4</v>
      </c>
      <c r="C1256" s="104" t="s">
        <v>3490</v>
      </c>
      <c r="D1256" s="1" t="s">
        <v>2870</v>
      </c>
      <c r="E1256" s="4" t="s">
        <v>3489</v>
      </c>
      <c r="F1256" s="106">
        <f>IF(COUNTIF($A$4:$A1256,$A1256)=1,1,0)</f>
        <v>0</v>
      </c>
      <c r="G1256" s="106" cm="1">
        <f t="array" ref="G1256">IF($F1256=1,IF(SUMPRODUCT(--ISNUMBER(SEARCH(","&amp;$A1256&amp;",",'Parts list'!$Z$4:$Z$185)))&gt;0,1,0),0)</f>
        <v>0</v>
      </c>
    </row>
    <row r="1257" spans="1:7" x14ac:dyDescent="0.2">
      <c r="A1257" s="1" t="s">
        <v>1029</v>
      </c>
      <c r="B1257" s="104">
        <v>5</v>
      </c>
      <c r="C1257" s="104" t="s">
        <v>3491</v>
      </c>
      <c r="D1257" s="1" t="s">
        <v>2181</v>
      </c>
      <c r="E1257" s="4" t="s">
        <v>3489</v>
      </c>
      <c r="F1257" s="106">
        <f>IF(COUNTIF($A$4:$A1257,$A1257)=1,1,0)</f>
        <v>0</v>
      </c>
      <c r="G1257" s="106" cm="1">
        <f t="array" ref="G1257">IF($F1257=1,IF(SUMPRODUCT(--ISNUMBER(SEARCH(","&amp;$A1257&amp;",",'Parts list'!$Z$4:$Z$185)))&gt;0,1,0),0)</f>
        <v>0</v>
      </c>
    </row>
    <row r="1258" spans="1:7" ht="27.75" customHeight="1" x14ac:dyDescent="0.2">
      <c r="A1258" s="1" t="s">
        <v>3492</v>
      </c>
      <c r="B1258" s="104">
        <v>1</v>
      </c>
      <c r="C1258" s="104" t="s">
        <v>3493</v>
      </c>
      <c r="D1258" s="1" t="s">
        <v>2356</v>
      </c>
      <c r="E1258" s="4" t="s">
        <v>3494</v>
      </c>
      <c r="F1258" s="106">
        <f>IF(COUNTIF($A$4:$A1258,$A1258)=1,1,0)</f>
        <v>1</v>
      </c>
      <c r="G1258" s="106" cm="1">
        <f t="array" ref="G1258">IF($F1258=1,IF(SUMPRODUCT(--ISNUMBER(SEARCH(","&amp;$A1258&amp;",",'Parts list'!$Z$4:$Z$185)))&gt;0,1,0),0)</f>
        <v>1</v>
      </c>
    </row>
    <row r="1259" spans="1:7" x14ac:dyDescent="0.2">
      <c r="A1259" s="1" t="s">
        <v>3492</v>
      </c>
      <c r="B1259" s="104">
        <v>2</v>
      </c>
      <c r="C1259" s="104" t="s">
        <v>3495</v>
      </c>
      <c r="D1259" s="1" t="s">
        <v>2356</v>
      </c>
      <c r="E1259" s="4"/>
      <c r="F1259" s="106">
        <f>IF(COUNTIF($A$4:$A1259,$A1259)=1,1,0)</f>
        <v>0</v>
      </c>
      <c r="G1259" s="106" cm="1">
        <f t="array" ref="G1259">IF($F1259=1,IF(SUMPRODUCT(--ISNUMBER(SEARCH(","&amp;$A1259&amp;",",'Parts list'!$Z$4:$Z$185)))&gt;0,1,0),0)</f>
        <v>0</v>
      </c>
    </row>
    <row r="1260" spans="1:7" x14ac:dyDescent="0.2">
      <c r="A1260" s="1" t="s">
        <v>3492</v>
      </c>
      <c r="B1260" s="104">
        <v>3</v>
      </c>
      <c r="C1260" s="104" t="s">
        <v>3440</v>
      </c>
      <c r="D1260" s="1" t="s">
        <v>2264</v>
      </c>
      <c r="E1260" s="4"/>
      <c r="F1260" s="106">
        <f>IF(COUNTIF($A$4:$A1260,$A1260)=1,1,0)</f>
        <v>0</v>
      </c>
      <c r="G1260" s="106" cm="1">
        <f t="array" ref="G1260">IF($F1260=1,IF(SUMPRODUCT(--ISNUMBER(SEARCH(","&amp;$A1260&amp;",",'Parts list'!$Z$4:$Z$185)))&gt;0,1,0),0)</f>
        <v>0</v>
      </c>
    </row>
    <row r="1261" spans="1:7" x14ac:dyDescent="0.2">
      <c r="A1261" s="1" t="s">
        <v>3492</v>
      </c>
      <c r="B1261" s="104">
        <v>4</v>
      </c>
      <c r="C1261" s="104" t="s">
        <v>3496</v>
      </c>
      <c r="D1261" s="1" t="s">
        <v>2363</v>
      </c>
      <c r="E1261" s="4"/>
      <c r="F1261" s="106">
        <f>IF(COUNTIF($A$4:$A1261,$A1261)=1,1,0)</f>
        <v>0</v>
      </c>
      <c r="G1261" s="106" cm="1">
        <f t="array" ref="G1261">IF($F1261=1,IF(SUMPRODUCT(--ISNUMBER(SEARCH(","&amp;$A1261&amp;",",'Parts list'!$Z$4:$Z$185)))&gt;0,1,0),0)</f>
        <v>0</v>
      </c>
    </row>
    <row r="1262" spans="1:7" x14ac:dyDescent="0.2">
      <c r="A1262" s="1" t="s">
        <v>3492</v>
      </c>
      <c r="B1262" s="104">
        <v>5</v>
      </c>
      <c r="C1262" s="104" t="s">
        <v>3497</v>
      </c>
      <c r="D1262" s="1" t="s">
        <v>2935</v>
      </c>
      <c r="E1262" s="4"/>
      <c r="F1262" s="106">
        <f>IF(COUNTIF($A$4:$A1262,$A1262)=1,1,0)</f>
        <v>0</v>
      </c>
      <c r="G1262" s="106" cm="1">
        <f t="array" ref="G1262">IF($F1262=1,IF(SUMPRODUCT(--ISNUMBER(SEARCH(","&amp;$A1262&amp;",",'Parts list'!$Z$4:$Z$185)))&gt;0,1,0),0)</f>
        <v>0</v>
      </c>
    </row>
    <row r="1263" spans="1:7" x14ac:dyDescent="0.2">
      <c r="A1263" s="1" t="s">
        <v>3492</v>
      </c>
      <c r="B1263" s="104">
        <v>6</v>
      </c>
      <c r="C1263" s="104" t="s">
        <v>3498</v>
      </c>
      <c r="D1263" s="1" t="s">
        <v>2938</v>
      </c>
      <c r="E1263" s="4"/>
      <c r="F1263" s="106">
        <f>IF(COUNTIF($A$4:$A1263,$A1263)=1,1,0)</f>
        <v>0</v>
      </c>
      <c r="G1263" s="106" cm="1">
        <f t="array" ref="G1263">IF($F1263=1,IF(SUMPRODUCT(--ISNUMBER(SEARCH(","&amp;$A1263&amp;",",'Parts list'!$Z$4:$Z$185)))&gt;0,1,0),0)</f>
        <v>0</v>
      </c>
    </row>
    <row r="1264" spans="1:7" x14ac:dyDescent="0.2">
      <c r="A1264" s="1" t="s">
        <v>3492</v>
      </c>
      <c r="B1264" s="104">
        <v>7</v>
      </c>
      <c r="C1264" s="104" t="s">
        <v>3499</v>
      </c>
      <c r="D1264" s="1" t="s">
        <v>2363</v>
      </c>
      <c r="E1264" s="4"/>
      <c r="F1264" s="106">
        <f>IF(COUNTIF($A$4:$A1264,$A1264)=1,1,0)</f>
        <v>0</v>
      </c>
      <c r="G1264" s="106" cm="1">
        <f t="array" ref="G1264">IF($F1264=1,IF(SUMPRODUCT(--ISNUMBER(SEARCH(","&amp;$A1264&amp;",",'Parts list'!$Z$4:$Z$185)))&gt;0,1,0),0)</f>
        <v>0</v>
      </c>
    </row>
    <row r="1265" spans="1:7" x14ac:dyDescent="0.2">
      <c r="A1265" s="1" t="s">
        <v>3492</v>
      </c>
      <c r="B1265" s="104">
        <v>8</v>
      </c>
      <c r="C1265" s="104" t="s">
        <v>3500</v>
      </c>
      <c r="D1265" s="1" t="s">
        <v>2366</v>
      </c>
      <c r="E1265" s="4"/>
      <c r="F1265" s="106">
        <f>IF(COUNTIF($A$4:$A1265,$A1265)=1,1,0)</f>
        <v>0</v>
      </c>
      <c r="G1265" s="106" cm="1">
        <f t="array" ref="G1265">IF($F1265=1,IF(SUMPRODUCT(--ISNUMBER(SEARCH(","&amp;$A1265&amp;",",'Parts list'!$Z$4:$Z$185)))&gt;0,1,0),0)</f>
        <v>0</v>
      </c>
    </row>
    <row r="1266" spans="1:7" x14ac:dyDescent="0.2">
      <c r="A1266" s="1" t="s">
        <v>3492</v>
      </c>
      <c r="B1266" s="104">
        <v>9</v>
      </c>
      <c r="C1266" s="104" t="s">
        <v>3501</v>
      </c>
      <c r="D1266" s="1" t="s">
        <v>2935</v>
      </c>
      <c r="E1266" s="4"/>
      <c r="F1266" s="106">
        <f>IF(COUNTIF($A$4:$A1266,$A1266)=1,1,0)</f>
        <v>0</v>
      </c>
      <c r="G1266" s="106" cm="1">
        <f t="array" ref="G1266">IF($F1266=1,IF(SUMPRODUCT(--ISNUMBER(SEARCH(","&amp;$A1266&amp;",",'Parts list'!$Z$4:$Z$185)))&gt;0,1,0),0)</f>
        <v>0</v>
      </c>
    </row>
    <row r="1267" spans="1:7" x14ac:dyDescent="0.2">
      <c r="A1267" s="1" t="s">
        <v>3492</v>
      </c>
      <c r="B1267" s="104">
        <v>10</v>
      </c>
      <c r="C1267" s="104" t="s">
        <v>3502</v>
      </c>
      <c r="D1267" s="1" t="s">
        <v>2938</v>
      </c>
      <c r="E1267" s="4"/>
      <c r="F1267" s="106">
        <f>IF(COUNTIF($A$4:$A1267,$A1267)=1,1,0)</f>
        <v>0</v>
      </c>
      <c r="G1267" s="106" cm="1">
        <f t="array" ref="G1267">IF($F1267=1,IF(SUMPRODUCT(--ISNUMBER(SEARCH(","&amp;$A1267&amp;",",'Parts list'!$Z$4:$Z$185)))&gt;0,1,0),0)</f>
        <v>0</v>
      </c>
    </row>
    <row r="1268" spans="1:7" x14ac:dyDescent="0.2">
      <c r="A1268" s="1" t="s">
        <v>3492</v>
      </c>
      <c r="B1268" s="104">
        <v>11</v>
      </c>
      <c r="C1268" s="104" t="s">
        <v>3503</v>
      </c>
      <c r="D1268" s="1" t="s">
        <v>2366</v>
      </c>
      <c r="E1268" s="4"/>
      <c r="F1268" s="106">
        <f>IF(COUNTIF($A$4:$A1268,$A1268)=1,1,0)</f>
        <v>0</v>
      </c>
      <c r="G1268" s="106" cm="1">
        <f t="array" ref="G1268">IF($F1268=1,IF(SUMPRODUCT(--ISNUMBER(SEARCH(","&amp;$A1268&amp;",",'Parts list'!$Z$4:$Z$185)))&gt;0,1,0),0)</f>
        <v>0</v>
      </c>
    </row>
    <row r="1269" spans="1:7" x14ac:dyDescent="0.2">
      <c r="A1269" s="1" t="s">
        <v>3492</v>
      </c>
      <c r="B1269" s="104">
        <v>12</v>
      </c>
      <c r="C1269" s="104" t="s">
        <v>3442</v>
      </c>
      <c r="D1269" s="1" t="s">
        <v>2267</v>
      </c>
      <c r="E1269" s="4"/>
      <c r="F1269" s="106">
        <f>IF(COUNTIF($A$4:$A1269,$A1269)=1,1,0)</f>
        <v>0</v>
      </c>
      <c r="G1269" s="106" cm="1">
        <f t="array" ref="G1269">IF($F1269=1,IF(SUMPRODUCT(--ISNUMBER(SEARCH(","&amp;$A1269&amp;",",'Parts list'!$Z$4:$Z$185)))&gt;0,1,0),0)</f>
        <v>0</v>
      </c>
    </row>
    <row r="1270" spans="1:7" x14ac:dyDescent="0.2">
      <c r="A1270" s="1" t="s">
        <v>3492</v>
      </c>
      <c r="B1270" s="104">
        <v>13</v>
      </c>
      <c r="C1270" s="104" t="s">
        <v>3504</v>
      </c>
      <c r="D1270" s="1" t="s">
        <v>2356</v>
      </c>
      <c r="E1270" s="4"/>
      <c r="F1270" s="106">
        <f>IF(COUNTIF($A$4:$A1270,$A1270)=1,1,0)</f>
        <v>0</v>
      </c>
      <c r="G1270" s="106" cm="1">
        <f t="array" ref="G1270">IF($F1270=1,IF(SUMPRODUCT(--ISNUMBER(SEARCH(","&amp;$A1270&amp;",",'Parts list'!$Z$4:$Z$185)))&gt;0,1,0),0)</f>
        <v>0</v>
      </c>
    </row>
    <row r="1271" spans="1:7" x14ac:dyDescent="0.2">
      <c r="A1271" s="1" t="s">
        <v>3492</v>
      </c>
      <c r="B1271" s="104">
        <v>14</v>
      </c>
      <c r="C1271" s="104" t="s">
        <v>3505</v>
      </c>
      <c r="D1271" s="1" t="s">
        <v>2356</v>
      </c>
      <c r="E1271" s="4"/>
      <c r="F1271" s="106">
        <f>IF(COUNTIF($A$4:$A1271,$A1271)=1,1,0)</f>
        <v>0</v>
      </c>
      <c r="G1271" s="106" cm="1">
        <f t="array" ref="G1271">IF($F1271=1,IF(SUMPRODUCT(--ISNUMBER(SEARCH(","&amp;$A1271&amp;",",'Parts list'!$Z$4:$Z$185)))&gt;0,1,0),0)</f>
        <v>0</v>
      </c>
    </row>
    <row r="1272" spans="1:7" ht="27.75" customHeight="1" x14ac:dyDescent="0.2">
      <c r="A1272" s="1" t="s">
        <v>1397</v>
      </c>
      <c r="B1272" s="104">
        <v>1</v>
      </c>
      <c r="C1272" s="104" t="s">
        <v>3453</v>
      </c>
      <c r="D1272" s="1" t="s">
        <v>2911</v>
      </c>
      <c r="E1272" s="4" t="s">
        <v>3506</v>
      </c>
      <c r="F1272" s="106">
        <f>IF(COUNTIF($A$4:$A1272,$A1272)=1,1,0)</f>
        <v>1</v>
      </c>
      <c r="G1272" s="106" cm="1">
        <f t="array" ref="G1272">IF($F1272=1,IF(SUMPRODUCT(--ISNUMBER(SEARCH(","&amp;$A1272&amp;",",'Parts list'!$Z$4:$Z$185)))&gt;0,1,0),0)</f>
        <v>1</v>
      </c>
    </row>
    <row r="1273" spans="1:7" x14ac:dyDescent="0.2">
      <c r="A1273" s="1" t="s">
        <v>1397</v>
      </c>
      <c r="B1273" s="104">
        <v>2</v>
      </c>
      <c r="C1273" s="105" t="s">
        <v>3455</v>
      </c>
      <c r="D1273" s="1" t="s">
        <v>2653</v>
      </c>
      <c r="E1273" s="4"/>
      <c r="F1273" s="106">
        <f>IF(COUNTIF($A$4:$A1273,$A1273)=1,1,0)</f>
        <v>0</v>
      </c>
      <c r="G1273" s="106" cm="1">
        <f t="array" ref="G1273">IF($F1273=1,IF(SUMPRODUCT(--ISNUMBER(SEARCH(","&amp;$A1273&amp;",",'Parts list'!$Z$4:$Z$185)))&gt;0,1,0),0)</f>
        <v>0</v>
      </c>
    </row>
    <row r="1274" spans="1:7" x14ac:dyDescent="0.2">
      <c r="A1274" s="1" t="s">
        <v>1397</v>
      </c>
      <c r="B1274" s="104">
        <v>3</v>
      </c>
      <c r="C1274" s="105" t="s">
        <v>3457</v>
      </c>
      <c r="D1274" s="1" t="s">
        <v>2947</v>
      </c>
      <c r="E1274" s="4"/>
      <c r="F1274" s="106">
        <f>IF(COUNTIF($A$4:$A1274,$A1274)=1,1,0)</f>
        <v>0</v>
      </c>
      <c r="G1274" s="106" cm="1">
        <f t="array" ref="G1274">IF($F1274=1,IF(SUMPRODUCT(--ISNUMBER(SEARCH(","&amp;$A1274&amp;",",'Parts list'!$Z$4:$Z$185)))&gt;0,1,0),0)</f>
        <v>0</v>
      </c>
    </row>
    <row r="1275" spans="1:7" x14ac:dyDescent="0.2">
      <c r="A1275" s="1" t="s">
        <v>1397</v>
      </c>
      <c r="B1275" s="104">
        <v>4</v>
      </c>
      <c r="C1275" s="104" t="s">
        <v>3442</v>
      </c>
      <c r="D1275" s="1" t="s">
        <v>2168</v>
      </c>
      <c r="E1275" s="4"/>
      <c r="F1275" s="106">
        <f>IF(COUNTIF($A$4:$A1275,$A1275)=1,1,0)</f>
        <v>0</v>
      </c>
      <c r="G1275" s="106" cm="1">
        <f t="array" ref="G1275">IF($F1275=1,IF(SUMPRODUCT(--ISNUMBER(SEARCH(","&amp;$A1275&amp;",",'Parts list'!$Z$4:$Z$185)))&gt;0,1,0),0)</f>
        <v>0</v>
      </c>
    </row>
    <row r="1276" spans="1:7" x14ac:dyDescent="0.2">
      <c r="A1276" s="1" t="s">
        <v>1397</v>
      </c>
      <c r="B1276" s="104">
        <v>5</v>
      </c>
      <c r="C1276" s="105" t="s">
        <v>3459</v>
      </c>
      <c r="D1276" s="1" t="s">
        <v>2947</v>
      </c>
      <c r="E1276" s="4"/>
      <c r="F1276" s="106">
        <f>IF(COUNTIF($A$4:$A1276,$A1276)=1,1,0)</f>
        <v>0</v>
      </c>
      <c r="G1276" s="106" cm="1">
        <f t="array" ref="G1276">IF($F1276=1,IF(SUMPRODUCT(--ISNUMBER(SEARCH(","&amp;$A1276&amp;",",'Parts list'!$Z$4:$Z$185)))&gt;0,1,0),0)</f>
        <v>0</v>
      </c>
    </row>
    <row r="1277" spans="1:7" x14ac:dyDescent="0.2">
      <c r="A1277" s="1" t="s">
        <v>1397</v>
      </c>
      <c r="B1277" s="104">
        <v>6</v>
      </c>
      <c r="C1277" s="105" t="s">
        <v>3460</v>
      </c>
      <c r="D1277" s="1" t="s">
        <v>2657</v>
      </c>
      <c r="E1277" s="4"/>
      <c r="F1277" s="106">
        <f>IF(COUNTIF($A$4:$A1277,$A1277)=1,1,0)</f>
        <v>0</v>
      </c>
      <c r="G1277" s="106" cm="1">
        <f t="array" ref="G1277">IF($F1277=1,IF(SUMPRODUCT(--ISNUMBER(SEARCH(","&amp;$A1277&amp;",",'Parts list'!$Z$4:$Z$185)))&gt;0,1,0),0)</f>
        <v>0</v>
      </c>
    </row>
    <row r="1278" spans="1:7" x14ac:dyDescent="0.2">
      <c r="A1278" s="1" t="s">
        <v>1397</v>
      </c>
      <c r="B1278" s="104">
        <v>7</v>
      </c>
      <c r="C1278" s="104" t="s">
        <v>3461</v>
      </c>
      <c r="D1278" s="1" t="s">
        <v>2914</v>
      </c>
      <c r="E1278" s="4"/>
      <c r="F1278" s="106">
        <f>IF(COUNTIF($A$4:$A1278,$A1278)=1,1,0)</f>
        <v>0</v>
      </c>
      <c r="G1278" s="106" cm="1">
        <f t="array" ref="G1278">IF($F1278=1,IF(SUMPRODUCT(--ISNUMBER(SEARCH(","&amp;$A1278&amp;",",'Parts list'!$Z$4:$Z$185)))&gt;0,1,0),0)</f>
        <v>0</v>
      </c>
    </row>
    <row r="1279" spans="1:7" x14ac:dyDescent="0.2">
      <c r="A1279" s="1" t="s">
        <v>1397</v>
      </c>
      <c r="B1279" s="104">
        <v>8</v>
      </c>
      <c r="C1279" s="104" t="s">
        <v>3440</v>
      </c>
      <c r="D1279" s="1" t="s">
        <v>2208</v>
      </c>
      <c r="E1279" s="4"/>
      <c r="F1279" s="106">
        <f>IF(COUNTIF($A$4:$A1279,$A1279)=1,1,0)</f>
        <v>0</v>
      </c>
      <c r="G1279" s="106" cm="1">
        <f t="array" ref="G1279">IF($F1279=1,IF(SUMPRODUCT(--ISNUMBER(SEARCH(","&amp;$A1279&amp;",",'Parts list'!$Z$4:$Z$185)))&gt;0,1,0),0)</f>
        <v>0</v>
      </c>
    </row>
    <row r="1280" spans="1:7" x14ac:dyDescent="0.2">
      <c r="A1280" s="1" t="s">
        <v>1407</v>
      </c>
      <c r="B1280" s="104">
        <v>1</v>
      </c>
      <c r="C1280" s="104" t="s">
        <v>3507</v>
      </c>
      <c r="D1280" s="1" t="s">
        <v>2671</v>
      </c>
      <c r="E1280" s="4" t="s">
        <v>3508</v>
      </c>
      <c r="F1280" s="106">
        <f>IF(COUNTIF($A$4:$A1280,$A1280)=1,1,0)</f>
        <v>1</v>
      </c>
      <c r="G1280" s="106" cm="1">
        <f t="array" ref="G1280">IF($F1280=1,IF(SUMPRODUCT(--ISNUMBER(SEARCH(","&amp;$A1280&amp;",",'Parts list'!$Z$4:$Z$185)))&gt;0,1,0),0)</f>
        <v>1</v>
      </c>
    </row>
    <row r="1281" spans="1:7" x14ac:dyDescent="0.2">
      <c r="A1281" s="1" t="s">
        <v>1407</v>
      </c>
      <c r="B1281" s="104">
        <v>2</v>
      </c>
      <c r="C1281" s="104" t="s">
        <v>3509</v>
      </c>
      <c r="D1281" s="1" t="s">
        <v>2972</v>
      </c>
      <c r="E1281" s="4"/>
      <c r="F1281" s="106">
        <f>IF(COUNTIF($A$4:$A1281,$A1281)=1,1,0)</f>
        <v>0</v>
      </c>
      <c r="G1281" s="106" cm="1">
        <f t="array" ref="G1281">IF($F1281=1,IF(SUMPRODUCT(--ISNUMBER(SEARCH(","&amp;$A1281&amp;",",'Parts list'!$Z$4:$Z$185)))&gt;0,1,0),0)</f>
        <v>0</v>
      </c>
    </row>
    <row r="1282" spans="1:7" x14ac:dyDescent="0.2">
      <c r="A1282" s="1" t="s">
        <v>1407</v>
      </c>
      <c r="B1282" s="104">
        <v>3</v>
      </c>
      <c r="C1282" s="104" t="s">
        <v>3510</v>
      </c>
      <c r="D1282" s="1" t="s">
        <v>2977</v>
      </c>
      <c r="E1282" s="4"/>
      <c r="F1282" s="106">
        <f>IF(COUNTIF($A$4:$A1282,$A1282)=1,1,0)</f>
        <v>0</v>
      </c>
      <c r="G1282" s="106" cm="1">
        <f t="array" ref="G1282">IF($F1282=1,IF(SUMPRODUCT(--ISNUMBER(SEARCH(","&amp;$A1282&amp;",",'Parts list'!$Z$4:$Z$185)))&gt;0,1,0),0)</f>
        <v>0</v>
      </c>
    </row>
    <row r="1283" spans="1:7" x14ac:dyDescent="0.2">
      <c r="A1283" s="1" t="s">
        <v>1407</v>
      </c>
      <c r="B1283" s="104">
        <v>4</v>
      </c>
      <c r="C1283" s="104" t="s">
        <v>2168</v>
      </c>
      <c r="D1283" s="1" t="s">
        <v>2168</v>
      </c>
      <c r="E1283" s="4"/>
      <c r="F1283" s="106">
        <f>IF(COUNTIF($A$4:$A1283,$A1283)=1,1,0)</f>
        <v>0</v>
      </c>
      <c r="G1283" s="106" cm="1">
        <f t="array" ref="G1283">IF($F1283=1,IF(SUMPRODUCT(--ISNUMBER(SEARCH(","&amp;$A1283&amp;",",'Parts list'!$Z$4:$Z$185)))&gt;0,1,0),0)</f>
        <v>0</v>
      </c>
    </row>
    <row r="1284" spans="1:7" x14ac:dyDescent="0.2">
      <c r="A1284" s="1" t="s">
        <v>1407</v>
      </c>
      <c r="B1284" s="104">
        <v>5</v>
      </c>
      <c r="C1284" s="104" t="s">
        <v>3511</v>
      </c>
      <c r="D1284" s="1" t="s">
        <v>2993</v>
      </c>
      <c r="E1284" s="4"/>
      <c r="F1284" s="106">
        <f>IF(COUNTIF($A$4:$A1284,$A1284)=1,1,0)</f>
        <v>0</v>
      </c>
      <c r="G1284" s="106" cm="1">
        <f t="array" ref="G1284">IF($F1284=1,IF(SUMPRODUCT(--ISNUMBER(SEARCH(","&amp;$A1284&amp;",",'Parts list'!$Z$4:$Z$185)))&gt;0,1,0),0)</f>
        <v>0</v>
      </c>
    </row>
    <row r="1285" spans="1:7" x14ac:dyDescent="0.2">
      <c r="A1285" s="1" t="s">
        <v>1407</v>
      </c>
      <c r="B1285" s="104">
        <v>6</v>
      </c>
      <c r="C1285" s="104" t="s">
        <v>3512</v>
      </c>
      <c r="D1285" s="1" t="s">
        <v>2988</v>
      </c>
      <c r="E1285" s="4"/>
      <c r="F1285" s="106">
        <f>IF(COUNTIF($A$4:$A1285,$A1285)=1,1,0)</f>
        <v>0</v>
      </c>
      <c r="G1285" s="106" cm="1">
        <f t="array" ref="G1285">IF($F1285=1,IF(SUMPRODUCT(--ISNUMBER(SEARCH(","&amp;$A1285&amp;",",'Parts list'!$Z$4:$Z$185)))&gt;0,1,0),0)</f>
        <v>0</v>
      </c>
    </row>
    <row r="1286" spans="1:7" x14ac:dyDescent="0.2">
      <c r="A1286" s="1" t="s">
        <v>1407</v>
      </c>
      <c r="B1286" s="104">
        <v>7</v>
      </c>
      <c r="C1286" s="104" t="s">
        <v>3513</v>
      </c>
      <c r="D1286" s="1" t="s">
        <v>2675</v>
      </c>
      <c r="E1286" s="4"/>
      <c r="F1286" s="106">
        <f>IF(COUNTIF($A$4:$A1286,$A1286)=1,1,0)</f>
        <v>0</v>
      </c>
      <c r="G1286" s="106" cm="1">
        <f t="array" ref="G1286">IF($F1286=1,IF(SUMPRODUCT(--ISNUMBER(SEARCH(","&amp;$A1286&amp;",",'Parts list'!$Z$4:$Z$185)))&gt;0,1,0),0)</f>
        <v>0</v>
      </c>
    </row>
    <row r="1287" spans="1:7" x14ac:dyDescent="0.2">
      <c r="A1287" s="1" t="s">
        <v>1407</v>
      </c>
      <c r="B1287" s="104">
        <v>8</v>
      </c>
      <c r="C1287" s="104" t="s">
        <v>3375</v>
      </c>
      <c r="D1287" s="1" t="s">
        <v>2181</v>
      </c>
      <c r="E1287" s="4"/>
      <c r="F1287" s="106">
        <f>IF(COUNTIF($A$4:$A1287,$A1287)=1,1,0)</f>
        <v>0</v>
      </c>
      <c r="G1287" s="106" cm="1">
        <f t="array" ref="G1287">IF($F1287=1,IF(SUMPRODUCT(--ISNUMBER(SEARCH(","&amp;$A1287&amp;",",'Parts list'!$Z$4:$Z$185)))&gt;0,1,0),0)</f>
        <v>0</v>
      </c>
    </row>
    <row r="1288" spans="1:7" ht="27.75" customHeight="1" x14ac:dyDescent="0.2">
      <c r="A1288" s="1" t="s">
        <v>3514</v>
      </c>
      <c r="B1288" s="104">
        <v>1</v>
      </c>
      <c r="C1288" s="104" t="s">
        <v>3493</v>
      </c>
      <c r="D1288" s="1" t="s">
        <v>2356</v>
      </c>
      <c r="E1288" s="4" t="s">
        <v>3515</v>
      </c>
      <c r="F1288" s="106">
        <f>IF(COUNTIF($A$4:$A1288,$A1288)=1,1,0)</f>
        <v>1</v>
      </c>
      <c r="G1288" s="106" cm="1">
        <f t="array" ref="G1288">IF($F1288=1,IF(SUMPRODUCT(--ISNUMBER(SEARCH(","&amp;$A1288&amp;",",'Parts list'!$Z$4:$Z$185)))&gt;0,1,0),0)</f>
        <v>1</v>
      </c>
    </row>
    <row r="1289" spans="1:7" x14ac:dyDescent="0.2">
      <c r="A1289" s="1" t="s">
        <v>3514</v>
      </c>
      <c r="B1289" s="104">
        <v>2</v>
      </c>
      <c r="C1289" s="104" t="s">
        <v>3495</v>
      </c>
      <c r="D1289" s="1" t="s">
        <v>2356</v>
      </c>
      <c r="E1289" s="4" t="s">
        <v>3516</v>
      </c>
      <c r="F1289" s="106">
        <f>IF(COUNTIF($A$4:$A1289,$A1289)=1,1,0)</f>
        <v>0</v>
      </c>
      <c r="G1289" s="106" cm="1">
        <f t="array" ref="G1289">IF($F1289=1,IF(SUMPRODUCT(--ISNUMBER(SEARCH(","&amp;$A1289&amp;",",'Parts list'!$Z$4:$Z$185)))&gt;0,1,0),0)</f>
        <v>0</v>
      </c>
    </row>
    <row r="1290" spans="1:7" x14ac:dyDescent="0.2">
      <c r="A1290" s="1" t="s">
        <v>3514</v>
      </c>
      <c r="B1290" s="104">
        <v>3</v>
      </c>
      <c r="C1290" s="104" t="s">
        <v>3440</v>
      </c>
      <c r="D1290" s="1" t="s">
        <v>2264</v>
      </c>
      <c r="E1290" s="4"/>
      <c r="F1290" s="106">
        <f>IF(COUNTIF($A$4:$A1290,$A1290)=1,1,0)</f>
        <v>0</v>
      </c>
      <c r="G1290" s="106" cm="1">
        <f t="array" ref="G1290">IF($F1290=1,IF(SUMPRODUCT(--ISNUMBER(SEARCH(","&amp;$A1290&amp;",",'Parts list'!$Z$4:$Z$185)))&gt;0,1,0),0)</f>
        <v>0</v>
      </c>
    </row>
    <row r="1291" spans="1:7" x14ac:dyDescent="0.2">
      <c r="A1291" s="1" t="s">
        <v>3514</v>
      </c>
      <c r="B1291" s="104">
        <v>4</v>
      </c>
      <c r="C1291" s="104" t="s">
        <v>3496</v>
      </c>
      <c r="D1291" s="1" t="s">
        <v>2966</v>
      </c>
      <c r="E1291" s="4"/>
      <c r="F1291" s="106">
        <f>IF(COUNTIF($A$4:$A1291,$A1291)=1,1,0)</f>
        <v>0</v>
      </c>
      <c r="G1291" s="106" cm="1">
        <f t="array" ref="G1291">IF($F1291=1,IF(SUMPRODUCT(--ISNUMBER(SEARCH(","&amp;$A1291&amp;",",'Parts list'!$Z$4:$Z$185)))&gt;0,1,0),0)</f>
        <v>0</v>
      </c>
    </row>
    <row r="1292" spans="1:7" x14ac:dyDescent="0.2">
      <c r="A1292" s="1" t="s">
        <v>3514</v>
      </c>
      <c r="B1292" s="104">
        <v>5</v>
      </c>
      <c r="C1292" s="104" t="s">
        <v>3497</v>
      </c>
      <c r="D1292" s="1" t="s">
        <v>2384</v>
      </c>
      <c r="E1292" s="4"/>
      <c r="F1292" s="106">
        <f>IF(COUNTIF($A$4:$A1292,$A1292)=1,1,0)</f>
        <v>0</v>
      </c>
      <c r="G1292" s="106" cm="1">
        <f t="array" ref="G1292">IF($F1292=1,IF(SUMPRODUCT(--ISNUMBER(SEARCH(","&amp;$A1292&amp;",",'Parts list'!$Z$4:$Z$185)))&gt;0,1,0),0)</f>
        <v>0</v>
      </c>
    </row>
    <row r="1293" spans="1:7" x14ac:dyDescent="0.2">
      <c r="A1293" s="1" t="s">
        <v>3514</v>
      </c>
      <c r="B1293" s="104">
        <v>6</v>
      </c>
      <c r="C1293" s="104" t="s">
        <v>3498</v>
      </c>
      <c r="D1293" s="1" t="s">
        <v>2959</v>
      </c>
      <c r="E1293" s="4"/>
      <c r="F1293" s="106">
        <f>IF(COUNTIF($A$4:$A1293,$A1293)=1,1,0)</f>
        <v>0</v>
      </c>
      <c r="G1293" s="106" cm="1">
        <f t="array" ref="G1293">IF($F1293=1,IF(SUMPRODUCT(--ISNUMBER(SEARCH(","&amp;$A1293&amp;",",'Parts list'!$Z$4:$Z$185)))&gt;0,1,0),0)</f>
        <v>0</v>
      </c>
    </row>
    <row r="1294" spans="1:7" x14ac:dyDescent="0.2">
      <c r="A1294" s="1" t="s">
        <v>3514</v>
      </c>
      <c r="B1294" s="104">
        <v>7</v>
      </c>
      <c r="C1294" s="104" t="s">
        <v>3499</v>
      </c>
      <c r="D1294" s="1" t="s">
        <v>2956</v>
      </c>
      <c r="E1294" s="4"/>
      <c r="F1294" s="106">
        <f>IF(COUNTIF($A$4:$A1294,$A1294)=1,1,0)</f>
        <v>0</v>
      </c>
      <c r="G1294" s="106" cm="1">
        <f t="array" ref="G1294">IF($F1294=1,IF(SUMPRODUCT(--ISNUMBER(SEARCH(","&amp;$A1294&amp;",",'Parts list'!$Z$4:$Z$185)))&gt;0,1,0),0)</f>
        <v>0</v>
      </c>
    </row>
    <row r="1295" spans="1:7" x14ac:dyDescent="0.2">
      <c r="A1295" s="1" t="s">
        <v>3514</v>
      </c>
      <c r="B1295" s="104">
        <v>8</v>
      </c>
      <c r="C1295" s="104" t="s">
        <v>3500</v>
      </c>
      <c r="D1295" s="1" t="s">
        <v>2985</v>
      </c>
      <c r="E1295" s="4"/>
      <c r="F1295" s="106">
        <f>IF(COUNTIF($A$4:$A1295,$A1295)=1,1,0)</f>
        <v>0</v>
      </c>
      <c r="G1295" s="106" cm="1">
        <f t="array" ref="G1295">IF($F1295=1,IF(SUMPRODUCT(--ISNUMBER(SEARCH(","&amp;$A1295&amp;",",'Parts list'!$Z$4:$Z$185)))&gt;0,1,0),0)</f>
        <v>0</v>
      </c>
    </row>
    <row r="1296" spans="1:7" x14ac:dyDescent="0.2">
      <c r="A1296" s="1" t="s">
        <v>3514</v>
      </c>
      <c r="B1296" s="104">
        <v>9</v>
      </c>
      <c r="C1296" s="104" t="s">
        <v>3501</v>
      </c>
      <c r="D1296" s="1" t="s">
        <v>2966</v>
      </c>
      <c r="E1296" s="4"/>
      <c r="F1296" s="106">
        <f>IF(COUNTIF($A$4:$A1296,$A1296)=1,1,0)</f>
        <v>0</v>
      </c>
      <c r="G1296" s="106" cm="1">
        <f t="array" ref="G1296">IF($F1296=1,IF(SUMPRODUCT(--ISNUMBER(SEARCH(","&amp;$A1296&amp;",",'Parts list'!$Z$4:$Z$185)))&gt;0,1,0),0)</f>
        <v>0</v>
      </c>
    </row>
    <row r="1297" spans="1:7" x14ac:dyDescent="0.2">
      <c r="A1297" s="1" t="s">
        <v>3514</v>
      </c>
      <c r="B1297" s="104">
        <v>10</v>
      </c>
      <c r="C1297" s="104" t="s">
        <v>3502</v>
      </c>
      <c r="D1297" s="1" t="s">
        <v>2356</v>
      </c>
      <c r="E1297" s="4" t="s">
        <v>3517</v>
      </c>
      <c r="F1297" s="106">
        <f>IF(COUNTIF($A$4:$A1297,$A1297)=1,1,0)</f>
        <v>0</v>
      </c>
      <c r="G1297" s="106" cm="1">
        <f t="array" ref="G1297">IF($F1297=1,IF(SUMPRODUCT(--ISNUMBER(SEARCH(","&amp;$A1297&amp;",",'Parts list'!$Z$4:$Z$185)))&gt;0,1,0),0)</f>
        <v>0</v>
      </c>
    </row>
    <row r="1298" spans="1:7" x14ac:dyDescent="0.2">
      <c r="A1298" s="1" t="s">
        <v>3514</v>
      </c>
      <c r="B1298" s="104">
        <v>11</v>
      </c>
      <c r="C1298" s="104" t="s">
        <v>3503</v>
      </c>
      <c r="D1298" s="1" t="s">
        <v>3015</v>
      </c>
      <c r="E1298" s="4" t="s">
        <v>3518</v>
      </c>
      <c r="F1298" s="106">
        <f>IF(COUNTIF($A$4:$A1298,$A1298)=1,1,0)</f>
        <v>0</v>
      </c>
      <c r="G1298" s="106" cm="1">
        <f t="array" ref="G1298">IF($F1298=1,IF(SUMPRODUCT(--ISNUMBER(SEARCH(","&amp;$A1298&amp;",",'Parts list'!$Z$4:$Z$185)))&gt;0,1,0),0)</f>
        <v>0</v>
      </c>
    </row>
    <row r="1299" spans="1:7" x14ac:dyDescent="0.2">
      <c r="A1299" s="1" t="s">
        <v>3514</v>
      </c>
      <c r="B1299" s="104">
        <v>12</v>
      </c>
      <c r="C1299" s="104" t="s">
        <v>3442</v>
      </c>
      <c r="D1299" s="1" t="s">
        <v>2267</v>
      </c>
      <c r="E1299" s="4"/>
      <c r="F1299" s="106">
        <f>IF(COUNTIF($A$4:$A1299,$A1299)=1,1,0)</f>
        <v>0</v>
      </c>
      <c r="G1299" s="106" cm="1">
        <f t="array" ref="G1299">IF($F1299=1,IF(SUMPRODUCT(--ISNUMBER(SEARCH(","&amp;$A1299&amp;",",'Parts list'!$Z$4:$Z$185)))&gt;0,1,0),0)</f>
        <v>0</v>
      </c>
    </row>
    <row r="1300" spans="1:7" x14ac:dyDescent="0.2">
      <c r="A1300" s="1" t="s">
        <v>3514</v>
      </c>
      <c r="B1300" s="104">
        <v>13</v>
      </c>
      <c r="C1300" s="104" t="s">
        <v>3504</v>
      </c>
      <c r="D1300" s="1" t="s">
        <v>2678</v>
      </c>
      <c r="E1300" s="4" t="s">
        <v>3519</v>
      </c>
      <c r="F1300" s="106">
        <f>IF(COUNTIF($A$4:$A1300,$A1300)=1,1,0)</f>
        <v>0</v>
      </c>
      <c r="G1300" s="106" cm="1">
        <f t="array" ref="G1300">IF($F1300=1,IF(SUMPRODUCT(--ISNUMBER(SEARCH(","&amp;$A1300&amp;",",'Parts list'!$Z$4:$Z$185)))&gt;0,1,0),0)</f>
        <v>0</v>
      </c>
    </row>
    <row r="1301" spans="1:7" x14ac:dyDescent="0.2">
      <c r="A1301" s="1" t="s">
        <v>3514</v>
      </c>
      <c r="B1301" s="104">
        <v>14</v>
      </c>
      <c r="C1301" s="104" t="s">
        <v>3505</v>
      </c>
      <c r="D1301" s="1" t="s">
        <v>2356</v>
      </c>
      <c r="E1301" s="4" t="s">
        <v>3520</v>
      </c>
      <c r="F1301" s="106">
        <f>IF(COUNTIF($A$4:$A1301,$A1301)=1,1,0)</f>
        <v>0</v>
      </c>
      <c r="G1301" s="106" cm="1">
        <f t="array" ref="G1301">IF($F1301=1,IF(SUMPRODUCT(--ISNUMBER(SEARCH(","&amp;$A1301&amp;",",'Parts list'!$Z$4:$Z$185)))&gt;0,1,0),0)</f>
        <v>0</v>
      </c>
    </row>
    <row r="1302" spans="1:7" x14ac:dyDescent="0.2">
      <c r="A1302" s="1" t="s">
        <v>1417</v>
      </c>
      <c r="B1302" s="104">
        <v>1</v>
      </c>
      <c r="C1302" s="104" t="s">
        <v>2469</v>
      </c>
      <c r="D1302" s="1" t="s">
        <v>2469</v>
      </c>
      <c r="E1302" s="4" t="s">
        <v>3521</v>
      </c>
      <c r="F1302" s="106">
        <f>IF(COUNTIF($A$4:$A1302,$A1302)=1,1,0)</f>
        <v>1</v>
      </c>
      <c r="G1302" s="106" cm="1">
        <f t="array" ref="G1302">IF($F1302=1,IF(SUMPRODUCT(--ISNUMBER(SEARCH(","&amp;$A1302&amp;",",'Parts list'!$Z$4:$Z$185)))&gt;0,1,0),0)</f>
        <v>1</v>
      </c>
    </row>
    <row r="1303" spans="1:7" x14ac:dyDescent="0.2">
      <c r="A1303" s="1" t="s">
        <v>1417</v>
      </c>
      <c r="B1303" s="104">
        <v>2</v>
      </c>
      <c r="C1303" s="104" t="s">
        <v>2466</v>
      </c>
      <c r="D1303" s="1" t="s">
        <v>2951</v>
      </c>
      <c r="E1303" s="4" t="s">
        <v>3522</v>
      </c>
      <c r="F1303" s="106">
        <f>IF(COUNTIF($A$4:$A1303,$A1303)=1,1,0)</f>
        <v>0</v>
      </c>
      <c r="G1303" s="106" cm="1">
        <f t="array" ref="G1303">IF($F1303=1,IF(SUMPRODUCT(--ISNUMBER(SEARCH(","&amp;$A1303&amp;",",'Parts list'!$Z$4:$Z$185)))&gt;0,1,0),0)</f>
        <v>0</v>
      </c>
    </row>
    <row r="1304" spans="1:7" x14ac:dyDescent="0.2">
      <c r="A1304" s="1" t="s">
        <v>1417</v>
      </c>
      <c r="B1304" s="104">
        <v>3</v>
      </c>
      <c r="C1304" s="104" t="s">
        <v>2168</v>
      </c>
      <c r="D1304" s="1" t="s">
        <v>2168</v>
      </c>
      <c r="E1304" s="4"/>
      <c r="F1304" s="106">
        <f>IF(COUNTIF($A$4:$A1304,$A1304)=1,1,0)</f>
        <v>0</v>
      </c>
      <c r="G1304" s="106" cm="1">
        <f t="array" ref="G1304">IF($F1304=1,IF(SUMPRODUCT(--ISNUMBER(SEARCH(","&amp;$A1304&amp;",",'Parts list'!$Z$4:$Z$185)))&gt;0,1,0),0)</f>
        <v>0</v>
      </c>
    </row>
    <row r="1305" spans="1:7" x14ac:dyDescent="0.2">
      <c r="A1305" s="1" t="s">
        <v>1417</v>
      </c>
      <c r="B1305" s="104">
        <v>4</v>
      </c>
      <c r="C1305" s="104" t="s">
        <v>3373</v>
      </c>
      <c r="D1305" s="1" t="s">
        <v>2372</v>
      </c>
      <c r="E1305" s="4"/>
      <c r="F1305" s="106">
        <f>IF(COUNTIF($A$4:$A1305,$A1305)=1,1,0)</f>
        <v>0</v>
      </c>
      <c r="G1305" s="106" cm="1">
        <f t="array" ref="G1305">IF($F1305=1,IF(SUMPRODUCT(--ISNUMBER(SEARCH(","&amp;$A1305&amp;",",'Parts list'!$Z$4:$Z$185)))&gt;0,1,0),0)</f>
        <v>0</v>
      </c>
    </row>
    <row r="1306" spans="1:7" x14ac:dyDescent="0.2">
      <c r="A1306" s="1" t="s">
        <v>1417</v>
      </c>
      <c r="B1306" s="104">
        <v>5</v>
      </c>
      <c r="C1306" s="104" t="s">
        <v>3375</v>
      </c>
      <c r="D1306" s="1" t="s">
        <v>2208</v>
      </c>
      <c r="E1306" s="4"/>
      <c r="F1306" s="106">
        <f>IF(COUNTIF($A$4:$A1306,$A1306)=1,1,0)</f>
        <v>0</v>
      </c>
      <c r="G1306" s="106" cm="1">
        <f t="array" ref="G1306">IF($F1306=1,IF(SUMPRODUCT(--ISNUMBER(SEARCH(","&amp;$A1306&amp;",",'Parts list'!$Z$4:$Z$185)))&gt;0,1,0),0)</f>
        <v>0</v>
      </c>
    </row>
    <row r="1307" spans="1:7" x14ac:dyDescent="0.2">
      <c r="A1307" s="1" t="s">
        <v>1427</v>
      </c>
      <c r="B1307" s="104">
        <v>1</v>
      </c>
      <c r="C1307" s="104" t="s">
        <v>3471</v>
      </c>
      <c r="D1307" s="1" t="s">
        <v>2919</v>
      </c>
      <c r="E1307" s="4" t="s">
        <v>3523</v>
      </c>
      <c r="F1307" s="106">
        <f>IF(COUNTIF($A$4:$A1307,$A1307)=1,1,0)</f>
        <v>1</v>
      </c>
      <c r="G1307" s="106" cm="1">
        <f t="array" ref="G1307">IF($F1307=1,IF(SUMPRODUCT(--ISNUMBER(SEARCH(","&amp;$A1307&amp;",",'Parts list'!$Z$4:$Z$185)))&gt;0,1,0),0)</f>
        <v>1</v>
      </c>
    </row>
    <row r="1308" spans="1:7" x14ac:dyDescent="0.2">
      <c r="A1308" s="1" t="s">
        <v>1427</v>
      </c>
      <c r="B1308" s="104">
        <v>2</v>
      </c>
      <c r="C1308" s="104" t="s">
        <v>2625</v>
      </c>
      <c r="D1308" s="1" t="s">
        <v>2680</v>
      </c>
      <c r="E1308" s="4"/>
      <c r="F1308" s="106">
        <f>IF(COUNTIF($A$4:$A1308,$A1308)=1,1,0)</f>
        <v>0</v>
      </c>
      <c r="G1308" s="106" cm="1">
        <f t="array" ref="G1308">IF($F1308=1,IF(SUMPRODUCT(--ISNUMBER(SEARCH(","&amp;$A1308&amp;",",'Parts list'!$Z$4:$Z$185)))&gt;0,1,0),0)</f>
        <v>0</v>
      </c>
    </row>
    <row r="1309" spans="1:7" x14ac:dyDescent="0.2">
      <c r="A1309" s="1" t="s">
        <v>1427</v>
      </c>
      <c r="B1309" s="104">
        <v>3</v>
      </c>
      <c r="C1309" s="104" t="s">
        <v>3524</v>
      </c>
      <c r="D1309" s="1" t="s">
        <v>2469</v>
      </c>
      <c r="E1309" s="4" t="s">
        <v>3525</v>
      </c>
      <c r="F1309" s="106">
        <f>IF(COUNTIF($A$4:$A1309,$A1309)=1,1,0)</f>
        <v>0</v>
      </c>
      <c r="G1309" s="106" cm="1">
        <f t="array" ref="G1309">IF($F1309=1,IF(SUMPRODUCT(--ISNUMBER(SEARCH(","&amp;$A1309&amp;",",'Parts list'!$Z$4:$Z$185)))&gt;0,1,0),0)</f>
        <v>0</v>
      </c>
    </row>
    <row r="1310" spans="1:7" x14ac:dyDescent="0.2">
      <c r="A1310" s="1" t="s">
        <v>1427</v>
      </c>
      <c r="B1310" s="104">
        <v>4</v>
      </c>
      <c r="C1310" s="104" t="s">
        <v>2168</v>
      </c>
      <c r="D1310" s="1" t="s">
        <v>2168</v>
      </c>
      <c r="E1310" s="4"/>
      <c r="F1310" s="106">
        <f>IF(COUNTIF($A$4:$A1310,$A1310)=1,1,0)</f>
        <v>0</v>
      </c>
      <c r="G1310" s="106" cm="1">
        <f t="array" ref="G1310">IF($F1310=1,IF(SUMPRODUCT(--ISNUMBER(SEARCH(","&amp;$A1310&amp;",",'Parts list'!$Z$4:$Z$185)))&gt;0,1,0),0)</f>
        <v>0</v>
      </c>
    </row>
    <row r="1311" spans="1:7" x14ac:dyDescent="0.2">
      <c r="A1311" s="1" t="s">
        <v>1427</v>
      </c>
      <c r="B1311" s="104">
        <v>5</v>
      </c>
      <c r="C1311" s="104" t="s">
        <v>3526</v>
      </c>
      <c r="D1311" s="1" t="s">
        <v>3011</v>
      </c>
      <c r="E1311" s="4"/>
      <c r="F1311" s="106">
        <f>IF(COUNTIF($A$4:$A1311,$A1311)=1,1,0)</f>
        <v>0</v>
      </c>
      <c r="G1311" s="106" cm="1">
        <f t="array" ref="G1311">IF($F1311=1,IF(SUMPRODUCT(--ISNUMBER(SEARCH(","&amp;$A1311&amp;",",'Parts list'!$Z$4:$Z$185)))&gt;0,1,0),0)</f>
        <v>0</v>
      </c>
    </row>
    <row r="1312" spans="1:7" x14ac:dyDescent="0.2">
      <c r="A1312" s="1" t="s">
        <v>1427</v>
      </c>
      <c r="B1312" s="104">
        <v>6</v>
      </c>
      <c r="C1312" s="104" t="s">
        <v>3527</v>
      </c>
      <c r="D1312" s="1" t="s">
        <v>2680</v>
      </c>
      <c r="E1312" s="4" t="s">
        <v>3528</v>
      </c>
      <c r="F1312" s="106">
        <f>IF(COUNTIF($A$4:$A1312,$A1312)=1,1,0)</f>
        <v>0</v>
      </c>
      <c r="G1312" s="106" cm="1">
        <f t="array" ref="G1312">IF($F1312=1,IF(SUMPRODUCT(--ISNUMBER(SEARCH(","&amp;$A1312&amp;",",'Parts list'!$Z$4:$Z$185)))&gt;0,1,0),0)</f>
        <v>0</v>
      </c>
    </row>
    <row r="1313" spans="1:7" x14ac:dyDescent="0.2">
      <c r="A1313" s="1" t="s">
        <v>1427</v>
      </c>
      <c r="B1313" s="104">
        <v>7</v>
      </c>
      <c r="C1313" s="104" t="s">
        <v>3529</v>
      </c>
      <c r="D1313" s="1" t="s">
        <v>2208</v>
      </c>
      <c r="E1313" s="4" t="s">
        <v>3530</v>
      </c>
      <c r="F1313" s="106">
        <f>IF(COUNTIF($A$4:$A1313,$A1313)=1,1,0)</f>
        <v>0</v>
      </c>
      <c r="G1313" s="106" cm="1">
        <f t="array" ref="G1313">IF($F1313=1,IF(SUMPRODUCT(--ISNUMBER(SEARCH(","&amp;$A1313&amp;",",'Parts list'!$Z$4:$Z$185)))&gt;0,1,0),0)</f>
        <v>0</v>
      </c>
    </row>
    <row r="1314" spans="1:7" x14ac:dyDescent="0.2">
      <c r="A1314" s="1" t="s">
        <v>1427</v>
      </c>
      <c r="B1314" s="104">
        <v>8</v>
      </c>
      <c r="C1314" s="104" t="s">
        <v>3375</v>
      </c>
      <c r="D1314" s="1" t="s">
        <v>2208</v>
      </c>
      <c r="E1314" s="4"/>
      <c r="F1314" s="106">
        <f>IF(COUNTIF($A$4:$A1314,$A1314)=1,1,0)</f>
        <v>0</v>
      </c>
      <c r="G1314" s="106" cm="1">
        <f t="array" ref="G1314">IF($F1314=1,IF(SUMPRODUCT(--ISNUMBER(SEARCH(","&amp;$A1314&amp;",",'Parts list'!$Z$4:$Z$185)))&gt;0,1,0),0)</f>
        <v>0</v>
      </c>
    </row>
    <row r="1315" spans="1:7" x14ac:dyDescent="0.2">
      <c r="A1315" s="1" t="s">
        <v>3531</v>
      </c>
      <c r="B1315" s="104">
        <v>1</v>
      </c>
      <c r="C1315" s="104" t="s">
        <v>3493</v>
      </c>
      <c r="D1315" s="1" t="s">
        <v>2688</v>
      </c>
      <c r="E1315" s="4" t="s">
        <v>3532</v>
      </c>
      <c r="F1315" s="106">
        <f>IF(COUNTIF($A$4:$A1315,$A1315)=1,1,0)</f>
        <v>1</v>
      </c>
      <c r="G1315" s="106" cm="1">
        <f t="array" ref="G1315">IF($F1315=1,IF(SUMPRODUCT(--ISNUMBER(SEARCH(","&amp;$A1315&amp;",",'Parts list'!$Z$4:$Z$185)))&gt;0,1,0),0)</f>
        <v>1</v>
      </c>
    </row>
    <row r="1316" spans="1:7" x14ac:dyDescent="0.2">
      <c r="A1316" s="1" t="s">
        <v>3531</v>
      </c>
      <c r="B1316" s="104">
        <v>2</v>
      </c>
      <c r="C1316" s="104" t="s">
        <v>3495</v>
      </c>
      <c r="D1316" s="1" t="s">
        <v>2685</v>
      </c>
      <c r="E1316" s="4" t="s">
        <v>3533</v>
      </c>
      <c r="F1316" s="106">
        <f>IF(COUNTIF($A$4:$A1316,$A1316)=1,1,0)</f>
        <v>0</v>
      </c>
      <c r="G1316" s="106" cm="1">
        <f t="array" ref="G1316">IF($F1316=1,IF(SUMPRODUCT(--ISNUMBER(SEARCH(","&amp;$A1316&amp;",",'Parts list'!$Z$4:$Z$185)))&gt;0,1,0),0)</f>
        <v>0</v>
      </c>
    </row>
    <row r="1317" spans="1:7" x14ac:dyDescent="0.2">
      <c r="A1317" s="1" t="s">
        <v>3531</v>
      </c>
      <c r="B1317" s="104">
        <v>3</v>
      </c>
      <c r="C1317" s="104" t="s">
        <v>3440</v>
      </c>
      <c r="D1317" s="1" t="s">
        <v>2264</v>
      </c>
      <c r="E1317" s="4"/>
      <c r="F1317" s="106">
        <f>IF(COUNTIF($A$4:$A1317,$A1317)=1,1,0)</f>
        <v>0</v>
      </c>
      <c r="G1317" s="106" cm="1">
        <f t="array" ref="G1317">IF($F1317=1,IF(SUMPRODUCT(--ISNUMBER(SEARCH(","&amp;$A1317&amp;",",'Parts list'!$Z$4:$Z$185)))&gt;0,1,0),0)</f>
        <v>0</v>
      </c>
    </row>
    <row r="1318" spans="1:7" x14ac:dyDescent="0.2">
      <c r="A1318" s="1" t="s">
        <v>3531</v>
      </c>
      <c r="B1318" s="104">
        <v>4</v>
      </c>
      <c r="C1318" s="104" t="s">
        <v>3496</v>
      </c>
      <c r="D1318" s="1" t="s">
        <v>3030</v>
      </c>
      <c r="E1318" s="4" t="s">
        <v>3534</v>
      </c>
      <c r="F1318" s="106">
        <f>IF(COUNTIF($A$4:$A1318,$A1318)=1,1,0)</f>
        <v>0</v>
      </c>
      <c r="G1318" s="106" cm="1">
        <f t="array" ref="G1318">IF($F1318=1,IF(SUMPRODUCT(--ISNUMBER(SEARCH(","&amp;$A1318&amp;",",'Parts list'!$Z$4:$Z$185)))&gt;0,1,0),0)</f>
        <v>0</v>
      </c>
    </row>
    <row r="1319" spans="1:7" x14ac:dyDescent="0.2">
      <c r="A1319" s="1" t="s">
        <v>3531</v>
      </c>
      <c r="B1319" s="104">
        <v>5</v>
      </c>
      <c r="C1319" s="104" t="s">
        <v>3497</v>
      </c>
      <c r="D1319" s="1" t="s">
        <v>3035</v>
      </c>
      <c r="E1319" s="4"/>
      <c r="F1319" s="106">
        <f>IF(COUNTIF($A$4:$A1319,$A1319)=1,1,0)</f>
        <v>0</v>
      </c>
      <c r="G1319" s="106" cm="1">
        <f t="array" ref="G1319">IF($F1319=1,IF(SUMPRODUCT(--ISNUMBER(SEARCH(","&amp;$A1319&amp;",",'Parts list'!$Z$4:$Z$185)))&gt;0,1,0),0)</f>
        <v>0</v>
      </c>
    </row>
    <row r="1320" spans="1:7" x14ac:dyDescent="0.2">
      <c r="A1320" s="1" t="s">
        <v>3531</v>
      </c>
      <c r="B1320" s="104">
        <v>6</v>
      </c>
      <c r="C1320" s="104" t="s">
        <v>3498</v>
      </c>
      <c r="D1320" s="1" t="s">
        <v>3044</v>
      </c>
      <c r="E1320" s="4"/>
      <c r="F1320" s="106">
        <f>IF(COUNTIF($A$4:$A1320,$A1320)=1,1,0)</f>
        <v>0</v>
      </c>
      <c r="G1320" s="106" cm="1">
        <f t="array" ref="G1320">IF($F1320=1,IF(SUMPRODUCT(--ISNUMBER(SEARCH(","&amp;$A1320&amp;",",'Parts list'!$Z$4:$Z$185)))&gt;0,1,0),0)</f>
        <v>0</v>
      </c>
    </row>
    <row r="1321" spans="1:7" x14ac:dyDescent="0.2">
      <c r="A1321" s="1" t="s">
        <v>3531</v>
      </c>
      <c r="B1321" s="104">
        <v>7</v>
      </c>
      <c r="C1321" s="104" t="s">
        <v>3499</v>
      </c>
      <c r="D1321" s="1" t="s">
        <v>3040</v>
      </c>
      <c r="E1321" s="4"/>
      <c r="F1321" s="106">
        <f>IF(COUNTIF($A$4:$A1321,$A1321)=1,1,0)</f>
        <v>0</v>
      </c>
      <c r="G1321" s="106" cm="1">
        <f t="array" ref="G1321">IF($F1321=1,IF(SUMPRODUCT(--ISNUMBER(SEARCH(","&amp;$A1321&amp;",",'Parts list'!$Z$4:$Z$185)))&gt;0,1,0),0)</f>
        <v>0</v>
      </c>
    </row>
    <row r="1322" spans="1:7" x14ac:dyDescent="0.2">
      <c r="A1322" s="1" t="s">
        <v>3531</v>
      </c>
      <c r="B1322" s="104">
        <v>8</v>
      </c>
      <c r="C1322" s="104" t="s">
        <v>3500</v>
      </c>
      <c r="D1322" s="1" t="s">
        <v>2389</v>
      </c>
      <c r="E1322" s="4" t="s">
        <v>3535</v>
      </c>
      <c r="F1322" s="106">
        <f>IF(COUNTIF($A$4:$A1322,$A1322)=1,1,0)</f>
        <v>0</v>
      </c>
      <c r="G1322" s="106" cm="1">
        <f t="array" ref="G1322">IF($F1322=1,IF(SUMPRODUCT(--ISNUMBER(SEARCH(","&amp;$A1322&amp;",",'Parts list'!$Z$4:$Z$185)))&gt;0,1,0),0)</f>
        <v>0</v>
      </c>
    </row>
    <row r="1323" spans="1:7" x14ac:dyDescent="0.2">
      <c r="A1323" s="1" t="s">
        <v>3531</v>
      </c>
      <c r="B1323" s="104">
        <v>9</v>
      </c>
      <c r="C1323" s="104" t="s">
        <v>3501</v>
      </c>
      <c r="D1323" s="1" t="s">
        <v>3073</v>
      </c>
      <c r="E1323" s="4"/>
      <c r="F1323" s="106">
        <f>IF(COUNTIF($A$4:$A1323,$A1323)=1,1,0)</f>
        <v>0</v>
      </c>
      <c r="G1323" s="106" cm="1">
        <f t="array" ref="G1323">IF($F1323=1,IF(SUMPRODUCT(--ISNUMBER(SEARCH(","&amp;$A1323&amp;",",'Parts list'!$Z$4:$Z$185)))&gt;0,1,0),0)</f>
        <v>0</v>
      </c>
    </row>
    <row r="1324" spans="1:7" x14ac:dyDescent="0.2">
      <c r="A1324" s="1" t="s">
        <v>3531</v>
      </c>
      <c r="B1324" s="104">
        <v>10</v>
      </c>
      <c r="C1324" s="104" t="s">
        <v>3502</v>
      </c>
      <c r="D1324" s="1" t="s">
        <v>2392</v>
      </c>
      <c r="E1324" s="4" t="s">
        <v>3536</v>
      </c>
      <c r="F1324" s="106">
        <f>IF(COUNTIF($A$4:$A1324,$A1324)=1,1,0)</f>
        <v>0</v>
      </c>
      <c r="G1324" s="106" cm="1">
        <f t="array" ref="G1324">IF($F1324=1,IF(SUMPRODUCT(--ISNUMBER(SEARCH(","&amp;$A1324&amp;",",'Parts list'!$Z$4:$Z$185)))&gt;0,1,0),0)</f>
        <v>0</v>
      </c>
    </row>
    <row r="1325" spans="1:7" x14ac:dyDescent="0.2">
      <c r="A1325" s="1" t="s">
        <v>3531</v>
      </c>
      <c r="B1325" s="104">
        <v>11</v>
      </c>
      <c r="C1325" s="104" t="s">
        <v>3503</v>
      </c>
      <c r="D1325" s="1" t="s">
        <v>3073</v>
      </c>
      <c r="E1325" s="4"/>
      <c r="F1325" s="106">
        <f>IF(COUNTIF($A$4:$A1325,$A1325)=1,1,0)</f>
        <v>0</v>
      </c>
      <c r="G1325" s="106" cm="1">
        <f t="array" ref="G1325">IF($F1325=1,IF(SUMPRODUCT(--ISNUMBER(SEARCH(","&amp;$A1325&amp;",",'Parts list'!$Z$4:$Z$185)))&gt;0,1,0),0)</f>
        <v>0</v>
      </c>
    </row>
    <row r="1326" spans="1:7" x14ac:dyDescent="0.2">
      <c r="A1326" s="1" t="s">
        <v>3531</v>
      </c>
      <c r="B1326" s="104">
        <v>12</v>
      </c>
      <c r="C1326" s="104" t="s">
        <v>3442</v>
      </c>
      <c r="D1326" s="1" t="s">
        <v>2267</v>
      </c>
      <c r="E1326" s="4"/>
      <c r="F1326" s="106">
        <f>IF(COUNTIF($A$4:$A1326,$A1326)=1,1,0)</f>
        <v>0</v>
      </c>
      <c r="G1326" s="106" cm="1">
        <f t="array" ref="G1326">IF($F1326=1,IF(SUMPRODUCT(--ISNUMBER(SEARCH(","&amp;$A1326&amp;",",'Parts list'!$Z$4:$Z$185)))&gt;0,1,0),0)</f>
        <v>0</v>
      </c>
    </row>
    <row r="1327" spans="1:7" x14ac:dyDescent="0.2">
      <c r="A1327" s="1" t="s">
        <v>3531</v>
      </c>
      <c r="B1327" s="104">
        <v>13</v>
      </c>
      <c r="C1327" s="104" t="s">
        <v>3504</v>
      </c>
      <c r="D1327" s="1" t="s">
        <v>2356</v>
      </c>
      <c r="E1327" s="4"/>
      <c r="F1327" s="106">
        <f>IF(COUNTIF($A$4:$A1327,$A1327)=1,1,0)</f>
        <v>0</v>
      </c>
      <c r="G1327" s="106" cm="1">
        <f t="array" ref="G1327">IF($F1327=1,IF(SUMPRODUCT(--ISNUMBER(SEARCH(","&amp;$A1327&amp;",",'Parts list'!$Z$4:$Z$185)))&gt;0,1,0),0)</f>
        <v>0</v>
      </c>
    </row>
    <row r="1328" spans="1:7" x14ac:dyDescent="0.2">
      <c r="A1328" s="1" t="s">
        <v>3531</v>
      </c>
      <c r="B1328" s="104">
        <v>14</v>
      </c>
      <c r="C1328" s="104" t="s">
        <v>3505</v>
      </c>
      <c r="D1328" s="1" t="s">
        <v>2356</v>
      </c>
      <c r="E1328" s="4"/>
      <c r="F1328" s="106">
        <f>IF(COUNTIF($A$4:$A1328,$A1328)=1,1,0)</f>
        <v>0</v>
      </c>
      <c r="G1328" s="106" cm="1">
        <f t="array" ref="G1328">IF($F1328=1,IF(SUMPRODUCT(--ISNUMBER(SEARCH(","&amp;$A1328&amp;",",'Parts list'!$Z$4:$Z$185)))&gt;0,1,0),0)</f>
        <v>0</v>
      </c>
    </row>
    <row r="1329" spans="1:7" x14ac:dyDescent="0.2">
      <c r="A1329" s="1" t="s">
        <v>3537</v>
      </c>
      <c r="B1329" s="104">
        <v>1</v>
      </c>
      <c r="C1329" s="104" t="s">
        <v>3493</v>
      </c>
      <c r="D1329" s="1" t="s">
        <v>2694</v>
      </c>
      <c r="E1329" s="4" t="s">
        <v>3538</v>
      </c>
      <c r="F1329" s="106">
        <f>IF(COUNTIF($A$4:$A1329,$A1329)=1,1,0)</f>
        <v>1</v>
      </c>
      <c r="G1329" s="106" cm="1">
        <f t="array" ref="G1329">IF($F1329=1,IF(SUMPRODUCT(--ISNUMBER(SEARCH(","&amp;$A1329&amp;",",'Parts list'!$Z$4:$Z$185)))&gt;0,1,0),0)</f>
        <v>1</v>
      </c>
    </row>
    <row r="1330" spans="1:7" x14ac:dyDescent="0.2">
      <c r="A1330" s="1" t="s">
        <v>3537</v>
      </c>
      <c r="B1330" s="104">
        <v>2</v>
      </c>
      <c r="C1330" s="104" t="s">
        <v>3495</v>
      </c>
      <c r="D1330" s="1" t="s">
        <v>2691</v>
      </c>
      <c r="E1330" s="4" t="s">
        <v>3539</v>
      </c>
      <c r="F1330" s="106">
        <f>IF(COUNTIF($A$4:$A1330,$A1330)=1,1,0)</f>
        <v>0</v>
      </c>
      <c r="G1330" s="106" cm="1">
        <f t="array" ref="G1330">IF($F1330=1,IF(SUMPRODUCT(--ISNUMBER(SEARCH(","&amp;$A1330&amp;",",'Parts list'!$Z$4:$Z$185)))&gt;0,1,0),0)</f>
        <v>0</v>
      </c>
    </row>
    <row r="1331" spans="1:7" x14ac:dyDescent="0.2">
      <c r="A1331" s="1" t="s">
        <v>3537</v>
      </c>
      <c r="B1331" s="104">
        <v>3</v>
      </c>
      <c r="C1331" s="104" t="s">
        <v>3440</v>
      </c>
      <c r="D1331" s="1" t="s">
        <v>2264</v>
      </c>
      <c r="E1331" s="4"/>
      <c r="F1331" s="106">
        <f>IF(COUNTIF($A$4:$A1331,$A1331)=1,1,0)</f>
        <v>0</v>
      </c>
      <c r="G1331" s="106" cm="1">
        <f t="array" ref="G1331">IF($F1331=1,IF(SUMPRODUCT(--ISNUMBER(SEARCH(","&amp;$A1331&amp;",",'Parts list'!$Z$4:$Z$185)))&gt;0,1,0),0)</f>
        <v>0</v>
      </c>
    </row>
    <row r="1332" spans="1:7" x14ac:dyDescent="0.2">
      <c r="A1332" s="1" t="s">
        <v>3537</v>
      </c>
      <c r="B1332" s="104">
        <v>4</v>
      </c>
      <c r="C1332" s="104" t="s">
        <v>3496</v>
      </c>
      <c r="D1332" s="1" t="s">
        <v>3048</v>
      </c>
      <c r="E1332" s="4" t="s">
        <v>3534</v>
      </c>
      <c r="F1332" s="106">
        <f>IF(COUNTIF($A$4:$A1332,$A1332)=1,1,0)</f>
        <v>0</v>
      </c>
      <c r="G1332" s="106" cm="1">
        <f t="array" ref="G1332">IF($F1332=1,IF(SUMPRODUCT(--ISNUMBER(SEARCH(","&amp;$A1332&amp;",",'Parts list'!$Z$4:$Z$185)))&gt;0,1,0),0)</f>
        <v>0</v>
      </c>
    </row>
    <row r="1333" spans="1:7" x14ac:dyDescent="0.2">
      <c r="A1333" s="1" t="s">
        <v>3537</v>
      </c>
      <c r="B1333" s="104">
        <v>5</v>
      </c>
      <c r="C1333" s="104" t="s">
        <v>3497</v>
      </c>
      <c r="D1333" s="1" t="s">
        <v>3052</v>
      </c>
      <c r="E1333" s="4"/>
      <c r="F1333" s="106">
        <f>IF(COUNTIF($A$4:$A1333,$A1333)=1,1,0)</f>
        <v>0</v>
      </c>
      <c r="G1333" s="106" cm="1">
        <f t="array" ref="G1333">IF($F1333=1,IF(SUMPRODUCT(--ISNUMBER(SEARCH(","&amp;$A1333&amp;",",'Parts list'!$Z$4:$Z$185)))&gt;0,1,0),0)</f>
        <v>0</v>
      </c>
    </row>
    <row r="1334" spans="1:7" x14ac:dyDescent="0.2">
      <c r="A1334" s="1" t="s">
        <v>3537</v>
      </c>
      <c r="B1334" s="104">
        <v>6</v>
      </c>
      <c r="C1334" s="104" t="s">
        <v>3498</v>
      </c>
      <c r="D1334" s="1" t="s">
        <v>3060</v>
      </c>
      <c r="E1334" s="4"/>
      <c r="F1334" s="106">
        <f>IF(COUNTIF($A$4:$A1334,$A1334)=1,1,0)</f>
        <v>0</v>
      </c>
      <c r="G1334" s="106" cm="1">
        <f t="array" ref="G1334">IF($F1334=1,IF(SUMPRODUCT(--ISNUMBER(SEARCH(","&amp;$A1334&amp;",",'Parts list'!$Z$4:$Z$185)))&gt;0,1,0),0)</f>
        <v>0</v>
      </c>
    </row>
    <row r="1335" spans="1:7" x14ac:dyDescent="0.2">
      <c r="A1335" s="1" t="s">
        <v>3537</v>
      </c>
      <c r="B1335" s="104">
        <v>7</v>
      </c>
      <c r="C1335" s="104" t="s">
        <v>3499</v>
      </c>
      <c r="D1335" s="1" t="s">
        <v>3056</v>
      </c>
      <c r="E1335" s="4"/>
      <c r="F1335" s="106">
        <f>IF(COUNTIF($A$4:$A1335,$A1335)=1,1,0)</f>
        <v>0</v>
      </c>
      <c r="G1335" s="106" cm="1">
        <f t="array" ref="G1335">IF($F1335=1,IF(SUMPRODUCT(--ISNUMBER(SEARCH(","&amp;$A1335&amp;",",'Parts list'!$Z$4:$Z$185)))&gt;0,1,0),0)</f>
        <v>0</v>
      </c>
    </row>
    <row r="1336" spans="1:7" x14ac:dyDescent="0.2">
      <c r="A1336" s="1" t="s">
        <v>3537</v>
      </c>
      <c r="B1336" s="104">
        <v>8</v>
      </c>
      <c r="C1336" s="104" t="s">
        <v>3500</v>
      </c>
      <c r="D1336" s="1" t="s">
        <v>2394</v>
      </c>
      <c r="E1336" s="4" t="s">
        <v>3535</v>
      </c>
      <c r="F1336" s="106">
        <f>IF(COUNTIF($A$4:$A1336,$A1336)=1,1,0)</f>
        <v>0</v>
      </c>
      <c r="G1336" s="106" cm="1">
        <f t="array" ref="G1336">IF($F1336=1,IF(SUMPRODUCT(--ISNUMBER(SEARCH(","&amp;$A1336&amp;",",'Parts list'!$Z$4:$Z$185)))&gt;0,1,0),0)</f>
        <v>0</v>
      </c>
    </row>
    <row r="1337" spans="1:7" x14ac:dyDescent="0.2">
      <c r="A1337" s="1" t="s">
        <v>3537</v>
      </c>
      <c r="B1337" s="104">
        <v>9</v>
      </c>
      <c r="C1337" s="104" t="s">
        <v>3501</v>
      </c>
      <c r="D1337" s="1" t="s">
        <v>3073</v>
      </c>
      <c r="E1337" s="4"/>
      <c r="F1337" s="106">
        <f>IF(COUNTIF($A$4:$A1337,$A1337)=1,1,0)</f>
        <v>0</v>
      </c>
      <c r="G1337" s="106" cm="1">
        <f t="array" ref="G1337">IF($F1337=1,IF(SUMPRODUCT(--ISNUMBER(SEARCH(","&amp;$A1337&amp;",",'Parts list'!$Z$4:$Z$185)))&gt;0,1,0),0)</f>
        <v>0</v>
      </c>
    </row>
    <row r="1338" spans="1:7" x14ac:dyDescent="0.2">
      <c r="A1338" s="1" t="s">
        <v>3537</v>
      </c>
      <c r="B1338" s="104">
        <v>10</v>
      </c>
      <c r="C1338" s="104" t="s">
        <v>3502</v>
      </c>
      <c r="D1338" s="1" t="s">
        <v>2396</v>
      </c>
      <c r="E1338" s="4" t="s">
        <v>3536</v>
      </c>
      <c r="F1338" s="106">
        <f>IF(COUNTIF($A$4:$A1338,$A1338)=1,1,0)</f>
        <v>0</v>
      </c>
      <c r="G1338" s="106" cm="1">
        <f t="array" ref="G1338">IF($F1338=1,IF(SUMPRODUCT(--ISNUMBER(SEARCH(","&amp;$A1338&amp;",",'Parts list'!$Z$4:$Z$185)))&gt;0,1,0),0)</f>
        <v>0</v>
      </c>
    </row>
    <row r="1339" spans="1:7" x14ac:dyDescent="0.2">
      <c r="A1339" s="1" t="s">
        <v>3537</v>
      </c>
      <c r="B1339" s="104">
        <v>11</v>
      </c>
      <c r="C1339" s="104" t="s">
        <v>3503</v>
      </c>
      <c r="D1339" s="1" t="s">
        <v>3073</v>
      </c>
      <c r="E1339" s="4"/>
      <c r="F1339" s="106">
        <f>IF(COUNTIF($A$4:$A1339,$A1339)=1,1,0)</f>
        <v>0</v>
      </c>
      <c r="G1339" s="106" cm="1">
        <f t="array" ref="G1339">IF($F1339=1,IF(SUMPRODUCT(--ISNUMBER(SEARCH(","&amp;$A1339&amp;",",'Parts list'!$Z$4:$Z$185)))&gt;0,1,0),0)</f>
        <v>0</v>
      </c>
    </row>
    <row r="1340" spans="1:7" x14ac:dyDescent="0.2">
      <c r="A1340" s="1" t="s">
        <v>3537</v>
      </c>
      <c r="B1340" s="104">
        <v>12</v>
      </c>
      <c r="C1340" s="104" t="s">
        <v>3442</v>
      </c>
      <c r="D1340" s="1" t="s">
        <v>2267</v>
      </c>
      <c r="E1340" s="4"/>
      <c r="F1340" s="106">
        <f>IF(COUNTIF($A$4:$A1340,$A1340)=1,1,0)</f>
        <v>0</v>
      </c>
      <c r="G1340" s="106" cm="1">
        <f t="array" ref="G1340">IF($F1340=1,IF(SUMPRODUCT(--ISNUMBER(SEARCH(","&amp;$A1340&amp;",",'Parts list'!$Z$4:$Z$185)))&gt;0,1,0),0)</f>
        <v>0</v>
      </c>
    </row>
    <row r="1341" spans="1:7" x14ac:dyDescent="0.2">
      <c r="A1341" s="1" t="s">
        <v>3537</v>
      </c>
      <c r="B1341" s="104">
        <v>13</v>
      </c>
      <c r="C1341" s="104" t="s">
        <v>3504</v>
      </c>
      <c r="D1341" s="1" t="s">
        <v>2356</v>
      </c>
      <c r="E1341" s="4"/>
      <c r="F1341" s="106">
        <f>IF(COUNTIF($A$4:$A1341,$A1341)=1,1,0)</f>
        <v>0</v>
      </c>
      <c r="G1341" s="106" cm="1">
        <f t="array" ref="G1341">IF($F1341=1,IF(SUMPRODUCT(--ISNUMBER(SEARCH(","&amp;$A1341&amp;",",'Parts list'!$Z$4:$Z$185)))&gt;0,1,0),0)</f>
        <v>0</v>
      </c>
    </row>
    <row r="1342" spans="1:7" x14ac:dyDescent="0.2">
      <c r="A1342" s="1" t="s">
        <v>3537</v>
      </c>
      <c r="B1342" s="104">
        <v>14</v>
      </c>
      <c r="C1342" s="104" t="s">
        <v>3505</v>
      </c>
      <c r="D1342" s="1" t="s">
        <v>2356</v>
      </c>
      <c r="E1342" s="4"/>
      <c r="F1342" s="106">
        <f>IF(COUNTIF($A$4:$A1342,$A1342)=1,1,0)</f>
        <v>0</v>
      </c>
      <c r="G1342" s="106" cm="1">
        <f t="array" ref="G1342">IF($F1342=1,IF(SUMPRODUCT(--ISNUMBER(SEARCH(","&amp;$A1342&amp;",",'Parts list'!$Z$4:$Z$185)))&gt;0,1,0),0)</f>
        <v>0</v>
      </c>
    </row>
    <row r="1343" spans="1:7" ht="15" customHeight="1" x14ac:dyDescent="0.2">
      <c r="A1343" s="1" t="s">
        <v>3540</v>
      </c>
      <c r="B1343" s="104">
        <v>1</v>
      </c>
      <c r="C1343" s="104" t="s">
        <v>3493</v>
      </c>
      <c r="D1343" s="1" t="s">
        <v>2688</v>
      </c>
      <c r="E1343" s="4" t="s">
        <v>3541</v>
      </c>
      <c r="F1343" s="106">
        <f>IF(COUNTIF($A$4:$A1343,$A1343)=1,1,0)</f>
        <v>1</v>
      </c>
      <c r="G1343" s="106" cm="1">
        <f t="array" ref="G1343">IF($F1343=1,IF(SUMPRODUCT(--ISNUMBER(SEARCH(","&amp;$A1343&amp;",",'Parts list'!$Z$4:$Z$185)))&gt;0,1,0),0)</f>
        <v>1</v>
      </c>
    </row>
    <row r="1344" spans="1:7" x14ac:dyDescent="0.2">
      <c r="A1344" s="1" t="s">
        <v>3540</v>
      </c>
      <c r="B1344" s="104">
        <v>2</v>
      </c>
      <c r="C1344" s="104" t="s">
        <v>3495</v>
      </c>
      <c r="D1344" s="1" t="s">
        <v>2685</v>
      </c>
      <c r="E1344" s="4"/>
      <c r="F1344" s="106">
        <f>IF(COUNTIF($A$4:$A1344,$A1344)=1,1,0)</f>
        <v>0</v>
      </c>
      <c r="G1344" s="106" cm="1">
        <f t="array" ref="G1344">IF($F1344=1,IF(SUMPRODUCT(--ISNUMBER(SEARCH(","&amp;$A1344&amp;",",'Parts list'!$Z$4:$Z$185)))&gt;0,1,0),0)</f>
        <v>0</v>
      </c>
    </row>
    <row r="1345" spans="1:7" x14ac:dyDescent="0.2">
      <c r="A1345" s="1" t="s">
        <v>3540</v>
      </c>
      <c r="B1345" s="104">
        <v>3</v>
      </c>
      <c r="C1345" s="104" t="s">
        <v>3440</v>
      </c>
      <c r="D1345" s="1" t="s">
        <v>2264</v>
      </c>
      <c r="E1345" s="4"/>
      <c r="F1345" s="106">
        <f>IF(COUNTIF($A$4:$A1345,$A1345)=1,1,0)</f>
        <v>0</v>
      </c>
      <c r="G1345" s="106" cm="1">
        <f t="array" ref="G1345">IF($F1345=1,IF(SUMPRODUCT(--ISNUMBER(SEARCH(","&amp;$A1345&amp;",",'Parts list'!$Z$4:$Z$185)))&gt;0,1,0),0)</f>
        <v>0</v>
      </c>
    </row>
    <row r="1346" spans="1:7" x14ac:dyDescent="0.2">
      <c r="A1346" s="1" t="s">
        <v>3540</v>
      </c>
      <c r="B1346" s="104">
        <v>4</v>
      </c>
      <c r="C1346" s="104" t="s">
        <v>3496</v>
      </c>
      <c r="D1346" s="1" t="s">
        <v>2406</v>
      </c>
      <c r="E1346" s="4"/>
      <c r="F1346" s="106">
        <f>IF(COUNTIF($A$4:$A1346,$A1346)=1,1,0)</f>
        <v>0</v>
      </c>
      <c r="G1346" s="106" cm="1">
        <f t="array" ref="G1346">IF($F1346=1,IF(SUMPRODUCT(--ISNUMBER(SEARCH(","&amp;$A1346&amp;",",'Parts list'!$Z$4:$Z$185)))&gt;0,1,0),0)</f>
        <v>0</v>
      </c>
    </row>
    <row r="1347" spans="1:7" x14ac:dyDescent="0.2">
      <c r="A1347" s="1" t="s">
        <v>3540</v>
      </c>
      <c r="B1347" s="104">
        <v>5</v>
      </c>
      <c r="C1347" s="104" t="s">
        <v>3497</v>
      </c>
      <c r="D1347" s="1" t="s">
        <v>3093</v>
      </c>
      <c r="E1347" s="4"/>
      <c r="F1347" s="106">
        <f>IF(COUNTIF($A$4:$A1347,$A1347)=1,1,0)</f>
        <v>0</v>
      </c>
      <c r="G1347" s="106" cm="1">
        <f t="array" ref="G1347">IF($F1347=1,IF(SUMPRODUCT(--ISNUMBER(SEARCH(","&amp;$A1347&amp;",",'Parts list'!$Z$4:$Z$185)))&gt;0,1,0),0)</f>
        <v>0</v>
      </c>
    </row>
    <row r="1348" spans="1:7" x14ac:dyDescent="0.2">
      <c r="A1348" s="1" t="s">
        <v>3540</v>
      </c>
      <c r="B1348" s="104">
        <v>6</v>
      </c>
      <c r="C1348" s="104" t="s">
        <v>3498</v>
      </c>
      <c r="D1348" s="1" t="s">
        <v>3098</v>
      </c>
      <c r="E1348" s="4"/>
      <c r="F1348" s="106">
        <f>IF(COUNTIF($A$4:$A1348,$A1348)=1,1,0)</f>
        <v>0</v>
      </c>
      <c r="G1348" s="106" cm="1">
        <f t="array" ref="G1348">IF($F1348=1,IF(SUMPRODUCT(--ISNUMBER(SEARCH(","&amp;$A1348&amp;",",'Parts list'!$Z$4:$Z$185)))&gt;0,1,0),0)</f>
        <v>0</v>
      </c>
    </row>
    <row r="1349" spans="1:7" x14ac:dyDescent="0.2">
      <c r="A1349" s="1" t="s">
        <v>3540</v>
      </c>
      <c r="B1349" s="104">
        <v>7</v>
      </c>
      <c r="C1349" s="104" t="s">
        <v>3499</v>
      </c>
      <c r="D1349" s="1" t="s">
        <v>2406</v>
      </c>
      <c r="E1349" s="4"/>
      <c r="F1349" s="106">
        <f>IF(COUNTIF($A$4:$A1349,$A1349)=1,1,0)</f>
        <v>0</v>
      </c>
      <c r="G1349" s="106" cm="1">
        <f t="array" ref="G1349">IF($F1349=1,IF(SUMPRODUCT(--ISNUMBER(SEARCH(","&amp;$A1349&amp;",",'Parts list'!$Z$4:$Z$185)))&gt;0,1,0),0)</f>
        <v>0</v>
      </c>
    </row>
    <row r="1350" spans="1:7" x14ac:dyDescent="0.2">
      <c r="A1350" s="1" t="s">
        <v>3540</v>
      </c>
      <c r="B1350" s="104">
        <v>8</v>
      </c>
      <c r="C1350" s="104" t="s">
        <v>3500</v>
      </c>
      <c r="D1350" s="1" t="s">
        <v>2409</v>
      </c>
      <c r="E1350" s="4"/>
      <c r="F1350" s="106">
        <f>IF(COUNTIF($A$4:$A1350,$A1350)=1,1,0)</f>
        <v>0</v>
      </c>
      <c r="G1350" s="106" cm="1">
        <f t="array" ref="G1350">IF($F1350=1,IF(SUMPRODUCT(--ISNUMBER(SEARCH(","&amp;$A1350&amp;",",'Parts list'!$Z$4:$Z$185)))&gt;0,1,0),0)</f>
        <v>0</v>
      </c>
    </row>
    <row r="1351" spans="1:7" x14ac:dyDescent="0.2">
      <c r="A1351" s="1" t="s">
        <v>3540</v>
      </c>
      <c r="B1351" s="104">
        <v>9</v>
      </c>
      <c r="C1351" s="104" t="s">
        <v>3501</v>
      </c>
      <c r="D1351" s="1" t="s">
        <v>3093</v>
      </c>
      <c r="E1351" s="4"/>
      <c r="F1351" s="106">
        <f>IF(COUNTIF($A$4:$A1351,$A1351)=1,1,0)</f>
        <v>0</v>
      </c>
      <c r="G1351" s="106" cm="1">
        <f t="array" ref="G1351">IF($F1351=1,IF(SUMPRODUCT(--ISNUMBER(SEARCH(","&amp;$A1351&amp;",",'Parts list'!$Z$4:$Z$185)))&gt;0,1,0),0)</f>
        <v>0</v>
      </c>
    </row>
    <row r="1352" spans="1:7" x14ac:dyDescent="0.2">
      <c r="A1352" s="1" t="s">
        <v>3540</v>
      </c>
      <c r="B1352" s="104">
        <v>10</v>
      </c>
      <c r="C1352" s="104" t="s">
        <v>3502</v>
      </c>
      <c r="D1352" s="1" t="s">
        <v>3098</v>
      </c>
      <c r="E1352" s="4"/>
      <c r="F1352" s="106">
        <f>IF(COUNTIF($A$4:$A1352,$A1352)=1,1,0)</f>
        <v>0</v>
      </c>
      <c r="G1352" s="106" cm="1">
        <f t="array" ref="G1352">IF($F1352=1,IF(SUMPRODUCT(--ISNUMBER(SEARCH(","&amp;$A1352&amp;",",'Parts list'!$Z$4:$Z$185)))&gt;0,1,0),0)</f>
        <v>0</v>
      </c>
    </row>
    <row r="1353" spans="1:7" x14ac:dyDescent="0.2">
      <c r="A1353" s="1" t="s">
        <v>3540</v>
      </c>
      <c r="B1353" s="104">
        <v>11</v>
      </c>
      <c r="C1353" s="104" t="s">
        <v>3503</v>
      </c>
      <c r="D1353" s="1" t="s">
        <v>2409</v>
      </c>
      <c r="E1353" s="4"/>
      <c r="F1353" s="106">
        <f>IF(COUNTIF($A$4:$A1353,$A1353)=1,1,0)</f>
        <v>0</v>
      </c>
      <c r="G1353" s="106" cm="1">
        <f t="array" ref="G1353">IF($F1353=1,IF(SUMPRODUCT(--ISNUMBER(SEARCH(","&amp;$A1353&amp;",",'Parts list'!$Z$4:$Z$185)))&gt;0,1,0),0)</f>
        <v>0</v>
      </c>
    </row>
    <row r="1354" spans="1:7" x14ac:dyDescent="0.2">
      <c r="A1354" s="1" t="s">
        <v>3540</v>
      </c>
      <c r="B1354" s="104">
        <v>12</v>
      </c>
      <c r="C1354" s="104" t="s">
        <v>3442</v>
      </c>
      <c r="D1354" s="1" t="s">
        <v>2267</v>
      </c>
      <c r="E1354" s="4"/>
      <c r="F1354" s="106">
        <f>IF(COUNTIF($A$4:$A1354,$A1354)=1,1,0)</f>
        <v>0</v>
      </c>
      <c r="G1354" s="106" cm="1">
        <f t="array" ref="G1354">IF($F1354=1,IF(SUMPRODUCT(--ISNUMBER(SEARCH(","&amp;$A1354&amp;",",'Parts list'!$Z$4:$Z$185)))&gt;0,1,0),0)</f>
        <v>0</v>
      </c>
    </row>
    <row r="1355" spans="1:7" x14ac:dyDescent="0.2">
      <c r="A1355" s="1" t="s">
        <v>3540</v>
      </c>
      <c r="B1355" s="104">
        <v>13</v>
      </c>
      <c r="C1355" s="104" t="s">
        <v>3504</v>
      </c>
      <c r="D1355" s="1" t="s">
        <v>2685</v>
      </c>
      <c r="E1355" s="4"/>
      <c r="F1355" s="106">
        <f>IF(COUNTIF($A$4:$A1355,$A1355)=1,1,0)</f>
        <v>0</v>
      </c>
      <c r="G1355" s="106" cm="1">
        <f t="array" ref="G1355">IF($F1355=1,IF(SUMPRODUCT(--ISNUMBER(SEARCH(","&amp;$A1355&amp;",",'Parts list'!$Z$4:$Z$185)))&gt;0,1,0),0)</f>
        <v>0</v>
      </c>
    </row>
    <row r="1356" spans="1:7" x14ac:dyDescent="0.2">
      <c r="A1356" s="1" t="s">
        <v>3540</v>
      </c>
      <c r="B1356" s="104">
        <v>14</v>
      </c>
      <c r="C1356" s="104" t="s">
        <v>3505</v>
      </c>
      <c r="D1356" s="1" t="s">
        <v>2688</v>
      </c>
      <c r="E1356" s="4"/>
      <c r="F1356" s="106">
        <f>IF(COUNTIF($A$4:$A1356,$A1356)=1,1,0)</f>
        <v>0</v>
      </c>
      <c r="G1356" s="106" cm="1">
        <f t="array" ref="G1356">IF($F1356=1,IF(SUMPRODUCT(--ISNUMBER(SEARCH(","&amp;$A1356&amp;",",'Parts list'!$Z$4:$Z$185)))&gt;0,1,0),0)</f>
        <v>0</v>
      </c>
    </row>
    <row r="1357" spans="1:7" ht="15" customHeight="1" x14ac:dyDescent="0.2">
      <c r="A1357" s="1" t="s">
        <v>3542</v>
      </c>
      <c r="B1357" s="104">
        <v>1</v>
      </c>
      <c r="C1357" s="104" t="s">
        <v>3493</v>
      </c>
      <c r="D1357" s="1" t="s">
        <v>2694</v>
      </c>
      <c r="E1357" s="4" t="s">
        <v>3543</v>
      </c>
      <c r="F1357" s="106">
        <f>IF(COUNTIF($A$4:$A1357,$A1357)=1,1,0)</f>
        <v>1</v>
      </c>
      <c r="G1357" s="106" cm="1">
        <f t="array" ref="G1357">IF($F1357=1,IF(SUMPRODUCT(--ISNUMBER(SEARCH(","&amp;$A1357&amp;",",'Parts list'!$Z$4:$Z$185)))&gt;0,1,0),0)</f>
        <v>1</v>
      </c>
    </row>
    <row r="1358" spans="1:7" x14ac:dyDescent="0.2">
      <c r="A1358" s="1" t="s">
        <v>3542</v>
      </c>
      <c r="B1358" s="104">
        <v>2</v>
      </c>
      <c r="C1358" s="104" t="s">
        <v>3495</v>
      </c>
      <c r="D1358" s="1" t="s">
        <v>2691</v>
      </c>
      <c r="E1358" s="4"/>
      <c r="F1358" s="106">
        <f>IF(COUNTIF($A$4:$A1358,$A1358)=1,1,0)</f>
        <v>0</v>
      </c>
      <c r="G1358" s="106" cm="1">
        <f t="array" ref="G1358">IF($F1358=1,IF(SUMPRODUCT(--ISNUMBER(SEARCH(","&amp;$A1358&amp;",",'Parts list'!$Z$4:$Z$185)))&gt;0,1,0),0)</f>
        <v>0</v>
      </c>
    </row>
    <row r="1359" spans="1:7" x14ac:dyDescent="0.2">
      <c r="A1359" s="1" t="s">
        <v>3542</v>
      </c>
      <c r="B1359" s="104">
        <v>3</v>
      </c>
      <c r="C1359" s="104" t="s">
        <v>3440</v>
      </c>
      <c r="D1359" s="1" t="s">
        <v>2264</v>
      </c>
      <c r="E1359" s="4"/>
      <c r="F1359" s="106">
        <f>IF(COUNTIF($A$4:$A1359,$A1359)=1,1,0)</f>
        <v>0</v>
      </c>
      <c r="G1359" s="106" cm="1">
        <f t="array" ref="G1359">IF($F1359=1,IF(SUMPRODUCT(--ISNUMBER(SEARCH(","&amp;$A1359&amp;",",'Parts list'!$Z$4:$Z$185)))&gt;0,1,0),0)</f>
        <v>0</v>
      </c>
    </row>
    <row r="1360" spans="1:7" x14ac:dyDescent="0.2">
      <c r="A1360" s="1" t="s">
        <v>3542</v>
      </c>
      <c r="B1360" s="104">
        <v>4</v>
      </c>
      <c r="C1360" s="104" t="s">
        <v>3496</v>
      </c>
      <c r="D1360" s="1" t="s">
        <v>2411</v>
      </c>
      <c r="E1360" s="4"/>
      <c r="F1360" s="106">
        <f>IF(COUNTIF($A$4:$A1360,$A1360)=1,1,0)</f>
        <v>0</v>
      </c>
      <c r="G1360" s="106" cm="1">
        <f t="array" ref="G1360">IF($F1360=1,IF(SUMPRODUCT(--ISNUMBER(SEARCH(","&amp;$A1360&amp;",",'Parts list'!$Z$4:$Z$185)))&gt;0,1,0),0)</f>
        <v>0</v>
      </c>
    </row>
    <row r="1361" spans="1:7" x14ac:dyDescent="0.2">
      <c r="A1361" s="1" t="s">
        <v>3542</v>
      </c>
      <c r="B1361" s="104">
        <v>5</v>
      </c>
      <c r="C1361" s="104" t="s">
        <v>3497</v>
      </c>
      <c r="D1361" s="1" t="s">
        <v>3093</v>
      </c>
      <c r="E1361" s="4"/>
      <c r="F1361" s="106">
        <f>IF(COUNTIF($A$4:$A1361,$A1361)=1,1,0)</f>
        <v>0</v>
      </c>
      <c r="G1361" s="106" cm="1">
        <f t="array" ref="G1361">IF($F1361=1,IF(SUMPRODUCT(--ISNUMBER(SEARCH(","&amp;$A1361&amp;",",'Parts list'!$Z$4:$Z$185)))&gt;0,1,0),0)</f>
        <v>0</v>
      </c>
    </row>
    <row r="1362" spans="1:7" x14ac:dyDescent="0.2">
      <c r="A1362" s="1" t="s">
        <v>3542</v>
      </c>
      <c r="B1362" s="104">
        <v>6</v>
      </c>
      <c r="C1362" s="104" t="s">
        <v>3498</v>
      </c>
      <c r="D1362" s="1" t="s">
        <v>3098</v>
      </c>
      <c r="E1362" s="4"/>
      <c r="F1362" s="106">
        <f>IF(COUNTIF($A$4:$A1362,$A1362)=1,1,0)</f>
        <v>0</v>
      </c>
      <c r="G1362" s="106" cm="1">
        <f t="array" ref="G1362">IF($F1362=1,IF(SUMPRODUCT(--ISNUMBER(SEARCH(","&amp;$A1362&amp;",",'Parts list'!$Z$4:$Z$185)))&gt;0,1,0),0)</f>
        <v>0</v>
      </c>
    </row>
    <row r="1363" spans="1:7" x14ac:dyDescent="0.2">
      <c r="A1363" s="1" t="s">
        <v>3542</v>
      </c>
      <c r="B1363" s="104">
        <v>7</v>
      </c>
      <c r="C1363" s="104" t="s">
        <v>3499</v>
      </c>
      <c r="D1363" s="1" t="s">
        <v>2411</v>
      </c>
      <c r="E1363" s="4"/>
      <c r="F1363" s="106">
        <f>IF(COUNTIF($A$4:$A1363,$A1363)=1,1,0)</f>
        <v>0</v>
      </c>
      <c r="G1363" s="106" cm="1">
        <f t="array" ref="G1363">IF($F1363=1,IF(SUMPRODUCT(--ISNUMBER(SEARCH(","&amp;$A1363&amp;",",'Parts list'!$Z$4:$Z$185)))&gt;0,1,0),0)</f>
        <v>0</v>
      </c>
    </row>
    <row r="1364" spans="1:7" x14ac:dyDescent="0.2">
      <c r="A1364" s="1" t="s">
        <v>3542</v>
      </c>
      <c r="B1364" s="104">
        <v>8</v>
      </c>
      <c r="C1364" s="104" t="s">
        <v>3500</v>
      </c>
      <c r="D1364" s="1" t="s">
        <v>2413</v>
      </c>
      <c r="E1364" s="4"/>
      <c r="F1364" s="106">
        <f>IF(COUNTIF($A$4:$A1364,$A1364)=1,1,0)</f>
        <v>0</v>
      </c>
      <c r="G1364" s="106" cm="1">
        <f t="array" ref="G1364">IF($F1364=1,IF(SUMPRODUCT(--ISNUMBER(SEARCH(","&amp;$A1364&amp;",",'Parts list'!$Z$4:$Z$185)))&gt;0,1,0),0)</f>
        <v>0</v>
      </c>
    </row>
    <row r="1365" spans="1:7" x14ac:dyDescent="0.2">
      <c r="A1365" s="1" t="s">
        <v>3542</v>
      </c>
      <c r="B1365" s="104">
        <v>9</v>
      </c>
      <c r="C1365" s="104" t="s">
        <v>3501</v>
      </c>
      <c r="D1365" s="1" t="s">
        <v>3093</v>
      </c>
      <c r="E1365" s="4"/>
      <c r="F1365" s="106">
        <f>IF(COUNTIF($A$4:$A1365,$A1365)=1,1,0)</f>
        <v>0</v>
      </c>
      <c r="G1365" s="106" cm="1">
        <f t="array" ref="G1365">IF($F1365=1,IF(SUMPRODUCT(--ISNUMBER(SEARCH(","&amp;$A1365&amp;",",'Parts list'!$Z$4:$Z$185)))&gt;0,1,0),0)</f>
        <v>0</v>
      </c>
    </row>
    <row r="1366" spans="1:7" x14ac:dyDescent="0.2">
      <c r="A1366" s="1" t="s">
        <v>3542</v>
      </c>
      <c r="B1366" s="104">
        <v>10</v>
      </c>
      <c r="C1366" s="104" t="s">
        <v>3502</v>
      </c>
      <c r="D1366" s="1" t="s">
        <v>3098</v>
      </c>
      <c r="E1366" s="4"/>
      <c r="F1366" s="106">
        <f>IF(COUNTIF($A$4:$A1366,$A1366)=1,1,0)</f>
        <v>0</v>
      </c>
      <c r="G1366" s="106" cm="1">
        <f t="array" ref="G1366">IF($F1366=1,IF(SUMPRODUCT(--ISNUMBER(SEARCH(","&amp;$A1366&amp;",",'Parts list'!$Z$4:$Z$185)))&gt;0,1,0),0)</f>
        <v>0</v>
      </c>
    </row>
    <row r="1367" spans="1:7" x14ac:dyDescent="0.2">
      <c r="A1367" s="1" t="s">
        <v>3542</v>
      </c>
      <c r="B1367" s="104">
        <v>11</v>
      </c>
      <c r="C1367" s="104" t="s">
        <v>3503</v>
      </c>
      <c r="D1367" s="1" t="s">
        <v>2413</v>
      </c>
      <c r="E1367" s="4"/>
      <c r="F1367" s="106">
        <f>IF(COUNTIF($A$4:$A1367,$A1367)=1,1,0)</f>
        <v>0</v>
      </c>
      <c r="G1367" s="106" cm="1">
        <f t="array" ref="G1367">IF($F1367=1,IF(SUMPRODUCT(--ISNUMBER(SEARCH(","&amp;$A1367&amp;",",'Parts list'!$Z$4:$Z$185)))&gt;0,1,0),0)</f>
        <v>0</v>
      </c>
    </row>
    <row r="1368" spans="1:7" x14ac:dyDescent="0.2">
      <c r="A1368" s="1" t="s">
        <v>3542</v>
      </c>
      <c r="B1368" s="104">
        <v>12</v>
      </c>
      <c r="C1368" s="104" t="s">
        <v>3442</v>
      </c>
      <c r="D1368" s="1" t="s">
        <v>2267</v>
      </c>
      <c r="E1368" s="4"/>
      <c r="F1368" s="106">
        <f>IF(COUNTIF($A$4:$A1368,$A1368)=1,1,0)</f>
        <v>0</v>
      </c>
      <c r="G1368" s="106" cm="1">
        <f t="array" ref="G1368">IF($F1368=1,IF(SUMPRODUCT(--ISNUMBER(SEARCH(","&amp;$A1368&amp;",",'Parts list'!$Z$4:$Z$185)))&gt;0,1,0),0)</f>
        <v>0</v>
      </c>
    </row>
    <row r="1369" spans="1:7" x14ac:dyDescent="0.2">
      <c r="A1369" s="1" t="s">
        <v>3542</v>
      </c>
      <c r="B1369" s="104">
        <v>13</v>
      </c>
      <c r="C1369" s="104" t="s">
        <v>3504</v>
      </c>
      <c r="D1369" s="1" t="s">
        <v>2691</v>
      </c>
      <c r="E1369" s="4"/>
      <c r="F1369" s="106">
        <f>IF(COUNTIF($A$4:$A1369,$A1369)=1,1,0)</f>
        <v>0</v>
      </c>
      <c r="G1369" s="106" cm="1">
        <f t="array" ref="G1369">IF($F1369=1,IF(SUMPRODUCT(--ISNUMBER(SEARCH(","&amp;$A1369&amp;",",'Parts list'!$Z$4:$Z$185)))&gt;0,1,0),0)</f>
        <v>0</v>
      </c>
    </row>
    <row r="1370" spans="1:7" x14ac:dyDescent="0.2">
      <c r="A1370" s="1" t="s">
        <v>3542</v>
      </c>
      <c r="B1370" s="104">
        <v>14</v>
      </c>
      <c r="C1370" s="104" t="s">
        <v>3505</v>
      </c>
      <c r="D1370" s="1" t="s">
        <v>2694</v>
      </c>
      <c r="E1370" s="4"/>
      <c r="F1370" s="106">
        <f>IF(COUNTIF($A$4:$A1370,$A1370)=1,1,0)</f>
        <v>0</v>
      </c>
      <c r="G1370" s="106" cm="1">
        <f t="array" ref="G1370">IF($F1370=1,IF(SUMPRODUCT(--ISNUMBER(SEARCH(","&amp;$A1370&amp;",",'Parts list'!$Z$4:$Z$185)))&gt;0,1,0),0)</f>
        <v>0</v>
      </c>
    </row>
    <row r="1371" spans="1:7" ht="27.75" customHeight="1" x14ac:dyDescent="0.2">
      <c r="A1371" s="1" t="s">
        <v>3544</v>
      </c>
      <c r="B1371" s="104">
        <v>1</v>
      </c>
      <c r="C1371" s="104" t="s">
        <v>3507</v>
      </c>
      <c r="D1371" s="1" t="s">
        <v>2424</v>
      </c>
      <c r="E1371" s="4" t="s">
        <v>3545</v>
      </c>
      <c r="F1371" s="106">
        <f>IF(COUNTIF($A$4:$A1371,$A1371)=1,1,0)</f>
        <v>1</v>
      </c>
      <c r="G1371" s="106" cm="1">
        <f t="array" ref="G1371">IF($F1371=1,IF(SUMPRODUCT(--ISNUMBER(SEARCH(","&amp;$A1371&amp;",",'Parts list'!$Z$4:$Z$185)))&gt;0,1,0),0)</f>
        <v>1</v>
      </c>
    </row>
    <row r="1372" spans="1:7" x14ac:dyDescent="0.2">
      <c r="A1372" s="1" t="s">
        <v>3544</v>
      </c>
      <c r="B1372" s="104">
        <v>2</v>
      </c>
      <c r="C1372" s="104" t="s">
        <v>3509</v>
      </c>
      <c r="D1372" s="1" t="s">
        <v>3104</v>
      </c>
      <c r="E1372" s="4"/>
      <c r="F1372" s="106">
        <f>IF(COUNTIF($A$4:$A1372,$A1372)=1,1,0)</f>
        <v>0</v>
      </c>
      <c r="G1372" s="106" cm="1">
        <f t="array" ref="G1372">IF($F1372=1,IF(SUMPRODUCT(--ISNUMBER(SEARCH(","&amp;$A1372&amp;",",'Parts list'!$Z$4:$Z$185)))&gt;0,1,0),0)</f>
        <v>0</v>
      </c>
    </row>
    <row r="1373" spans="1:7" x14ac:dyDescent="0.2">
      <c r="A1373" s="1" t="s">
        <v>3544</v>
      </c>
      <c r="B1373" s="104">
        <v>3</v>
      </c>
      <c r="C1373" s="104" t="s">
        <v>3510</v>
      </c>
      <c r="D1373" s="1" t="s">
        <v>2415</v>
      </c>
      <c r="E1373" s="4"/>
      <c r="F1373" s="106">
        <f>IF(COUNTIF($A$4:$A1373,$A1373)=1,1,0)</f>
        <v>0</v>
      </c>
      <c r="G1373" s="106" cm="1">
        <f t="array" ref="G1373">IF($F1373=1,IF(SUMPRODUCT(--ISNUMBER(SEARCH(","&amp;$A1373&amp;",",'Parts list'!$Z$4:$Z$185)))&gt;0,1,0),0)</f>
        <v>0</v>
      </c>
    </row>
    <row r="1374" spans="1:7" x14ac:dyDescent="0.2">
      <c r="A1374" s="1" t="s">
        <v>3544</v>
      </c>
      <c r="B1374" s="104">
        <v>4</v>
      </c>
      <c r="C1374" s="104" t="s">
        <v>2168</v>
      </c>
      <c r="D1374" s="1" t="s">
        <v>2267</v>
      </c>
      <c r="E1374" s="4"/>
      <c r="F1374" s="106">
        <f>IF(COUNTIF($A$4:$A1374,$A1374)=1,1,0)</f>
        <v>0</v>
      </c>
      <c r="G1374" s="106" cm="1">
        <f t="array" ref="G1374">IF($F1374=1,IF(SUMPRODUCT(--ISNUMBER(SEARCH(","&amp;$A1374&amp;",",'Parts list'!$Z$4:$Z$185)))&gt;0,1,0),0)</f>
        <v>0</v>
      </c>
    </row>
    <row r="1375" spans="1:7" x14ac:dyDescent="0.2">
      <c r="A1375" s="1" t="s">
        <v>3544</v>
      </c>
      <c r="B1375" s="104">
        <v>5</v>
      </c>
      <c r="C1375" s="104" t="s">
        <v>3511</v>
      </c>
      <c r="D1375" s="1" t="s">
        <v>2168</v>
      </c>
      <c r="E1375" s="4"/>
      <c r="F1375" s="106">
        <f>IF(COUNTIF($A$4:$A1375,$A1375)=1,1,0)</f>
        <v>0</v>
      </c>
      <c r="G1375" s="106" cm="1">
        <f t="array" ref="G1375">IF($F1375=1,IF(SUMPRODUCT(--ISNUMBER(SEARCH(","&amp;$A1375&amp;",",'Parts list'!$Z$4:$Z$185)))&gt;0,1,0),0)</f>
        <v>0</v>
      </c>
    </row>
    <row r="1376" spans="1:7" x14ac:dyDescent="0.2">
      <c r="A1376" s="1" t="s">
        <v>3544</v>
      </c>
      <c r="B1376" s="104">
        <v>6</v>
      </c>
      <c r="C1376" s="104" t="s">
        <v>3512</v>
      </c>
      <c r="D1376" s="1" t="s">
        <v>2424</v>
      </c>
      <c r="E1376" s="4"/>
      <c r="F1376" s="106">
        <f>IF(COUNTIF($A$4:$A1376,$A1376)=1,1,0)</f>
        <v>0</v>
      </c>
      <c r="G1376" s="106" cm="1">
        <f t="array" ref="G1376">IF($F1376=1,IF(SUMPRODUCT(--ISNUMBER(SEARCH(","&amp;$A1376&amp;",",'Parts list'!$Z$4:$Z$185)))&gt;0,1,0),0)</f>
        <v>0</v>
      </c>
    </row>
    <row r="1377" spans="1:7" x14ac:dyDescent="0.2">
      <c r="A1377" s="1" t="s">
        <v>3544</v>
      </c>
      <c r="B1377" s="104">
        <v>7</v>
      </c>
      <c r="C1377" s="104" t="s">
        <v>3513</v>
      </c>
      <c r="D1377" s="1" t="s">
        <v>2685</v>
      </c>
      <c r="E1377" s="4"/>
      <c r="F1377" s="106">
        <f>IF(COUNTIF($A$4:$A1377,$A1377)=1,1,0)</f>
        <v>0</v>
      </c>
      <c r="G1377" s="106" cm="1">
        <f t="array" ref="G1377">IF($F1377=1,IF(SUMPRODUCT(--ISNUMBER(SEARCH(","&amp;$A1377&amp;",",'Parts list'!$Z$4:$Z$185)))&gt;0,1,0),0)</f>
        <v>0</v>
      </c>
    </row>
    <row r="1378" spans="1:7" x14ac:dyDescent="0.2">
      <c r="A1378" s="1" t="s">
        <v>3544</v>
      </c>
      <c r="B1378" s="104">
        <v>8</v>
      </c>
      <c r="C1378" s="104" t="s">
        <v>3375</v>
      </c>
      <c r="D1378" s="1" t="s">
        <v>2264</v>
      </c>
      <c r="E1378" s="4"/>
      <c r="F1378" s="106">
        <f>IF(COUNTIF($A$4:$A1378,$A1378)=1,1,0)</f>
        <v>0</v>
      </c>
      <c r="G1378" s="106" cm="1">
        <f t="array" ref="G1378">IF($F1378=1,IF(SUMPRODUCT(--ISNUMBER(SEARCH(","&amp;$A1378&amp;",",'Parts list'!$Z$4:$Z$185)))&gt;0,1,0),0)</f>
        <v>0</v>
      </c>
    </row>
    <row r="1379" spans="1:7" ht="27.75" customHeight="1" x14ac:dyDescent="0.2">
      <c r="A1379" s="1" t="s">
        <v>3546</v>
      </c>
      <c r="B1379" s="104">
        <v>1</v>
      </c>
      <c r="C1379" s="104" t="s">
        <v>3507</v>
      </c>
      <c r="D1379" s="1" t="s">
        <v>2427</v>
      </c>
      <c r="E1379" s="4" t="s">
        <v>3547</v>
      </c>
      <c r="F1379" s="106">
        <f>IF(COUNTIF($A$4:$A1379,$A1379)=1,1,0)</f>
        <v>1</v>
      </c>
      <c r="G1379" s="106" cm="1">
        <f t="array" ref="G1379">IF($F1379=1,IF(SUMPRODUCT(--ISNUMBER(SEARCH(","&amp;$A1379&amp;",",'Parts list'!$Z$4:$Z$185)))&gt;0,1,0),0)</f>
        <v>1</v>
      </c>
    </row>
    <row r="1380" spans="1:7" x14ac:dyDescent="0.2">
      <c r="A1380" s="1" t="s">
        <v>3546</v>
      </c>
      <c r="B1380" s="104">
        <v>2</v>
      </c>
      <c r="C1380" s="104" t="s">
        <v>3509</v>
      </c>
      <c r="D1380" s="1" t="s">
        <v>2415</v>
      </c>
      <c r="E1380" s="4"/>
      <c r="F1380" s="106">
        <f>IF(COUNTIF($A$4:$A1380,$A1380)=1,1,0)</f>
        <v>0</v>
      </c>
      <c r="G1380" s="106" cm="1">
        <f t="array" ref="G1380">IF($F1380=1,IF(SUMPRODUCT(--ISNUMBER(SEARCH(","&amp;$A1380&amp;",",'Parts list'!$Z$4:$Z$185)))&gt;0,1,0),0)</f>
        <v>0</v>
      </c>
    </row>
    <row r="1381" spans="1:7" x14ac:dyDescent="0.2">
      <c r="A1381" s="1" t="s">
        <v>3546</v>
      </c>
      <c r="B1381" s="104">
        <v>3</v>
      </c>
      <c r="C1381" s="104" t="s">
        <v>3510</v>
      </c>
      <c r="D1381" s="1" t="s">
        <v>3109</v>
      </c>
      <c r="E1381" s="4"/>
      <c r="F1381" s="106">
        <f>IF(COUNTIF($A$4:$A1381,$A1381)=1,1,0)</f>
        <v>0</v>
      </c>
      <c r="G1381" s="106" cm="1">
        <f t="array" ref="G1381">IF($F1381=1,IF(SUMPRODUCT(--ISNUMBER(SEARCH(","&amp;$A1381&amp;",",'Parts list'!$Z$4:$Z$185)))&gt;0,1,0),0)</f>
        <v>0</v>
      </c>
    </row>
    <row r="1382" spans="1:7" x14ac:dyDescent="0.2">
      <c r="A1382" s="1" t="s">
        <v>3546</v>
      </c>
      <c r="B1382" s="104">
        <v>4</v>
      </c>
      <c r="C1382" s="104" t="s">
        <v>2168</v>
      </c>
      <c r="D1382" s="1" t="s">
        <v>2267</v>
      </c>
      <c r="E1382" s="4"/>
      <c r="F1382" s="106">
        <f>IF(COUNTIF($A$4:$A1382,$A1382)=1,1,0)</f>
        <v>0</v>
      </c>
      <c r="G1382" s="106" cm="1">
        <f t="array" ref="G1382">IF($F1382=1,IF(SUMPRODUCT(--ISNUMBER(SEARCH(","&amp;$A1382&amp;",",'Parts list'!$Z$4:$Z$185)))&gt;0,1,0),0)</f>
        <v>0</v>
      </c>
    </row>
    <row r="1383" spans="1:7" x14ac:dyDescent="0.2">
      <c r="A1383" s="1" t="s">
        <v>3546</v>
      </c>
      <c r="B1383" s="104">
        <v>5</v>
      </c>
      <c r="C1383" s="104" t="s">
        <v>3511</v>
      </c>
      <c r="D1383" s="1" t="s">
        <v>2168</v>
      </c>
      <c r="E1383" s="4"/>
      <c r="F1383" s="106">
        <f>IF(COUNTIF($A$4:$A1383,$A1383)=1,1,0)</f>
        <v>0</v>
      </c>
      <c r="G1383" s="106" cm="1">
        <f t="array" ref="G1383">IF($F1383=1,IF(SUMPRODUCT(--ISNUMBER(SEARCH(","&amp;$A1383&amp;",",'Parts list'!$Z$4:$Z$185)))&gt;0,1,0),0)</f>
        <v>0</v>
      </c>
    </row>
    <row r="1384" spans="1:7" x14ac:dyDescent="0.2">
      <c r="A1384" s="1" t="s">
        <v>3546</v>
      </c>
      <c r="B1384" s="104">
        <v>6</v>
      </c>
      <c r="C1384" s="104" t="s">
        <v>3512</v>
      </c>
      <c r="D1384" s="1" t="s">
        <v>2427</v>
      </c>
      <c r="E1384" s="4"/>
      <c r="F1384" s="106">
        <f>IF(COUNTIF($A$4:$A1384,$A1384)=1,1,0)</f>
        <v>0</v>
      </c>
      <c r="G1384" s="106" cm="1">
        <f t="array" ref="G1384">IF($F1384=1,IF(SUMPRODUCT(--ISNUMBER(SEARCH(","&amp;$A1384&amp;",",'Parts list'!$Z$4:$Z$185)))&gt;0,1,0),0)</f>
        <v>0</v>
      </c>
    </row>
    <row r="1385" spans="1:7" x14ac:dyDescent="0.2">
      <c r="A1385" s="1" t="s">
        <v>3546</v>
      </c>
      <c r="B1385" s="104">
        <v>7</v>
      </c>
      <c r="C1385" s="104" t="s">
        <v>3513</v>
      </c>
      <c r="D1385" s="1" t="s">
        <v>2688</v>
      </c>
      <c r="E1385" s="4"/>
      <c r="F1385" s="106">
        <f>IF(COUNTIF($A$4:$A1385,$A1385)=1,1,0)</f>
        <v>0</v>
      </c>
      <c r="G1385" s="106" cm="1">
        <f t="array" ref="G1385">IF($F1385=1,IF(SUMPRODUCT(--ISNUMBER(SEARCH(","&amp;$A1385&amp;",",'Parts list'!$Z$4:$Z$185)))&gt;0,1,0),0)</f>
        <v>0</v>
      </c>
    </row>
    <row r="1386" spans="1:7" x14ac:dyDescent="0.2">
      <c r="A1386" s="1" t="s">
        <v>3546</v>
      </c>
      <c r="B1386" s="104">
        <v>8</v>
      </c>
      <c r="C1386" s="104" t="s">
        <v>3375</v>
      </c>
      <c r="D1386" s="1" t="s">
        <v>2264</v>
      </c>
      <c r="E1386" s="4"/>
      <c r="F1386" s="106">
        <f>IF(COUNTIF($A$4:$A1386,$A1386)=1,1,0)</f>
        <v>0</v>
      </c>
      <c r="G1386" s="106" cm="1">
        <f t="array" ref="G1386">IF($F1386=1,IF(SUMPRODUCT(--ISNUMBER(SEARCH(","&amp;$A1386&amp;",",'Parts list'!$Z$4:$Z$185)))&gt;0,1,0),0)</f>
        <v>0</v>
      </c>
    </row>
    <row r="1387" spans="1:7" ht="27.75" customHeight="1" x14ac:dyDescent="0.2">
      <c r="A1387" s="1" t="s">
        <v>3548</v>
      </c>
      <c r="B1387" s="104">
        <v>1</v>
      </c>
      <c r="C1387" s="104" t="s">
        <v>3507</v>
      </c>
      <c r="D1387" s="1" t="s">
        <v>2429</v>
      </c>
      <c r="E1387" s="4" t="s">
        <v>3549</v>
      </c>
      <c r="F1387" s="106">
        <f>IF(COUNTIF($A$4:$A1387,$A1387)=1,1,0)</f>
        <v>1</v>
      </c>
      <c r="G1387" s="106" cm="1">
        <f t="array" ref="G1387">IF($F1387=1,IF(SUMPRODUCT(--ISNUMBER(SEARCH(","&amp;$A1387&amp;",",'Parts list'!$Z$4:$Z$185)))&gt;0,1,0),0)</f>
        <v>1</v>
      </c>
    </row>
    <row r="1388" spans="1:7" x14ac:dyDescent="0.2">
      <c r="A1388" s="1" t="s">
        <v>3548</v>
      </c>
      <c r="B1388" s="104">
        <v>2</v>
      </c>
      <c r="C1388" s="104" t="s">
        <v>3509</v>
      </c>
      <c r="D1388" s="1" t="s">
        <v>3104</v>
      </c>
      <c r="E1388" s="4"/>
      <c r="F1388" s="106">
        <f>IF(COUNTIF($A$4:$A1388,$A1388)=1,1,0)</f>
        <v>0</v>
      </c>
      <c r="G1388" s="106" cm="1">
        <f t="array" ref="G1388">IF($F1388=1,IF(SUMPRODUCT(--ISNUMBER(SEARCH(","&amp;$A1388&amp;",",'Parts list'!$Z$4:$Z$185)))&gt;0,1,0),0)</f>
        <v>0</v>
      </c>
    </row>
    <row r="1389" spans="1:7" x14ac:dyDescent="0.2">
      <c r="A1389" s="1" t="s">
        <v>3548</v>
      </c>
      <c r="B1389" s="104">
        <v>3</v>
      </c>
      <c r="C1389" s="104" t="s">
        <v>3510</v>
      </c>
      <c r="D1389" s="1" t="s">
        <v>2418</v>
      </c>
      <c r="E1389" s="4"/>
      <c r="F1389" s="106">
        <f>IF(COUNTIF($A$4:$A1389,$A1389)=1,1,0)</f>
        <v>0</v>
      </c>
      <c r="G1389" s="106" cm="1">
        <f t="array" ref="G1389">IF($F1389=1,IF(SUMPRODUCT(--ISNUMBER(SEARCH(","&amp;$A1389&amp;",",'Parts list'!$Z$4:$Z$185)))&gt;0,1,0),0)</f>
        <v>0</v>
      </c>
    </row>
    <row r="1390" spans="1:7" x14ac:dyDescent="0.2">
      <c r="A1390" s="1" t="s">
        <v>3548</v>
      </c>
      <c r="B1390" s="104">
        <v>4</v>
      </c>
      <c r="C1390" s="104" t="s">
        <v>2168</v>
      </c>
      <c r="D1390" s="1" t="s">
        <v>2267</v>
      </c>
      <c r="E1390" s="4"/>
      <c r="F1390" s="106">
        <f>IF(COUNTIF($A$4:$A1390,$A1390)=1,1,0)</f>
        <v>0</v>
      </c>
      <c r="G1390" s="106" cm="1">
        <f t="array" ref="G1390">IF($F1390=1,IF(SUMPRODUCT(--ISNUMBER(SEARCH(","&amp;$A1390&amp;",",'Parts list'!$Z$4:$Z$185)))&gt;0,1,0),0)</f>
        <v>0</v>
      </c>
    </row>
    <row r="1391" spans="1:7" x14ac:dyDescent="0.2">
      <c r="A1391" s="1" t="s">
        <v>3548</v>
      </c>
      <c r="B1391" s="104">
        <v>5</v>
      </c>
      <c r="C1391" s="104" t="s">
        <v>3511</v>
      </c>
      <c r="D1391" s="1" t="s">
        <v>2168</v>
      </c>
      <c r="E1391" s="4"/>
      <c r="F1391" s="106">
        <f>IF(COUNTIF($A$4:$A1391,$A1391)=1,1,0)</f>
        <v>0</v>
      </c>
      <c r="G1391" s="106" cm="1">
        <f t="array" ref="G1391">IF($F1391=1,IF(SUMPRODUCT(--ISNUMBER(SEARCH(","&amp;$A1391&amp;",",'Parts list'!$Z$4:$Z$185)))&gt;0,1,0),0)</f>
        <v>0</v>
      </c>
    </row>
    <row r="1392" spans="1:7" x14ac:dyDescent="0.2">
      <c r="A1392" s="1" t="s">
        <v>3548</v>
      </c>
      <c r="B1392" s="104">
        <v>6</v>
      </c>
      <c r="C1392" s="104" t="s">
        <v>3512</v>
      </c>
      <c r="D1392" s="1" t="s">
        <v>2429</v>
      </c>
      <c r="E1392" s="4"/>
      <c r="F1392" s="106">
        <f>IF(COUNTIF($A$4:$A1392,$A1392)=1,1,0)</f>
        <v>0</v>
      </c>
      <c r="G1392" s="106" cm="1">
        <f t="array" ref="G1392">IF($F1392=1,IF(SUMPRODUCT(--ISNUMBER(SEARCH(","&amp;$A1392&amp;",",'Parts list'!$Z$4:$Z$185)))&gt;0,1,0),0)</f>
        <v>0</v>
      </c>
    </row>
    <row r="1393" spans="1:7" x14ac:dyDescent="0.2">
      <c r="A1393" s="1" t="s">
        <v>3548</v>
      </c>
      <c r="B1393" s="104">
        <v>7</v>
      </c>
      <c r="C1393" s="104" t="s">
        <v>3513</v>
      </c>
      <c r="D1393" s="1" t="s">
        <v>2688</v>
      </c>
      <c r="E1393" s="4"/>
      <c r="F1393" s="106">
        <f>IF(COUNTIF($A$4:$A1393,$A1393)=1,1,0)</f>
        <v>0</v>
      </c>
      <c r="G1393" s="106" cm="1">
        <f t="array" ref="G1393">IF($F1393=1,IF(SUMPRODUCT(--ISNUMBER(SEARCH(","&amp;$A1393&amp;",",'Parts list'!$Z$4:$Z$185)))&gt;0,1,0),0)</f>
        <v>0</v>
      </c>
    </row>
    <row r="1394" spans="1:7" x14ac:dyDescent="0.2">
      <c r="A1394" s="1" t="s">
        <v>3548</v>
      </c>
      <c r="B1394" s="104">
        <v>8</v>
      </c>
      <c r="C1394" s="104" t="s">
        <v>3375</v>
      </c>
      <c r="D1394" s="1" t="s">
        <v>2264</v>
      </c>
      <c r="E1394" s="4"/>
      <c r="F1394" s="106">
        <f>IF(COUNTIF($A$4:$A1394,$A1394)=1,1,0)</f>
        <v>0</v>
      </c>
      <c r="G1394" s="106" cm="1">
        <f t="array" ref="G1394">IF($F1394=1,IF(SUMPRODUCT(--ISNUMBER(SEARCH(","&amp;$A1394&amp;",",'Parts list'!$Z$4:$Z$185)))&gt;0,1,0),0)</f>
        <v>0</v>
      </c>
    </row>
    <row r="1395" spans="1:7" ht="27.75" customHeight="1" x14ac:dyDescent="0.2">
      <c r="A1395" s="1" t="s">
        <v>3550</v>
      </c>
      <c r="B1395" s="104">
        <v>1</v>
      </c>
      <c r="C1395" s="104" t="s">
        <v>3507</v>
      </c>
      <c r="D1395" s="1" t="s">
        <v>2431</v>
      </c>
      <c r="E1395" s="4" t="s">
        <v>3551</v>
      </c>
      <c r="F1395" s="106">
        <f>IF(COUNTIF($A$4:$A1395,$A1395)=1,1,0)</f>
        <v>1</v>
      </c>
      <c r="G1395" s="106" cm="1">
        <f t="array" ref="G1395">IF($F1395=1,IF(SUMPRODUCT(--ISNUMBER(SEARCH(","&amp;$A1395&amp;",",'Parts list'!$Z$4:$Z$185)))&gt;0,1,0),0)</f>
        <v>1</v>
      </c>
    </row>
    <row r="1396" spans="1:7" x14ac:dyDescent="0.2">
      <c r="A1396" s="1" t="s">
        <v>3550</v>
      </c>
      <c r="B1396" s="104">
        <v>2</v>
      </c>
      <c r="C1396" s="104" t="s">
        <v>3509</v>
      </c>
      <c r="D1396" s="1" t="s">
        <v>2418</v>
      </c>
      <c r="E1396" s="4"/>
      <c r="F1396" s="106">
        <f>IF(COUNTIF($A$4:$A1396,$A1396)=1,1,0)</f>
        <v>0</v>
      </c>
      <c r="G1396" s="106" cm="1">
        <f t="array" ref="G1396">IF($F1396=1,IF(SUMPRODUCT(--ISNUMBER(SEARCH(","&amp;$A1396&amp;",",'Parts list'!$Z$4:$Z$185)))&gt;0,1,0),0)</f>
        <v>0</v>
      </c>
    </row>
    <row r="1397" spans="1:7" x14ac:dyDescent="0.2">
      <c r="A1397" s="1" t="s">
        <v>3550</v>
      </c>
      <c r="B1397" s="104">
        <v>3</v>
      </c>
      <c r="C1397" s="104" t="s">
        <v>3510</v>
      </c>
      <c r="D1397" s="1" t="s">
        <v>3109</v>
      </c>
      <c r="E1397" s="4"/>
      <c r="F1397" s="106">
        <f>IF(COUNTIF($A$4:$A1397,$A1397)=1,1,0)</f>
        <v>0</v>
      </c>
      <c r="G1397" s="106" cm="1">
        <f t="array" ref="G1397">IF($F1397=1,IF(SUMPRODUCT(--ISNUMBER(SEARCH(","&amp;$A1397&amp;",",'Parts list'!$Z$4:$Z$185)))&gt;0,1,0),0)</f>
        <v>0</v>
      </c>
    </row>
    <row r="1398" spans="1:7" x14ac:dyDescent="0.2">
      <c r="A1398" s="1" t="s">
        <v>3550</v>
      </c>
      <c r="B1398" s="104">
        <v>4</v>
      </c>
      <c r="C1398" s="104" t="s">
        <v>2168</v>
      </c>
      <c r="D1398" s="1" t="s">
        <v>2267</v>
      </c>
      <c r="E1398" s="4"/>
      <c r="F1398" s="106">
        <f>IF(COUNTIF($A$4:$A1398,$A1398)=1,1,0)</f>
        <v>0</v>
      </c>
      <c r="G1398" s="106" cm="1">
        <f t="array" ref="G1398">IF($F1398=1,IF(SUMPRODUCT(--ISNUMBER(SEARCH(","&amp;$A1398&amp;",",'Parts list'!$Z$4:$Z$185)))&gt;0,1,0),0)</f>
        <v>0</v>
      </c>
    </row>
    <row r="1399" spans="1:7" x14ac:dyDescent="0.2">
      <c r="A1399" s="1" t="s">
        <v>3550</v>
      </c>
      <c r="B1399" s="104">
        <v>5</v>
      </c>
      <c r="C1399" s="104" t="s">
        <v>3511</v>
      </c>
      <c r="D1399" s="1" t="s">
        <v>2168</v>
      </c>
      <c r="E1399" s="4"/>
      <c r="F1399" s="106">
        <f>IF(COUNTIF($A$4:$A1399,$A1399)=1,1,0)</f>
        <v>0</v>
      </c>
      <c r="G1399" s="106" cm="1">
        <f t="array" ref="G1399">IF($F1399=1,IF(SUMPRODUCT(--ISNUMBER(SEARCH(","&amp;$A1399&amp;",",'Parts list'!$Z$4:$Z$185)))&gt;0,1,0),0)</f>
        <v>0</v>
      </c>
    </row>
    <row r="1400" spans="1:7" x14ac:dyDescent="0.2">
      <c r="A1400" s="1" t="s">
        <v>3550</v>
      </c>
      <c r="B1400" s="104">
        <v>6</v>
      </c>
      <c r="C1400" s="104" t="s">
        <v>3512</v>
      </c>
      <c r="D1400" s="1" t="s">
        <v>2431</v>
      </c>
      <c r="E1400" s="4"/>
      <c r="F1400" s="106">
        <f>IF(COUNTIF($A$4:$A1400,$A1400)=1,1,0)</f>
        <v>0</v>
      </c>
      <c r="G1400" s="106" cm="1">
        <f t="array" ref="G1400">IF($F1400=1,IF(SUMPRODUCT(--ISNUMBER(SEARCH(","&amp;$A1400&amp;",",'Parts list'!$Z$4:$Z$185)))&gt;0,1,0),0)</f>
        <v>0</v>
      </c>
    </row>
    <row r="1401" spans="1:7" x14ac:dyDescent="0.2">
      <c r="A1401" s="1" t="s">
        <v>3550</v>
      </c>
      <c r="B1401" s="104">
        <v>7</v>
      </c>
      <c r="C1401" s="104" t="s">
        <v>3513</v>
      </c>
      <c r="D1401" s="1" t="s">
        <v>2685</v>
      </c>
      <c r="E1401" s="4"/>
      <c r="F1401" s="106">
        <f>IF(COUNTIF($A$4:$A1401,$A1401)=1,1,0)</f>
        <v>0</v>
      </c>
      <c r="G1401" s="106" cm="1">
        <f t="array" ref="G1401">IF($F1401=1,IF(SUMPRODUCT(--ISNUMBER(SEARCH(","&amp;$A1401&amp;",",'Parts list'!$Z$4:$Z$185)))&gt;0,1,0),0)</f>
        <v>0</v>
      </c>
    </row>
    <row r="1402" spans="1:7" x14ac:dyDescent="0.2">
      <c r="A1402" s="1" t="s">
        <v>3550</v>
      </c>
      <c r="B1402" s="104">
        <v>8</v>
      </c>
      <c r="C1402" s="104" t="s">
        <v>3375</v>
      </c>
      <c r="D1402" s="1" t="s">
        <v>2264</v>
      </c>
      <c r="E1402" s="4"/>
      <c r="F1402" s="106">
        <f>IF(COUNTIF($A$4:$A1402,$A1402)=1,1,0)</f>
        <v>0</v>
      </c>
      <c r="G1402" s="106" cm="1">
        <f t="array" ref="G1402">IF($F1402=1,IF(SUMPRODUCT(--ISNUMBER(SEARCH(","&amp;$A1402&amp;",",'Parts list'!$Z$4:$Z$185)))&gt;0,1,0),0)</f>
        <v>0</v>
      </c>
    </row>
    <row r="1403" spans="1:7" ht="27.75" customHeight="1" x14ac:dyDescent="0.2">
      <c r="A1403" s="1" t="s">
        <v>3552</v>
      </c>
      <c r="B1403" s="104">
        <v>1</v>
      </c>
      <c r="C1403" s="104" t="s">
        <v>3507</v>
      </c>
      <c r="D1403" s="1" t="s">
        <v>2433</v>
      </c>
      <c r="E1403" s="4" t="s">
        <v>3553</v>
      </c>
      <c r="F1403" s="106">
        <f>IF(COUNTIF($A$4:$A1403,$A1403)=1,1,0)</f>
        <v>1</v>
      </c>
      <c r="G1403" s="106" cm="1">
        <f t="array" ref="G1403">IF($F1403=1,IF(SUMPRODUCT(--ISNUMBER(SEARCH(","&amp;$A1403&amp;",",'Parts list'!$Z$4:$Z$185)))&gt;0,1,0),0)</f>
        <v>1</v>
      </c>
    </row>
    <row r="1404" spans="1:7" x14ac:dyDescent="0.2">
      <c r="A1404" s="1" t="s">
        <v>3552</v>
      </c>
      <c r="B1404" s="104">
        <v>2</v>
      </c>
      <c r="C1404" s="104" t="s">
        <v>3509</v>
      </c>
      <c r="D1404" s="1" t="s">
        <v>3104</v>
      </c>
      <c r="E1404" s="4"/>
      <c r="F1404" s="106">
        <f>IF(COUNTIF($A$4:$A1404,$A1404)=1,1,0)</f>
        <v>0</v>
      </c>
      <c r="G1404" s="106" cm="1">
        <f t="array" ref="G1404">IF($F1404=1,IF(SUMPRODUCT(--ISNUMBER(SEARCH(","&amp;$A1404&amp;",",'Parts list'!$Z$4:$Z$185)))&gt;0,1,0),0)</f>
        <v>0</v>
      </c>
    </row>
    <row r="1405" spans="1:7" x14ac:dyDescent="0.2">
      <c r="A1405" s="1" t="s">
        <v>3552</v>
      </c>
      <c r="B1405" s="104">
        <v>3</v>
      </c>
      <c r="C1405" s="104" t="s">
        <v>3510</v>
      </c>
      <c r="D1405" s="1" t="s">
        <v>2420</v>
      </c>
      <c r="E1405" s="4"/>
      <c r="F1405" s="106">
        <f>IF(COUNTIF($A$4:$A1405,$A1405)=1,1,0)</f>
        <v>0</v>
      </c>
      <c r="G1405" s="106" cm="1">
        <f t="array" ref="G1405">IF($F1405=1,IF(SUMPRODUCT(--ISNUMBER(SEARCH(","&amp;$A1405&amp;",",'Parts list'!$Z$4:$Z$185)))&gt;0,1,0),0)</f>
        <v>0</v>
      </c>
    </row>
    <row r="1406" spans="1:7" x14ac:dyDescent="0.2">
      <c r="A1406" s="1" t="s">
        <v>3552</v>
      </c>
      <c r="B1406" s="104">
        <v>4</v>
      </c>
      <c r="C1406" s="104" t="s">
        <v>2168</v>
      </c>
      <c r="D1406" s="1" t="s">
        <v>2267</v>
      </c>
      <c r="E1406" s="4"/>
      <c r="F1406" s="106">
        <f>IF(COUNTIF($A$4:$A1406,$A1406)=1,1,0)</f>
        <v>0</v>
      </c>
      <c r="G1406" s="106" cm="1">
        <f t="array" ref="G1406">IF($F1406=1,IF(SUMPRODUCT(--ISNUMBER(SEARCH(","&amp;$A1406&amp;",",'Parts list'!$Z$4:$Z$185)))&gt;0,1,0),0)</f>
        <v>0</v>
      </c>
    </row>
    <row r="1407" spans="1:7" x14ac:dyDescent="0.2">
      <c r="A1407" s="1" t="s">
        <v>3552</v>
      </c>
      <c r="B1407" s="104">
        <v>5</v>
      </c>
      <c r="C1407" s="104" t="s">
        <v>3511</v>
      </c>
      <c r="D1407" s="1" t="s">
        <v>2168</v>
      </c>
      <c r="E1407" s="4"/>
      <c r="F1407" s="106">
        <f>IF(COUNTIF($A$4:$A1407,$A1407)=1,1,0)</f>
        <v>0</v>
      </c>
      <c r="G1407" s="106" cm="1">
        <f t="array" ref="G1407">IF($F1407=1,IF(SUMPRODUCT(--ISNUMBER(SEARCH(","&amp;$A1407&amp;",",'Parts list'!$Z$4:$Z$185)))&gt;0,1,0),0)</f>
        <v>0</v>
      </c>
    </row>
    <row r="1408" spans="1:7" x14ac:dyDescent="0.2">
      <c r="A1408" s="1" t="s">
        <v>3552</v>
      </c>
      <c r="B1408" s="104">
        <v>6</v>
      </c>
      <c r="C1408" s="104" t="s">
        <v>3512</v>
      </c>
      <c r="D1408" s="1" t="s">
        <v>2433</v>
      </c>
      <c r="E1408" s="4"/>
      <c r="F1408" s="106">
        <f>IF(COUNTIF($A$4:$A1408,$A1408)=1,1,0)</f>
        <v>0</v>
      </c>
      <c r="G1408" s="106" cm="1">
        <f t="array" ref="G1408">IF($F1408=1,IF(SUMPRODUCT(--ISNUMBER(SEARCH(","&amp;$A1408&amp;",",'Parts list'!$Z$4:$Z$185)))&gt;0,1,0),0)</f>
        <v>0</v>
      </c>
    </row>
    <row r="1409" spans="1:7" x14ac:dyDescent="0.2">
      <c r="A1409" s="1" t="s">
        <v>3552</v>
      </c>
      <c r="B1409" s="104">
        <v>7</v>
      </c>
      <c r="C1409" s="104" t="s">
        <v>3513</v>
      </c>
      <c r="D1409" s="1" t="s">
        <v>2691</v>
      </c>
      <c r="E1409" s="4"/>
      <c r="F1409" s="106">
        <f>IF(COUNTIF($A$4:$A1409,$A1409)=1,1,0)</f>
        <v>0</v>
      </c>
      <c r="G1409" s="106" cm="1">
        <f t="array" ref="G1409">IF($F1409=1,IF(SUMPRODUCT(--ISNUMBER(SEARCH(","&amp;$A1409&amp;",",'Parts list'!$Z$4:$Z$185)))&gt;0,1,0),0)</f>
        <v>0</v>
      </c>
    </row>
    <row r="1410" spans="1:7" x14ac:dyDescent="0.2">
      <c r="A1410" s="1" t="s">
        <v>3552</v>
      </c>
      <c r="B1410" s="104">
        <v>8</v>
      </c>
      <c r="C1410" s="104" t="s">
        <v>3375</v>
      </c>
      <c r="D1410" s="1" t="s">
        <v>2264</v>
      </c>
      <c r="E1410" s="4"/>
      <c r="F1410" s="106">
        <f>IF(COUNTIF($A$4:$A1410,$A1410)=1,1,0)</f>
        <v>0</v>
      </c>
      <c r="G1410" s="106" cm="1">
        <f t="array" ref="G1410">IF($F1410=1,IF(SUMPRODUCT(--ISNUMBER(SEARCH(","&amp;$A1410&amp;",",'Parts list'!$Z$4:$Z$185)))&gt;0,1,0),0)</f>
        <v>0</v>
      </c>
    </row>
    <row r="1411" spans="1:7" ht="27.75" customHeight="1" x14ac:dyDescent="0.2">
      <c r="A1411" s="1" t="s">
        <v>3554</v>
      </c>
      <c r="B1411" s="104">
        <v>1</v>
      </c>
      <c r="C1411" s="104" t="s">
        <v>3507</v>
      </c>
      <c r="D1411" s="1" t="s">
        <v>2435</v>
      </c>
      <c r="E1411" s="4" t="s">
        <v>3555</v>
      </c>
      <c r="F1411" s="106">
        <f>IF(COUNTIF($A$4:$A1411,$A1411)=1,1,0)</f>
        <v>1</v>
      </c>
      <c r="G1411" s="106" cm="1">
        <f t="array" ref="G1411">IF($F1411=1,IF(SUMPRODUCT(--ISNUMBER(SEARCH(","&amp;$A1411&amp;",",'Parts list'!$Z$4:$Z$185)))&gt;0,1,0),0)</f>
        <v>1</v>
      </c>
    </row>
    <row r="1412" spans="1:7" x14ac:dyDescent="0.2">
      <c r="A1412" s="1" t="s">
        <v>3554</v>
      </c>
      <c r="B1412" s="104">
        <v>2</v>
      </c>
      <c r="C1412" s="104" t="s">
        <v>3509</v>
      </c>
      <c r="D1412" s="1" t="s">
        <v>2420</v>
      </c>
      <c r="E1412" s="4"/>
      <c r="F1412" s="106">
        <f>IF(COUNTIF($A$4:$A1412,$A1412)=1,1,0)</f>
        <v>0</v>
      </c>
      <c r="G1412" s="106" cm="1">
        <f t="array" ref="G1412">IF($F1412=1,IF(SUMPRODUCT(--ISNUMBER(SEARCH(","&amp;$A1412&amp;",",'Parts list'!$Z$4:$Z$185)))&gt;0,1,0),0)</f>
        <v>0</v>
      </c>
    </row>
    <row r="1413" spans="1:7" x14ac:dyDescent="0.2">
      <c r="A1413" s="1" t="s">
        <v>3554</v>
      </c>
      <c r="B1413" s="104">
        <v>3</v>
      </c>
      <c r="C1413" s="104" t="s">
        <v>3510</v>
      </c>
      <c r="D1413" s="1" t="s">
        <v>3109</v>
      </c>
      <c r="E1413" s="4"/>
      <c r="F1413" s="106">
        <f>IF(COUNTIF($A$4:$A1413,$A1413)=1,1,0)</f>
        <v>0</v>
      </c>
      <c r="G1413" s="106" cm="1">
        <f t="array" ref="G1413">IF($F1413=1,IF(SUMPRODUCT(--ISNUMBER(SEARCH(","&amp;$A1413&amp;",",'Parts list'!$Z$4:$Z$185)))&gt;0,1,0),0)</f>
        <v>0</v>
      </c>
    </row>
    <row r="1414" spans="1:7" x14ac:dyDescent="0.2">
      <c r="A1414" s="1" t="s">
        <v>3554</v>
      </c>
      <c r="B1414" s="104">
        <v>4</v>
      </c>
      <c r="C1414" s="104" t="s">
        <v>2168</v>
      </c>
      <c r="D1414" s="1" t="s">
        <v>2267</v>
      </c>
      <c r="E1414" s="4"/>
      <c r="F1414" s="106">
        <f>IF(COUNTIF($A$4:$A1414,$A1414)=1,1,0)</f>
        <v>0</v>
      </c>
      <c r="G1414" s="106" cm="1">
        <f t="array" ref="G1414">IF($F1414=1,IF(SUMPRODUCT(--ISNUMBER(SEARCH(","&amp;$A1414&amp;",",'Parts list'!$Z$4:$Z$185)))&gt;0,1,0),0)</f>
        <v>0</v>
      </c>
    </row>
    <row r="1415" spans="1:7" x14ac:dyDescent="0.2">
      <c r="A1415" s="1" t="s">
        <v>3554</v>
      </c>
      <c r="B1415" s="104">
        <v>5</v>
      </c>
      <c r="C1415" s="104" t="s">
        <v>3511</v>
      </c>
      <c r="D1415" s="1" t="s">
        <v>2168</v>
      </c>
      <c r="E1415" s="4"/>
      <c r="F1415" s="106">
        <f>IF(COUNTIF($A$4:$A1415,$A1415)=1,1,0)</f>
        <v>0</v>
      </c>
      <c r="G1415" s="106" cm="1">
        <f t="array" ref="G1415">IF($F1415=1,IF(SUMPRODUCT(--ISNUMBER(SEARCH(","&amp;$A1415&amp;",",'Parts list'!$Z$4:$Z$185)))&gt;0,1,0),0)</f>
        <v>0</v>
      </c>
    </row>
    <row r="1416" spans="1:7" x14ac:dyDescent="0.2">
      <c r="A1416" s="1" t="s">
        <v>3554</v>
      </c>
      <c r="B1416" s="104">
        <v>6</v>
      </c>
      <c r="C1416" s="104" t="s">
        <v>3512</v>
      </c>
      <c r="D1416" s="1" t="s">
        <v>2435</v>
      </c>
      <c r="E1416" s="4"/>
      <c r="F1416" s="106">
        <f>IF(COUNTIF($A$4:$A1416,$A1416)=1,1,0)</f>
        <v>0</v>
      </c>
      <c r="G1416" s="106" cm="1">
        <f t="array" ref="G1416">IF($F1416=1,IF(SUMPRODUCT(--ISNUMBER(SEARCH(","&amp;$A1416&amp;",",'Parts list'!$Z$4:$Z$185)))&gt;0,1,0),0)</f>
        <v>0</v>
      </c>
    </row>
    <row r="1417" spans="1:7" x14ac:dyDescent="0.2">
      <c r="A1417" s="1" t="s">
        <v>3554</v>
      </c>
      <c r="B1417" s="104">
        <v>7</v>
      </c>
      <c r="C1417" s="104" t="s">
        <v>3513</v>
      </c>
      <c r="D1417" s="1" t="s">
        <v>2694</v>
      </c>
      <c r="E1417" s="4"/>
      <c r="F1417" s="106">
        <f>IF(COUNTIF($A$4:$A1417,$A1417)=1,1,0)</f>
        <v>0</v>
      </c>
      <c r="G1417" s="106" cm="1">
        <f t="array" ref="G1417">IF($F1417=1,IF(SUMPRODUCT(--ISNUMBER(SEARCH(","&amp;$A1417&amp;",",'Parts list'!$Z$4:$Z$185)))&gt;0,1,0),0)</f>
        <v>0</v>
      </c>
    </row>
    <row r="1418" spans="1:7" x14ac:dyDescent="0.2">
      <c r="A1418" s="1" t="s">
        <v>3554</v>
      </c>
      <c r="B1418" s="104">
        <v>8</v>
      </c>
      <c r="C1418" s="104" t="s">
        <v>3375</v>
      </c>
      <c r="D1418" s="1" t="s">
        <v>2264</v>
      </c>
      <c r="E1418" s="4"/>
      <c r="F1418" s="106">
        <f>IF(COUNTIF($A$4:$A1418,$A1418)=1,1,0)</f>
        <v>0</v>
      </c>
      <c r="G1418" s="106" cm="1">
        <f t="array" ref="G1418">IF($F1418=1,IF(SUMPRODUCT(--ISNUMBER(SEARCH(","&amp;$A1418&amp;",",'Parts list'!$Z$4:$Z$185)))&gt;0,1,0),0)</f>
        <v>0</v>
      </c>
    </row>
    <row r="1419" spans="1:7" ht="27.75" customHeight="1" x14ac:dyDescent="0.2">
      <c r="A1419" s="1" t="s">
        <v>3556</v>
      </c>
      <c r="B1419" s="104">
        <v>1</v>
      </c>
      <c r="C1419" s="104" t="s">
        <v>3507</v>
      </c>
      <c r="D1419" s="1" t="s">
        <v>2437</v>
      </c>
      <c r="E1419" s="4" t="s">
        <v>3557</v>
      </c>
      <c r="F1419" s="106">
        <f>IF(COUNTIF($A$4:$A1419,$A1419)=1,1,0)</f>
        <v>1</v>
      </c>
      <c r="G1419" s="106" cm="1">
        <f t="array" ref="G1419">IF($F1419=1,IF(SUMPRODUCT(--ISNUMBER(SEARCH(","&amp;$A1419&amp;",",'Parts list'!$Z$4:$Z$185)))&gt;0,1,0),0)</f>
        <v>1</v>
      </c>
    </row>
    <row r="1420" spans="1:7" x14ac:dyDescent="0.2">
      <c r="A1420" s="1" t="s">
        <v>3556</v>
      </c>
      <c r="B1420" s="104">
        <v>2</v>
      </c>
      <c r="C1420" s="104" t="s">
        <v>3509</v>
      </c>
      <c r="D1420" s="1" t="s">
        <v>3104</v>
      </c>
      <c r="E1420" s="4"/>
      <c r="F1420" s="106">
        <f>IF(COUNTIF($A$4:$A1420,$A1420)=1,1,0)</f>
        <v>0</v>
      </c>
      <c r="G1420" s="106" cm="1">
        <f t="array" ref="G1420">IF($F1420=1,IF(SUMPRODUCT(--ISNUMBER(SEARCH(","&amp;$A1420&amp;",",'Parts list'!$Z$4:$Z$185)))&gt;0,1,0),0)</f>
        <v>0</v>
      </c>
    </row>
    <row r="1421" spans="1:7" x14ac:dyDescent="0.2">
      <c r="A1421" s="1" t="s">
        <v>3556</v>
      </c>
      <c r="B1421" s="104">
        <v>3</v>
      </c>
      <c r="C1421" s="104" t="s">
        <v>3510</v>
      </c>
      <c r="D1421" s="1" t="s">
        <v>2422</v>
      </c>
      <c r="E1421" s="4"/>
      <c r="F1421" s="106">
        <f>IF(COUNTIF($A$4:$A1421,$A1421)=1,1,0)</f>
        <v>0</v>
      </c>
      <c r="G1421" s="106" cm="1">
        <f t="array" ref="G1421">IF($F1421=1,IF(SUMPRODUCT(--ISNUMBER(SEARCH(","&amp;$A1421&amp;",",'Parts list'!$Z$4:$Z$185)))&gt;0,1,0),0)</f>
        <v>0</v>
      </c>
    </row>
    <row r="1422" spans="1:7" x14ac:dyDescent="0.2">
      <c r="A1422" s="1" t="s">
        <v>3556</v>
      </c>
      <c r="B1422" s="104">
        <v>4</v>
      </c>
      <c r="C1422" s="104" t="s">
        <v>2168</v>
      </c>
      <c r="D1422" s="1" t="s">
        <v>2267</v>
      </c>
      <c r="E1422" s="4"/>
      <c r="F1422" s="106">
        <f>IF(COUNTIF($A$4:$A1422,$A1422)=1,1,0)</f>
        <v>0</v>
      </c>
      <c r="G1422" s="106" cm="1">
        <f t="array" ref="G1422">IF($F1422=1,IF(SUMPRODUCT(--ISNUMBER(SEARCH(","&amp;$A1422&amp;",",'Parts list'!$Z$4:$Z$185)))&gt;0,1,0),0)</f>
        <v>0</v>
      </c>
    </row>
    <row r="1423" spans="1:7" x14ac:dyDescent="0.2">
      <c r="A1423" s="1" t="s">
        <v>3556</v>
      </c>
      <c r="B1423" s="104">
        <v>5</v>
      </c>
      <c r="C1423" s="104" t="s">
        <v>3511</v>
      </c>
      <c r="D1423" s="1" t="s">
        <v>2168</v>
      </c>
      <c r="E1423" s="4"/>
      <c r="F1423" s="106">
        <f>IF(COUNTIF($A$4:$A1423,$A1423)=1,1,0)</f>
        <v>0</v>
      </c>
      <c r="G1423" s="106" cm="1">
        <f t="array" ref="G1423">IF($F1423=1,IF(SUMPRODUCT(--ISNUMBER(SEARCH(","&amp;$A1423&amp;",",'Parts list'!$Z$4:$Z$185)))&gt;0,1,0),0)</f>
        <v>0</v>
      </c>
    </row>
    <row r="1424" spans="1:7" x14ac:dyDescent="0.2">
      <c r="A1424" s="1" t="s">
        <v>3556</v>
      </c>
      <c r="B1424" s="104">
        <v>6</v>
      </c>
      <c r="C1424" s="104" t="s">
        <v>3512</v>
      </c>
      <c r="D1424" s="1" t="s">
        <v>2437</v>
      </c>
      <c r="E1424" s="4"/>
      <c r="F1424" s="106">
        <f>IF(COUNTIF($A$4:$A1424,$A1424)=1,1,0)</f>
        <v>0</v>
      </c>
      <c r="G1424" s="106" cm="1">
        <f t="array" ref="G1424">IF($F1424=1,IF(SUMPRODUCT(--ISNUMBER(SEARCH(","&amp;$A1424&amp;",",'Parts list'!$Z$4:$Z$185)))&gt;0,1,0),0)</f>
        <v>0</v>
      </c>
    </row>
    <row r="1425" spans="1:7" x14ac:dyDescent="0.2">
      <c r="A1425" s="1" t="s">
        <v>3556</v>
      </c>
      <c r="B1425" s="104">
        <v>7</v>
      </c>
      <c r="C1425" s="104" t="s">
        <v>3513</v>
      </c>
      <c r="D1425" s="1" t="s">
        <v>2694</v>
      </c>
      <c r="E1425" s="4"/>
      <c r="F1425" s="106">
        <f>IF(COUNTIF($A$4:$A1425,$A1425)=1,1,0)</f>
        <v>0</v>
      </c>
      <c r="G1425" s="106" cm="1">
        <f t="array" ref="G1425">IF($F1425=1,IF(SUMPRODUCT(--ISNUMBER(SEARCH(","&amp;$A1425&amp;",",'Parts list'!$Z$4:$Z$185)))&gt;0,1,0),0)</f>
        <v>0</v>
      </c>
    </row>
    <row r="1426" spans="1:7" x14ac:dyDescent="0.2">
      <c r="A1426" s="1" t="s">
        <v>3556</v>
      </c>
      <c r="B1426" s="104">
        <v>8</v>
      </c>
      <c r="C1426" s="104" t="s">
        <v>3375</v>
      </c>
      <c r="D1426" s="1" t="s">
        <v>2264</v>
      </c>
      <c r="E1426" s="4"/>
      <c r="F1426" s="106">
        <f>IF(COUNTIF($A$4:$A1426,$A1426)=1,1,0)</f>
        <v>0</v>
      </c>
      <c r="G1426" s="106" cm="1">
        <f t="array" ref="G1426">IF($F1426=1,IF(SUMPRODUCT(--ISNUMBER(SEARCH(","&amp;$A1426&amp;",",'Parts list'!$Z$4:$Z$185)))&gt;0,1,0),0)</f>
        <v>0</v>
      </c>
    </row>
    <row r="1427" spans="1:7" ht="27.75" customHeight="1" x14ac:dyDescent="0.2">
      <c r="A1427" s="1" t="s">
        <v>3558</v>
      </c>
      <c r="B1427" s="104">
        <v>1</v>
      </c>
      <c r="C1427" s="104" t="s">
        <v>3507</v>
      </c>
      <c r="D1427" s="1" t="s">
        <v>2439</v>
      </c>
      <c r="E1427" s="4" t="s">
        <v>3559</v>
      </c>
      <c r="F1427" s="106">
        <f>IF(COUNTIF($A$4:$A1427,$A1427)=1,1,0)</f>
        <v>1</v>
      </c>
      <c r="G1427" s="106" cm="1">
        <f t="array" ref="G1427">IF($F1427=1,IF(SUMPRODUCT(--ISNUMBER(SEARCH(","&amp;$A1427&amp;",",'Parts list'!$Z$4:$Z$185)))&gt;0,1,0),0)</f>
        <v>1</v>
      </c>
    </row>
    <row r="1428" spans="1:7" x14ac:dyDescent="0.2">
      <c r="A1428" s="1" t="s">
        <v>3558</v>
      </c>
      <c r="B1428" s="104">
        <v>2</v>
      </c>
      <c r="C1428" s="104" t="s">
        <v>3509</v>
      </c>
      <c r="D1428" s="1" t="s">
        <v>2422</v>
      </c>
      <c r="E1428" s="4"/>
      <c r="F1428" s="106">
        <f>IF(COUNTIF($A$4:$A1428,$A1428)=1,1,0)</f>
        <v>0</v>
      </c>
      <c r="G1428" s="106" cm="1">
        <f t="array" ref="G1428">IF($F1428=1,IF(SUMPRODUCT(--ISNUMBER(SEARCH(","&amp;$A1428&amp;",",'Parts list'!$Z$4:$Z$185)))&gt;0,1,0),0)</f>
        <v>0</v>
      </c>
    </row>
    <row r="1429" spans="1:7" x14ac:dyDescent="0.2">
      <c r="A1429" s="1" t="s">
        <v>3558</v>
      </c>
      <c r="B1429" s="104">
        <v>3</v>
      </c>
      <c r="C1429" s="104" t="s">
        <v>3510</v>
      </c>
      <c r="D1429" s="1" t="s">
        <v>3109</v>
      </c>
      <c r="E1429" s="4"/>
      <c r="F1429" s="106">
        <f>IF(COUNTIF($A$4:$A1429,$A1429)=1,1,0)</f>
        <v>0</v>
      </c>
      <c r="G1429" s="106" cm="1">
        <f t="array" ref="G1429">IF($F1429=1,IF(SUMPRODUCT(--ISNUMBER(SEARCH(","&amp;$A1429&amp;",",'Parts list'!$Z$4:$Z$185)))&gt;0,1,0),0)</f>
        <v>0</v>
      </c>
    </row>
    <row r="1430" spans="1:7" x14ac:dyDescent="0.2">
      <c r="A1430" s="1" t="s">
        <v>3558</v>
      </c>
      <c r="B1430" s="104">
        <v>4</v>
      </c>
      <c r="C1430" s="104" t="s">
        <v>2168</v>
      </c>
      <c r="D1430" s="1" t="s">
        <v>2267</v>
      </c>
      <c r="E1430" s="4"/>
      <c r="F1430" s="106">
        <f>IF(COUNTIF($A$4:$A1430,$A1430)=1,1,0)</f>
        <v>0</v>
      </c>
      <c r="G1430" s="106" cm="1">
        <f t="array" ref="G1430">IF($F1430=1,IF(SUMPRODUCT(--ISNUMBER(SEARCH(","&amp;$A1430&amp;",",'Parts list'!$Z$4:$Z$185)))&gt;0,1,0),0)</f>
        <v>0</v>
      </c>
    </row>
    <row r="1431" spans="1:7" x14ac:dyDescent="0.2">
      <c r="A1431" s="1" t="s">
        <v>3558</v>
      </c>
      <c r="B1431" s="104">
        <v>5</v>
      </c>
      <c r="C1431" s="104" t="s">
        <v>3511</v>
      </c>
      <c r="D1431" s="1" t="s">
        <v>2168</v>
      </c>
      <c r="E1431" s="4"/>
      <c r="F1431" s="106">
        <f>IF(COUNTIF($A$4:$A1431,$A1431)=1,1,0)</f>
        <v>0</v>
      </c>
      <c r="G1431" s="106" cm="1">
        <f t="array" ref="G1431">IF($F1431=1,IF(SUMPRODUCT(--ISNUMBER(SEARCH(","&amp;$A1431&amp;",",'Parts list'!$Z$4:$Z$185)))&gt;0,1,0),0)</f>
        <v>0</v>
      </c>
    </row>
    <row r="1432" spans="1:7" x14ac:dyDescent="0.2">
      <c r="A1432" s="1" t="s">
        <v>3558</v>
      </c>
      <c r="B1432" s="104">
        <v>6</v>
      </c>
      <c r="C1432" s="104" t="s">
        <v>3512</v>
      </c>
      <c r="D1432" s="1" t="s">
        <v>2439</v>
      </c>
      <c r="E1432" s="4"/>
      <c r="F1432" s="106">
        <f>IF(COUNTIF($A$4:$A1432,$A1432)=1,1,0)</f>
        <v>0</v>
      </c>
      <c r="G1432" s="106" cm="1">
        <f t="array" ref="G1432">IF($F1432=1,IF(SUMPRODUCT(--ISNUMBER(SEARCH(","&amp;$A1432&amp;",",'Parts list'!$Z$4:$Z$185)))&gt;0,1,0),0)</f>
        <v>0</v>
      </c>
    </row>
    <row r="1433" spans="1:7" x14ac:dyDescent="0.2">
      <c r="A1433" s="1" t="s">
        <v>3558</v>
      </c>
      <c r="B1433" s="104">
        <v>7</v>
      </c>
      <c r="C1433" s="104" t="s">
        <v>3513</v>
      </c>
      <c r="D1433" s="1" t="s">
        <v>2691</v>
      </c>
      <c r="E1433" s="4"/>
      <c r="F1433" s="106">
        <f>IF(COUNTIF($A$4:$A1433,$A1433)=1,1,0)</f>
        <v>0</v>
      </c>
      <c r="G1433" s="106" cm="1">
        <f t="array" ref="G1433">IF($F1433=1,IF(SUMPRODUCT(--ISNUMBER(SEARCH(","&amp;$A1433&amp;",",'Parts list'!$Z$4:$Z$185)))&gt;0,1,0),0)</f>
        <v>0</v>
      </c>
    </row>
    <row r="1434" spans="1:7" x14ac:dyDescent="0.2">
      <c r="A1434" s="1" t="s">
        <v>3558</v>
      </c>
      <c r="B1434" s="104">
        <v>8</v>
      </c>
      <c r="C1434" s="104" t="s">
        <v>3375</v>
      </c>
      <c r="D1434" s="1" t="s">
        <v>2264</v>
      </c>
      <c r="E1434" s="4"/>
      <c r="F1434" s="106">
        <f>IF(COUNTIF($A$4:$A1434,$A1434)=1,1,0)</f>
        <v>0</v>
      </c>
      <c r="G1434" s="106" cm="1">
        <f t="array" ref="G1434">IF($F1434=1,IF(SUMPRODUCT(--ISNUMBER(SEARCH(","&amp;$A1434&amp;",",'Parts list'!$Z$4:$Z$185)))&gt;0,1,0),0)</f>
        <v>0</v>
      </c>
    </row>
    <row r="1435" spans="1:7" ht="27.75" customHeight="1" x14ac:dyDescent="0.2">
      <c r="A1435" s="1" t="s">
        <v>476</v>
      </c>
      <c r="B1435" s="104">
        <v>1</v>
      </c>
      <c r="C1435" s="104" t="s">
        <v>3560</v>
      </c>
      <c r="D1435" s="1" t="s">
        <v>2780</v>
      </c>
      <c r="E1435" s="4" t="s">
        <v>3561</v>
      </c>
      <c r="F1435" s="106">
        <f>IF(COUNTIF($A$4:$A1435,$A1435)=1,1,0)</f>
        <v>1</v>
      </c>
      <c r="G1435" s="106" cm="1">
        <f t="array" ref="G1435">IF($F1435=1,IF(SUMPRODUCT(--ISNUMBER(SEARCH(","&amp;$A1435&amp;",",'Parts list'!$Z$4:$Z$185)))&gt;0,1,0),0)</f>
        <v>1</v>
      </c>
    </row>
    <row r="1436" spans="1:7" x14ac:dyDescent="0.2">
      <c r="A1436" s="1" t="s">
        <v>476</v>
      </c>
      <c r="B1436" s="104">
        <v>2</v>
      </c>
      <c r="C1436" s="104" t="s">
        <v>3562</v>
      </c>
      <c r="D1436" s="1" t="s">
        <v>2168</v>
      </c>
      <c r="E1436" s="4"/>
      <c r="F1436" s="106">
        <f>IF(COUNTIF($A$4:$A1436,$A1436)=1,1,0)</f>
        <v>0</v>
      </c>
      <c r="G1436" s="106" cm="1">
        <f t="array" ref="G1436">IF($F1436=1,IF(SUMPRODUCT(--ISNUMBER(SEARCH(","&amp;$A1436&amp;",",'Parts list'!$Z$4:$Z$185)))&gt;0,1,0),0)</f>
        <v>0</v>
      </c>
    </row>
    <row r="1437" spans="1:7" ht="27.75" customHeight="1" x14ac:dyDescent="0.2">
      <c r="A1437" s="1" t="s">
        <v>476</v>
      </c>
      <c r="B1437" s="104">
        <v>3</v>
      </c>
      <c r="C1437" s="104" t="s">
        <v>3182</v>
      </c>
      <c r="D1437" s="1" t="s">
        <v>2711</v>
      </c>
      <c r="E1437" s="4" t="s">
        <v>3563</v>
      </c>
      <c r="F1437" s="106">
        <f>IF(COUNTIF($A$4:$A1437,$A1437)=1,1,0)</f>
        <v>0</v>
      </c>
      <c r="G1437" s="106" cm="1">
        <f t="array" ref="G1437">IF($F1437=1,IF(SUMPRODUCT(--ISNUMBER(SEARCH(","&amp;$A1437&amp;",",'Parts list'!$Z$4:$Z$185)))&gt;0,1,0),0)</f>
        <v>0</v>
      </c>
    </row>
    <row r="1438" spans="1:7" x14ac:dyDescent="0.2">
      <c r="A1438" s="1" t="s">
        <v>476</v>
      </c>
      <c r="B1438" s="104">
        <v>4</v>
      </c>
      <c r="C1438" s="104" t="s">
        <v>3375</v>
      </c>
      <c r="D1438" s="1" t="s">
        <v>2208</v>
      </c>
      <c r="E1438" s="4" t="s">
        <v>3564</v>
      </c>
      <c r="F1438" s="106">
        <f>IF(COUNTIF($A$4:$A1438,$A1438)=1,1,0)</f>
        <v>0</v>
      </c>
      <c r="G1438" s="106" cm="1">
        <f t="array" ref="G1438">IF($F1438=1,IF(SUMPRODUCT(--ISNUMBER(SEARCH(","&amp;$A1438&amp;",",'Parts list'!$Z$4:$Z$185)))&gt;0,1,0),0)</f>
        <v>0</v>
      </c>
    </row>
    <row r="1439" spans="1:7" x14ac:dyDescent="0.2">
      <c r="A1439" s="1" t="s">
        <v>487</v>
      </c>
      <c r="B1439" s="104">
        <v>1</v>
      </c>
      <c r="C1439" s="104" t="s">
        <v>3565</v>
      </c>
      <c r="D1439" s="1" t="s">
        <v>2737</v>
      </c>
      <c r="E1439" s="4" t="s">
        <v>3566</v>
      </c>
      <c r="F1439" s="106">
        <f>IF(COUNTIF($A$4:$A1439,$A1439)=1,1,0)</f>
        <v>1</v>
      </c>
      <c r="G1439" s="106" cm="1">
        <f t="array" ref="G1439">IF($F1439=1,IF(SUMPRODUCT(--ISNUMBER(SEARCH(","&amp;$A1439&amp;",",'Parts list'!$Z$4:$Z$185)))&gt;0,1,0),0)</f>
        <v>1</v>
      </c>
    </row>
    <row r="1440" spans="1:7" x14ac:dyDescent="0.2">
      <c r="A1440" s="1" t="s">
        <v>487</v>
      </c>
      <c r="B1440" s="104">
        <v>2</v>
      </c>
      <c r="C1440" s="104" t="s">
        <v>2168</v>
      </c>
      <c r="D1440" s="1" t="s">
        <v>2168</v>
      </c>
      <c r="E1440" s="4"/>
      <c r="F1440" s="106">
        <f>IF(COUNTIF($A$4:$A1440,$A1440)=1,1,0)</f>
        <v>0</v>
      </c>
      <c r="G1440" s="106" cm="1">
        <f t="array" ref="G1440">IF($F1440=1,IF(SUMPRODUCT(--ISNUMBER(SEARCH(","&amp;$A1440&amp;",",'Parts list'!$Z$4:$Z$185)))&gt;0,1,0),0)</f>
        <v>0</v>
      </c>
    </row>
    <row r="1441" spans="1:7" x14ac:dyDescent="0.2">
      <c r="A1441" s="1" t="s">
        <v>487</v>
      </c>
      <c r="B1441" s="104">
        <v>3</v>
      </c>
      <c r="C1441" s="104" t="s">
        <v>3567</v>
      </c>
      <c r="D1441" s="1" t="s">
        <v>2729</v>
      </c>
      <c r="E1441" s="4"/>
      <c r="F1441" s="106">
        <f>IF(COUNTIF($A$4:$A1441,$A1441)=1,1,0)</f>
        <v>0</v>
      </c>
      <c r="G1441" s="106" cm="1">
        <f t="array" ref="G1441">IF($F1441=1,IF(SUMPRODUCT(--ISNUMBER(SEARCH(","&amp;$A1441&amp;",",'Parts list'!$Z$4:$Z$185)))&gt;0,1,0),0)</f>
        <v>0</v>
      </c>
    </row>
    <row r="1442" spans="1:7" x14ac:dyDescent="0.2">
      <c r="A1442" s="1" t="s">
        <v>487</v>
      </c>
      <c r="B1442" s="104">
        <v>4</v>
      </c>
      <c r="C1442" s="104" t="s">
        <v>3375</v>
      </c>
      <c r="D1442" s="1" t="s">
        <v>2208</v>
      </c>
      <c r="E1442" s="4" t="s">
        <v>3568</v>
      </c>
      <c r="F1442" s="106">
        <f>IF(COUNTIF($A$4:$A1442,$A1442)=1,1,0)</f>
        <v>0</v>
      </c>
      <c r="G1442" s="106" cm="1">
        <f t="array" ref="G1442">IF($F1442=1,IF(SUMPRODUCT(--ISNUMBER(SEARCH(","&amp;$A1442&amp;",",'Parts list'!$Z$4:$Z$185)))&gt;0,1,0),0)</f>
        <v>0</v>
      </c>
    </row>
    <row r="1443" spans="1:7" x14ac:dyDescent="0.2">
      <c r="A1443" s="1" t="s">
        <v>497</v>
      </c>
      <c r="B1443" s="104">
        <v>1</v>
      </c>
      <c r="C1443" s="104" t="s">
        <v>3565</v>
      </c>
      <c r="D1443" s="1" t="s">
        <v>2740</v>
      </c>
      <c r="E1443" s="4" t="s">
        <v>3566</v>
      </c>
      <c r="F1443" s="106">
        <f>IF(COUNTIF($A$4:$A1443,$A1443)=1,1,0)</f>
        <v>1</v>
      </c>
      <c r="G1443" s="106" cm="1">
        <f t="array" ref="G1443">IF($F1443=1,IF(SUMPRODUCT(--ISNUMBER(SEARCH(","&amp;$A1443&amp;",",'Parts list'!$Z$4:$Z$185)))&gt;0,1,0),0)</f>
        <v>1</v>
      </c>
    </row>
    <row r="1444" spans="1:7" x14ac:dyDescent="0.2">
      <c r="A1444" s="1" t="s">
        <v>497</v>
      </c>
      <c r="B1444" s="104">
        <v>2</v>
      </c>
      <c r="C1444" s="104" t="s">
        <v>2168</v>
      </c>
      <c r="D1444" s="1" t="s">
        <v>2168</v>
      </c>
      <c r="E1444" s="4"/>
      <c r="F1444" s="106">
        <f>IF(COUNTIF($A$4:$A1444,$A1444)=1,1,0)</f>
        <v>0</v>
      </c>
      <c r="G1444" s="106" cm="1">
        <f t="array" ref="G1444">IF($F1444=1,IF(SUMPRODUCT(--ISNUMBER(SEARCH(","&amp;$A1444&amp;",",'Parts list'!$Z$4:$Z$185)))&gt;0,1,0),0)</f>
        <v>0</v>
      </c>
    </row>
    <row r="1445" spans="1:7" x14ac:dyDescent="0.2">
      <c r="A1445" s="1" t="s">
        <v>497</v>
      </c>
      <c r="B1445" s="104">
        <v>3</v>
      </c>
      <c r="C1445" s="104" t="s">
        <v>3567</v>
      </c>
      <c r="D1445" s="1" t="s">
        <v>2733</v>
      </c>
      <c r="E1445" s="4"/>
      <c r="F1445" s="106">
        <f>IF(COUNTIF($A$4:$A1445,$A1445)=1,1,0)</f>
        <v>0</v>
      </c>
      <c r="G1445" s="106" cm="1">
        <f t="array" ref="G1445">IF($F1445=1,IF(SUMPRODUCT(--ISNUMBER(SEARCH(","&amp;$A1445&amp;",",'Parts list'!$Z$4:$Z$185)))&gt;0,1,0),0)</f>
        <v>0</v>
      </c>
    </row>
    <row r="1446" spans="1:7" x14ac:dyDescent="0.2">
      <c r="A1446" s="1" t="s">
        <v>497</v>
      </c>
      <c r="B1446" s="104">
        <v>4</v>
      </c>
      <c r="C1446" s="104" t="s">
        <v>3375</v>
      </c>
      <c r="D1446" s="1" t="s">
        <v>2208</v>
      </c>
      <c r="E1446" s="4" t="s">
        <v>3569</v>
      </c>
      <c r="F1446" s="106">
        <f>IF(COUNTIF($A$4:$A1446,$A1446)=1,1,0)</f>
        <v>0</v>
      </c>
      <c r="G1446" s="106" cm="1">
        <f t="array" ref="G1446">IF($F1446=1,IF(SUMPRODUCT(--ISNUMBER(SEARCH(","&amp;$A1446&amp;",",'Parts list'!$Z$4:$Z$185)))&gt;0,1,0),0)</f>
        <v>0</v>
      </c>
    </row>
    <row r="1447" spans="1:7" x14ac:dyDescent="0.2">
      <c r="A1447" s="1" t="s">
        <v>504</v>
      </c>
      <c r="B1447" s="104">
        <v>1</v>
      </c>
      <c r="C1447" s="104" t="s">
        <v>3570</v>
      </c>
      <c r="D1447" s="1" t="s">
        <v>2176</v>
      </c>
      <c r="E1447" s="4"/>
      <c r="F1447" s="106">
        <f>IF(COUNTIF($A$4:$A1447,$A1447)=1,1,0)</f>
        <v>1</v>
      </c>
      <c r="G1447" s="106" cm="1">
        <f t="array" ref="G1447">IF($F1447=1,IF(SUMPRODUCT(--ISNUMBER(SEARCH(","&amp;$A1447&amp;",",'Parts list'!$Z$4:$Z$185)))&gt;0,1,0),0)</f>
        <v>1</v>
      </c>
    </row>
    <row r="1448" spans="1:7" x14ac:dyDescent="0.2">
      <c r="A1448" s="1" t="s">
        <v>504</v>
      </c>
      <c r="B1448" s="104">
        <v>2</v>
      </c>
      <c r="C1448" s="104" t="s">
        <v>3571</v>
      </c>
      <c r="D1448" s="1" t="s">
        <v>2179</v>
      </c>
      <c r="E1448" s="4"/>
      <c r="F1448" s="106">
        <f>IF(COUNTIF($A$4:$A1448,$A1448)=1,1,0)</f>
        <v>0</v>
      </c>
      <c r="G1448" s="106" cm="1">
        <f t="array" ref="G1448">IF($F1448=1,IF(SUMPRODUCT(--ISNUMBER(SEARCH(","&amp;$A1448&amp;",",'Parts list'!$Z$4:$Z$185)))&gt;0,1,0),0)</f>
        <v>0</v>
      </c>
    </row>
  </sheetData>
  <mergeCells count="2">
    <mergeCell ref="A1:G1"/>
    <mergeCell ref="A2:G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4562A-FD70-42AD-A197-55432EDCE7C5}">
  <dimension ref="A1:E252"/>
  <sheetViews>
    <sheetView workbookViewId="0">
      <pane xSplit="1" ySplit="3" topLeftCell="B54" activePane="bottomRight" state="frozen"/>
      <selection pane="topRight"/>
      <selection pane="bottomLeft"/>
      <selection pane="bottomRight" sqref="A1:E1"/>
    </sheetView>
  </sheetViews>
  <sheetFormatPr baseColWidth="10" defaultColWidth="8.83203125" defaultRowHeight="15" x14ac:dyDescent="0.2"/>
  <cols>
    <col min="1" max="1" width="22.6640625" customWidth="1"/>
    <col min="2" max="3" width="11.6640625" customWidth="1"/>
    <col min="4" max="4" width="26.6640625" customWidth="1"/>
    <col min="5" max="5" width="110.6640625" customWidth="1"/>
  </cols>
  <sheetData>
    <row r="1" spans="1:5" ht="21.75" customHeight="1" x14ac:dyDescent="0.2">
      <c r="A1" s="156" t="s">
        <v>3572</v>
      </c>
      <c r="B1" s="157"/>
      <c r="C1" s="157"/>
      <c r="D1" s="157"/>
      <c r="E1" s="157"/>
    </row>
    <row r="2" spans="1:5" ht="30" customHeight="1" x14ac:dyDescent="0.2">
      <c r="A2" s="155" t="s">
        <v>3573</v>
      </c>
      <c r="B2" s="157"/>
      <c r="C2" s="157"/>
      <c r="D2" s="157"/>
      <c r="E2" s="157"/>
    </row>
    <row r="3" spans="1:5" ht="30" customHeight="1" x14ac:dyDescent="0.2">
      <c r="A3" s="3" t="s">
        <v>2164</v>
      </c>
      <c r="B3" s="3" t="s">
        <v>3574</v>
      </c>
      <c r="C3" s="3" t="s">
        <v>3575</v>
      </c>
      <c r="D3" s="3" t="s">
        <v>3576</v>
      </c>
      <c r="E3" s="3" t="s">
        <v>3577</v>
      </c>
    </row>
    <row r="4" spans="1:5" x14ac:dyDescent="0.2">
      <c r="A4" s="1" t="s">
        <v>2237</v>
      </c>
      <c r="B4" s="107">
        <f>COUNTIF(Netlist!$D$4:$D$1448,$A4)</f>
        <v>9</v>
      </c>
      <c r="C4" s="107">
        <v>9</v>
      </c>
      <c r="D4" s="1" t="s">
        <v>3578</v>
      </c>
      <c r="E4" s="4" t="s">
        <v>3579</v>
      </c>
    </row>
    <row r="5" spans="1:5" ht="27.75" customHeight="1" x14ac:dyDescent="0.2">
      <c r="A5" s="1" t="s">
        <v>2221</v>
      </c>
      <c r="B5" s="107">
        <f>COUNTIF(Netlist!$D$4:$D$1448,$A5)</f>
        <v>21</v>
      </c>
      <c r="C5" s="107">
        <v>21</v>
      </c>
      <c r="D5" s="1" t="s">
        <v>3578</v>
      </c>
      <c r="E5" s="4" t="s">
        <v>3580</v>
      </c>
    </row>
    <row r="6" spans="1:5" ht="27.75" customHeight="1" x14ac:dyDescent="0.2">
      <c r="A6" s="1" t="s">
        <v>2208</v>
      </c>
      <c r="B6" s="107">
        <f>COUNTIF(Netlist!$D$4:$D$1448,$A6)</f>
        <v>35</v>
      </c>
      <c r="C6" s="107">
        <v>35</v>
      </c>
      <c r="D6" s="1" t="s">
        <v>3578</v>
      </c>
      <c r="E6" s="4" t="s">
        <v>3581</v>
      </c>
    </row>
    <row r="7" spans="1:5" ht="27.75" customHeight="1" x14ac:dyDescent="0.2">
      <c r="A7" s="1" t="s">
        <v>2181</v>
      </c>
      <c r="B7" s="107">
        <f>COUNTIF(Netlist!$D$4:$D$1448,$A7)</f>
        <v>35</v>
      </c>
      <c r="C7" s="107">
        <v>35</v>
      </c>
      <c r="D7" s="1" t="s">
        <v>3578</v>
      </c>
      <c r="E7" s="4" t="s">
        <v>3582</v>
      </c>
    </row>
    <row r="8" spans="1:5" x14ac:dyDescent="0.2">
      <c r="A8" s="1" t="s">
        <v>2330</v>
      </c>
      <c r="B8" s="107">
        <f>COUNTIF(Netlist!$D$4:$D$1448,$A8)</f>
        <v>5</v>
      </c>
      <c r="C8" s="107">
        <v>5</v>
      </c>
      <c r="D8" s="1" t="s">
        <v>3578</v>
      </c>
      <c r="E8" s="4" t="s">
        <v>3583</v>
      </c>
    </row>
    <row r="9" spans="1:5" x14ac:dyDescent="0.2">
      <c r="A9" s="1" t="s">
        <v>2331</v>
      </c>
      <c r="B9" s="107">
        <f>COUNTIF(Netlist!$D$4:$D$1448,$A9)</f>
        <v>8</v>
      </c>
      <c r="C9" s="107">
        <v>8</v>
      </c>
      <c r="D9" s="1" t="s">
        <v>3578</v>
      </c>
      <c r="E9" s="4" t="s">
        <v>3584</v>
      </c>
    </row>
    <row r="10" spans="1:5" x14ac:dyDescent="0.2">
      <c r="A10" s="1" t="s">
        <v>2220</v>
      </c>
      <c r="B10" s="107">
        <f>COUNTIF(Netlist!$D$4:$D$1448,$A10)</f>
        <v>13</v>
      </c>
      <c r="C10" s="107">
        <v>13</v>
      </c>
      <c r="D10" s="1" t="s">
        <v>3578</v>
      </c>
      <c r="E10" s="4" t="s">
        <v>3585</v>
      </c>
    </row>
    <row r="11" spans="1:5" x14ac:dyDescent="0.2">
      <c r="A11" s="1" t="s">
        <v>2872</v>
      </c>
      <c r="B11" s="107">
        <f>COUNTIF(Netlist!$D$4:$D$1448,$A11)</f>
        <v>4</v>
      </c>
      <c r="C11" s="107">
        <v>4</v>
      </c>
      <c r="D11" s="1" t="s">
        <v>3578</v>
      </c>
      <c r="E11" s="4" t="s">
        <v>3586</v>
      </c>
    </row>
    <row r="12" spans="1:5" x14ac:dyDescent="0.2">
      <c r="A12" s="1" t="s">
        <v>2871</v>
      </c>
      <c r="B12" s="107">
        <f>COUNTIF(Netlist!$D$4:$D$1448,$A12)</f>
        <v>4</v>
      </c>
      <c r="C12" s="107">
        <v>4</v>
      </c>
      <c r="D12" s="1" t="s">
        <v>3578</v>
      </c>
      <c r="E12" s="4" t="s">
        <v>3587</v>
      </c>
    </row>
    <row r="13" spans="1:5" x14ac:dyDescent="0.2">
      <c r="A13" s="1" t="s">
        <v>2342</v>
      </c>
      <c r="B13" s="107">
        <f>COUNTIF(Netlist!$D$4:$D$1448,$A13)</f>
        <v>5</v>
      </c>
      <c r="C13" s="107">
        <v>5</v>
      </c>
      <c r="D13" s="1" t="s">
        <v>3578</v>
      </c>
      <c r="E13" s="4" t="s">
        <v>3588</v>
      </c>
    </row>
    <row r="14" spans="1:5" x14ac:dyDescent="0.2">
      <c r="A14" s="1" t="s">
        <v>2636</v>
      </c>
      <c r="B14" s="107">
        <f>COUNTIF(Netlist!$D$4:$D$1448,$A14)</f>
        <v>6</v>
      </c>
      <c r="C14" s="107">
        <v>6</v>
      </c>
      <c r="D14" s="1" t="s">
        <v>3578</v>
      </c>
      <c r="E14" s="4" t="s">
        <v>3589</v>
      </c>
    </row>
    <row r="15" spans="1:5" x14ac:dyDescent="0.2">
      <c r="A15" s="1" t="s">
        <v>2629</v>
      </c>
      <c r="B15" s="107">
        <f>COUNTIF(Netlist!$D$4:$D$1448,$A15)</f>
        <v>6</v>
      </c>
      <c r="C15" s="107">
        <v>6</v>
      </c>
      <c r="D15" s="1" t="s">
        <v>3578</v>
      </c>
      <c r="E15" s="4" t="s">
        <v>3590</v>
      </c>
    </row>
    <row r="16" spans="1:5" x14ac:dyDescent="0.2">
      <c r="A16" s="1" t="s">
        <v>2223</v>
      </c>
      <c r="B16" s="107">
        <f>COUNTIF(Netlist!$D$4:$D$1448,$A16)</f>
        <v>7</v>
      </c>
      <c r="C16" s="107">
        <v>7</v>
      </c>
      <c r="D16" s="1" t="s">
        <v>3578</v>
      </c>
      <c r="E16" s="4" t="s">
        <v>3591</v>
      </c>
    </row>
    <row r="17" spans="1:5" x14ac:dyDescent="0.2">
      <c r="A17" s="1" t="s">
        <v>2225</v>
      </c>
      <c r="B17" s="107">
        <f>COUNTIF(Netlist!$D$4:$D$1448,$A17)</f>
        <v>6</v>
      </c>
      <c r="C17" s="107">
        <v>6</v>
      </c>
      <c r="D17" s="1" t="s">
        <v>3578</v>
      </c>
      <c r="E17" s="4" t="s">
        <v>3592</v>
      </c>
    </row>
    <row r="18" spans="1:5" x14ac:dyDescent="0.2">
      <c r="A18" s="1" t="s">
        <v>2596</v>
      </c>
      <c r="B18" s="107">
        <f>COUNTIF(Netlist!$D$4:$D$1448,$A18)</f>
        <v>4</v>
      </c>
      <c r="C18" s="107">
        <v>4</v>
      </c>
      <c r="D18" s="1" t="s">
        <v>3578</v>
      </c>
      <c r="E18" s="4" t="s">
        <v>3593</v>
      </c>
    </row>
    <row r="19" spans="1:5" x14ac:dyDescent="0.2">
      <c r="A19" s="1" t="s">
        <v>2558</v>
      </c>
      <c r="B19" s="107">
        <f>COUNTIF(Netlist!$D$4:$D$1448,$A19)</f>
        <v>3</v>
      </c>
      <c r="C19" s="107">
        <v>3</v>
      </c>
      <c r="D19" s="1" t="s">
        <v>3578</v>
      </c>
      <c r="E19" s="4" t="s">
        <v>3594</v>
      </c>
    </row>
    <row r="20" spans="1:5" x14ac:dyDescent="0.2">
      <c r="A20" s="1" t="s">
        <v>2527</v>
      </c>
      <c r="B20" s="107">
        <f>COUNTIF(Netlist!$D$4:$D$1448,$A20)</f>
        <v>5</v>
      </c>
      <c r="C20" s="107">
        <v>5</v>
      </c>
      <c r="D20" s="1" t="s">
        <v>3578</v>
      </c>
      <c r="E20" s="4" t="s">
        <v>3595</v>
      </c>
    </row>
    <row r="21" spans="1:5" x14ac:dyDescent="0.2">
      <c r="A21" s="1" t="s">
        <v>2702</v>
      </c>
      <c r="B21" s="107">
        <f>COUNTIF(Netlist!$D$4:$D$1448,$A21)</f>
        <v>2</v>
      </c>
      <c r="C21" s="107">
        <v>2</v>
      </c>
      <c r="D21" s="1" t="s">
        <v>3578</v>
      </c>
      <c r="E21" s="4" t="s">
        <v>3596</v>
      </c>
    </row>
    <row r="22" spans="1:5" x14ac:dyDescent="0.2">
      <c r="A22" s="1" t="s">
        <v>2541</v>
      </c>
      <c r="B22" s="107">
        <f>COUNTIF(Netlist!$D$4:$D$1448,$A22)</f>
        <v>5</v>
      </c>
      <c r="C22" s="107">
        <v>5</v>
      </c>
      <c r="D22" s="1" t="s">
        <v>3578</v>
      </c>
      <c r="E22" s="4" t="s">
        <v>3597</v>
      </c>
    </row>
    <row r="23" spans="1:5" x14ac:dyDescent="0.2">
      <c r="A23" s="1" t="s">
        <v>2704</v>
      </c>
      <c r="B23" s="107">
        <f>COUNTIF(Netlist!$D$4:$D$1448,$A23)</f>
        <v>2</v>
      </c>
      <c r="C23" s="107">
        <v>2</v>
      </c>
      <c r="D23" s="1" t="s">
        <v>3578</v>
      </c>
      <c r="E23" s="4" t="s">
        <v>3598</v>
      </c>
    </row>
    <row r="24" spans="1:5" x14ac:dyDescent="0.2">
      <c r="A24" s="1" t="s">
        <v>3267</v>
      </c>
      <c r="B24" s="107">
        <f>COUNTIF(Netlist!$D$4:$D$1448,$A24)</f>
        <v>2</v>
      </c>
      <c r="C24" s="107">
        <v>2</v>
      </c>
      <c r="D24" s="1" t="s">
        <v>3578</v>
      </c>
      <c r="E24" s="4" t="s">
        <v>3599</v>
      </c>
    </row>
    <row r="25" spans="1:5" x14ac:dyDescent="0.2">
      <c r="A25" s="1" t="s">
        <v>2564</v>
      </c>
      <c r="B25" s="107">
        <f>COUNTIF(Netlist!$D$4:$D$1448,$A25)</f>
        <v>3</v>
      </c>
      <c r="C25" s="107">
        <v>3</v>
      </c>
      <c r="D25" s="1" t="s">
        <v>3578</v>
      </c>
      <c r="E25" s="4" t="s">
        <v>3600</v>
      </c>
    </row>
    <row r="26" spans="1:5" x14ac:dyDescent="0.2">
      <c r="A26" s="1" t="s">
        <v>2566</v>
      </c>
      <c r="B26" s="107">
        <f>COUNTIF(Netlist!$D$4:$D$1448,$A26)</f>
        <v>3</v>
      </c>
      <c r="C26" s="107">
        <v>3</v>
      </c>
      <c r="D26" s="1" t="s">
        <v>3578</v>
      </c>
      <c r="E26" s="4" t="s">
        <v>3601</v>
      </c>
    </row>
    <row r="27" spans="1:5" x14ac:dyDescent="0.2">
      <c r="A27" s="1" t="s">
        <v>2567</v>
      </c>
      <c r="B27" s="107">
        <f>COUNTIF(Netlist!$D$4:$D$1448,$A27)</f>
        <v>4</v>
      </c>
      <c r="C27" s="107">
        <v>4</v>
      </c>
      <c r="D27" s="1" t="s">
        <v>3578</v>
      </c>
      <c r="E27" s="4" t="s">
        <v>3602</v>
      </c>
    </row>
    <row r="28" spans="1:5" x14ac:dyDescent="0.2">
      <c r="A28" s="1" t="s">
        <v>2278</v>
      </c>
      <c r="B28" s="107">
        <f>COUNTIF(Netlist!$D$4:$D$1448,$A28)</f>
        <v>4</v>
      </c>
      <c r="C28" s="107">
        <v>4</v>
      </c>
      <c r="D28" s="1" t="s">
        <v>3578</v>
      </c>
      <c r="E28" s="4" t="s">
        <v>3603</v>
      </c>
    </row>
    <row r="29" spans="1:5" x14ac:dyDescent="0.2">
      <c r="A29" s="1" t="s">
        <v>2282</v>
      </c>
      <c r="B29" s="107">
        <f>COUNTIF(Netlist!$D$4:$D$1448,$A29)</f>
        <v>4</v>
      </c>
      <c r="C29" s="107">
        <v>4</v>
      </c>
      <c r="D29" s="1" t="s">
        <v>3578</v>
      </c>
      <c r="E29" s="4" t="s">
        <v>3604</v>
      </c>
    </row>
    <row r="30" spans="1:5" x14ac:dyDescent="0.2">
      <c r="A30" s="1" t="s">
        <v>2285</v>
      </c>
      <c r="B30" s="107">
        <f>COUNTIF(Netlist!$D$4:$D$1448,$A30)</f>
        <v>4</v>
      </c>
      <c r="C30" s="107">
        <v>4</v>
      </c>
      <c r="D30" s="1" t="s">
        <v>3578</v>
      </c>
      <c r="E30" s="4" t="s">
        <v>3605</v>
      </c>
    </row>
    <row r="31" spans="1:5" x14ac:dyDescent="0.2">
      <c r="A31" s="1" t="s">
        <v>2288</v>
      </c>
      <c r="B31" s="107">
        <f>COUNTIF(Netlist!$D$4:$D$1448,$A31)</f>
        <v>4</v>
      </c>
      <c r="C31" s="107">
        <v>4</v>
      </c>
      <c r="D31" s="1" t="s">
        <v>3578</v>
      </c>
      <c r="E31" s="4" t="s">
        <v>3606</v>
      </c>
    </row>
    <row r="32" spans="1:5" x14ac:dyDescent="0.2">
      <c r="A32" s="1" t="s">
        <v>3270</v>
      </c>
      <c r="B32" s="107">
        <f>COUNTIF(Netlist!$D$4:$D$1448,$A32)</f>
        <v>2</v>
      </c>
      <c r="C32" s="107">
        <v>2</v>
      </c>
      <c r="D32" s="1" t="s">
        <v>3578</v>
      </c>
      <c r="E32" s="4" t="s">
        <v>3607</v>
      </c>
    </row>
    <row r="33" spans="1:5" x14ac:dyDescent="0.2">
      <c r="A33" s="1" t="s">
        <v>2626</v>
      </c>
      <c r="B33" s="107">
        <f>COUNTIF(Netlist!$D$4:$D$1448,$A33)</f>
        <v>4</v>
      </c>
      <c r="C33" s="107">
        <v>4</v>
      </c>
      <c r="D33" s="1" t="s">
        <v>3578</v>
      </c>
      <c r="E33" s="4" t="s">
        <v>3608</v>
      </c>
    </row>
    <row r="34" spans="1:5" x14ac:dyDescent="0.2">
      <c r="A34" s="1" t="s">
        <v>2669</v>
      </c>
      <c r="B34" s="107">
        <f>COUNTIF(Netlist!$D$4:$D$1448,$A34)</f>
        <v>4</v>
      </c>
      <c r="C34" s="107">
        <v>4</v>
      </c>
      <c r="D34" s="1" t="s">
        <v>3578</v>
      </c>
      <c r="E34" s="4" t="s">
        <v>3609</v>
      </c>
    </row>
    <row r="35" spans="1:5" x14ac:dyDescent="0.2">
      <c r="A35" s="1" t="s">
        <v>2348</v>
      </c>
      <c r="B35" s="107">
        <f>COUNTIF(Netlist!$D$4:$D$1448,$A35)</f>
        <v>5</v>
      </c>
      <c r="C35" s="107">
        <v>5</v>
      </c>
      <c r="D35" s="1" t="s">
        <v>3578</v>
      </c>
      <c r="E35" s="4" t="s">
        <v>3610</v>
      </c>
    </row>
    <row r="36" spans="1:5" x14ac:dyDescent="0.2">
      <c r="A36" s="1" t="s">
        <v>2345</v>
      </c>
      <c r="B36" s="107">
        <f>COUNTIF(Netlist!$D$4:$D$1448,$A36)</f>
        <v>5</v>
      </c>
      <c r="C36" s="107">
        <v>5</v>
      </c>
      <c r="D36" s="1" t="s">
        <v>3578</v>
      </c>
      <c r="E36" s="4" t="s">
        <v>3611</v>
      </c>
    </row>
    <row r="37" spans="1:5" x14ac:dyDescent="0.2">
      <c r="A37" s="1" t="s">
        <v>2352</v>
      </c>
      <c r="B37" s="107">
        <f>COUNTIF(Netlist!$D$4:$D$1448,$A37)</f>
        <v>5</v>
      </c>
      <c r="C37" s="107">
        <v>5</v>
      </c>
      <c r="D37" s="1" t="s">
        <v>3578</v>
      </c>
      <c r="E37" s="4" t="s">
        <v>3612</v>
      </c>
    </row>
    <row r="38" spans="1:5" x14ac:dyDescent="0.2">
      <c r="A38" s="1" t="s">
        <v>2350</v>
      </c>
      <c r="B38" s="107">
        <f>COUNTIF(Netlist!$D$4:$D$1448,$A38)</f>
        <v>5</v>
      </c>
      <c r="C38" s="107">
        <v>5</v>
      </c>
      <c r="D38" s="1" t="s">
        <v>3578</v>
      </c>
      <c r="E38" s="4" t="s">
        <v>3613</v>
      </c>
    </row>
    <row r="39" spans="1:5" x14ac:dyDescent="0.2">
      <c r="A39" s="1" t="s">
        <v>2234</v>
      </c>
      <c r="B39" s="107">
        <f>COUNTIF(Netlist!$D$4:$D$1448,$A39)</f>
        <v>5</v>
      </c>
      <c r="C39" s="107">
        <v>5</v>
      </c>
      <c r="D39" s="1" t="s">
        <v>3578</v>
      </c>
      <c r="E39" s="4" t="s">
        <v>3614</v>
      </c>
    </row>
    <row r="40" spans="1:5" x14ac:dyDescent="0.2">
      <c r="A40" s="1" t="s">
        <v>2745</v>
      </c>
      <c r="B40" s="107">
        <f>COUNTIF(Netlist!$D$4:$D$1448,$A40)</f>
        <v>3</v>
      </c>
      <c r="C40" s="107">
        <v>3</v>
      </c>
      <c r="D40" s="1" t="s">
        <v>3578</v>
      </c>
      <c r="E40" s="4" t="s">
        <v>3615</v>
      </c>
    </row>
    <row r="41" spans="1:5" ht="219.75" customHeight="1" x14ac:dyDescent="0.2">
      <c r="A41" s="1" t="s">
        <v>2168</v>
      </c>
      <c r="B41" s="107">
        <f>COUNTIF(Netlist!$D$4:$D$1448,$A41)</f>
        <v>286</v>
      </c>
      <c r="C41" s="107">
        <v>286</v>
      </c>
      <c r="D41" s="1" t="s">
        <v>3578</v>
      </c>
      <c r="E41" s="4" t="s">
        <v>3616</v>
      </c>
    </row>
    <row r="42" spans="1:5" x14ac:dyDescent="0.2">
      <c r="A42" s="1" t="s">
        <v>2724</v>
      </c>
      <c r="B42" s="107">
        <f>COUNTIF(Netlist!$D$4:$D$1448,$A42)</f>
        <v>3</v>
      </c>
      <c r="C42" s="107">
        <v>3</v>
      </c>
      <c r="D42" s="1" t="s">
        <v>3578</v>
      </c>
      <c r="E42" s="4" t="s">
        <v>3617</v>
      </c>
    </row>
    <row r="43" spans="1:5" x14ac:dyDescent="0.2">
      <c r="A43" s="1" t="s">
        <v>2727</v>
      </c>
      <c r="B43" s="107">
        <f>COUNTIF(Netlist!$D$4:$D$1448,$A43)</f>
        <v>3</v>
      </c>
      <c r="C43" s="107">
        <v>3</v>
      </c>
      <c r="D43" s="1" t="s">
        <v>3578</v>
      </c>
      <c r="E43" s="4" t="s">
        <v>3618</v>
      </c>
    </row>
    <row r="44" spans="1:5" x14ac:dyDescent="0.2">
      <c r="A44" s="1" t="s">
        <v>2870</v>
      </c>
      <c r="B44" s="107">
        <f>COUNTIF(Netlist!$D$4:$D$1448,$A44)</f>
        <v>4</v>
      </c>
      <c r="C44" s="107">
        <v>4</v>
      </c>
      <c r="D44" s="1" t="s">
        <v>3578</v>
      </c>
      <c r="E44" s="4" t="s">
        <v>3619</v>
      </c>
    </row>
    <row r="45" spans="1:5" x14ac:dyDescent="0.2">
      <c r="A45" s="1" t="s">
        <v>2509</v>
      </c>
      <c r="B45" s="107">
        <f>COUNTIF(Netlist!$D$4:$D$1448,$A45)</f>
        <v>3</v>
      </c>
      <c r="C45" s="107">
        <v>3</v>
      </c>
      <c r="D45" s="1" t="s">
        <v>3578</v>
      </c>
      <c r="E45" s="4" t="s">
        <v>3620</v>
      </c>
    </row>
    <row r="46" spans="1:5" x14ac:dyDescent="0.2">
      <c r="A46" s="1" t="s">
        <v>2504</v>
      </c>
      <c r="B46" s="107">
        <f>COUNTIF(Netlist!$D$4:$D$1448,$A46)</f>
        <v>5</v>
      </c>
      <c r="C46" s="107">
        <v>5</v>
      </c>
      <c r="D46" s="1" t="s">
        <v>3578</v>
      </c>
      <c r="E46" s="4" t="s">
        <v>3621</v>
      </c>
    </row>
    <row r="47" spans="1:5" x14ac:dyDescent="0.2">
      <c r="A47" s="1" t="s">
        <v>2511</v>
      </c>
      <c r="B47" s="107">
        <f>COUNTIF(Netlist!$D$4:$D$1448,$A47)</f>
        <v>4</v>
      </c>
      <c r="C47" s="107">
        <v>4</v>
      </c>
      <c r="D47" s="1" t="s">
        <v>3578</v>
      </c>
      <c r="E47" s="4" t="s">
        <v>3622</v>
      </c>
    </row>
    <row r="48" spans="1:5" x14ac:dyDescent="0.2">
      <c r="A48" s="1" t="s">
        <v>2507</v>
      </c>
      <c r="B48" s="107">
        <f>COUNTIF(Netlist!$D$4:$D$1448,$A48)</f>
        <v>5</v>
      </c>
      <c r="C48" s="107">
        <v>5</v>
      </c>
      <c r="D48" s="1" t="s">
        <v>3578</v>
      </c>
      <c r="E48" s="4" t="s">
        <v>3623</v>
      </c>
    </row>
    <row r="49" spans="1:5" x14ac:dyDescent="0.2">
      <c r="A49" s="1" t="s">
        <v>3023</v>
      </c>
      <c r="B49" s="107">
        <f>COUNTIF(Netlist!$D$4:$D$1448,$A49)</f>
        <v>2</v>
      </c>
      <c r="C49" s="107">
        <v>2</v>
      </c>
      <c r="D49" s="1" t="s">
        <v>3578</v>
      </c>
      <c r="E49" s="4" t="s">
        <v>3624</v>
      </c>
    </row>
    <row r="50" spans="1:5" x14ac:dyDescent="0.2">
      <c r="A50" s="1" t="s">
        <v>3025</v>
      </c>
      <c r="B50" s="107">
        <f>COUNTIF(Netlist!$D$4:$D$1448,$A50)</f>
        <v>2</v>
      </c>
      <c r="C50" s="107">
        <v>2</v>
      </c>
      <c r="D50" s="1" t="s">
        <v>3578</v>
      </c>
      <c r="E50" s="4" t="s">
        <v>3625</v>
      </c>
    </row>
    <row r="51" spans="1:5" x14ac:dyDescent="0.2">
      <c r="A51" s="1" t="s">
        <v>2612</v>
      </c>
      <c r="B51" s="107">
        <f>COUNTIF(Netlist!$D$4:$D$1448,$A51)</f>
        <v>7</v>
      </c>
      <c r="C51" s="107">
        <v>7</v>
      </c>
      <c r="D51" s="1" t="s">
        <v>3578</v>
      </c>
      <c r="E51" s="4" t="s">
        <v>3626</v>
      </c>
    </row>
    <row r="52" spans="1:5" x14ac:dyDescent="0.2">
      <c r="A52" s="1" t="s">
        <v>2607</v>
      </c>
      <c r="B52" s="107">
        <f>COUNTIF(Netlist!$D$4:$D$1448,$A52)</f>
        <v>7</v>
      </c>
      <c r="C52" s="107">
        <v>7</v>
      </c>
      <c r="D52" s="1" t="s">
        <v>3578</v>
      </c>
      <c r="E52" s="4" t="s">
        <v>3627</v>
      </c>
    </row>
    <row r="53" spans="1:5" x14ac:dyDescent="0.2">
      <c r="A53" s="1" t="s">
        <v>2620</v>
      </c>
      <c r="B53" s="107">
        <f>COUNTIF(Netlist!$D$4:$D$1448,$A53)</f>
        <v>7</v>
      </c>
      <c r="C53" s="107">
        <v>7</v>
      </c>
      <c r="D53" s="1" t="s">
        <v>3578</v>
      </c>
      <c r="E53" s="4" t="s">
        <v>3628</v>
      </c>
    </row>
    <row r="54" spans="1:5" x14ac:dyDescent="0.2">
      <c r="A54" s="1" t="s">
        <v>2616</v>
      </c>
      <c r="B54" s="107">
        <f>COUNTIF(Netlist!$D$4:$D$1448,$A54)</f>
        <v>7</v>
      </c>
      <c r="C54" s="107">
        <v>7</v>
      </c>
      <c r="D54" s="1" t="s">
        <v>3578</v>
      </c>
      <c r="E54" s="4" t="s">
        <v>3629</v>
      </c>
    </row>
    <row r="55" spans="1:5" x14ac:dyDescent="0.2">
      <c r="A55" s="1" t="s">
        <v>3338</v>
      </c>
      <c r="B55" s="107">
        <f>COUNTIF(Netlist!$D$4:$D$1448,$A55)</f>
        <v>2</v>
      </c>
      <c r="C55" s="107">
        <v>2</v>
      </c>
      <c r="D55" s="1" t="s">
        <v>3578</v>
      </c>
      <c r="E55" s="4" t="s">
        <v>3630</v>
      </c>
    </row>
    <row r="56" spans="1:5" x14ac:dyDescent="0.2">
      <c r="A56" s="1" t="s">
        <v>3233</v>
      </c>
      <c r="B56" s="107">
        <f>COUNTIF(Netlist!$D$4:$D$1448,$A56)</f>
        <v>2</v>
      </c>
      <c r="C56" s="107">
        <v>2</v>
      </c>
      <c r="D56" s="1" t="s">
        <v>3578</v>
      </c>
      <c r="E56" s="4" t="s">
        <v>3631</v>
      </c>
    </row>
    <row r="57" spans="1:5" x14ac:dyDescent="0.2">
      <c r="A57" s="1" t="s">
        <v>3335</v>
      </c>
      <c r="B57" s="107">
        <f>COUNTIF(Netlist!$D$4:$D$1448,$A57)</f>
        <v>2</v>
      </c>
      <c r="C57" s="107">
        <v>2</v>
      </c>
      <c r="D57" s="1" t="s">
        <v>3578</v>
      </c>
      <c r="E57" s="4" t="s">
        <v>3632</v>
      </c>
    </row>
    <row r="58" spans="1:5" x14ac:dyDescent="0.2">
      <c r="A58" s="1" t="s">
        <v>3332</v>
      </c>
      <c r="B58" s="107">
        <f>COUNTIF(Netlist!$D$4:$D$1448,$A58)</f>
        <v>2</v>
      </c>
      <c r="C58" s="107">
        <v>2</v>
      </c>
      <c r="D58" s="1" t="s">
        <v>3578</v>
      </c>
      <c r="E58" s="4" t="s">
        <v>3633</v>
      </c>
    </row>
    <row r="59" spans="1:5" x14ac:dyDescent="0.2">
      <c r="A59" s="1" t="s">
        <v>2597</v>
      </c>
      <c r="B59" s="107">
        <f>COUNTIF(Netlist!$D$4:$D$1448,$A59)</f>
        <v>4</v>
      </c>
      <c r="C59" s="107">
        <v>4</v>
      </c>
      <c r="D59" s="1" t="s">
        <v>3578</v>
      </c>
      <c r="E59" s="4" t="s">
        <v>3634</v>
      </c>
    </row>
    <row r="60" spans="1:5" x14ac:dyDescent="0.2">
      <c r="A60" s="1" t="s">
        <v>3298</v>
      </c>
      <c r="B60" s="107">
        <f>COUNTIF(Netlist!$D$4:$D$1448,$A60)</f>
        <v>2</v>
      </c>
      <c r="C60" s="107">
        <v>2</v>
      </c>
      <c r="D60" s="1" t="s">
        <v>3578</v>
      </c>
      <c r="E60" s="4" t="s">
        <v>3635</v>
      </c>
    </row>
    <row r="61" spans="1:5" x14ac:dyDescent="0.2">
      <c r="A61" s="1" t="s">
        <v>2713</v>
      </c>
      <c r="B61" s="107">
        <f>COUNTIF(Netlist!$D$4:$D$1448,$A61)</f>
        <v>5</v>
      </c>
      <c r="C61" s="107">
        <v>5</v>
      </c>
      <c r="D61" s="1" t="s">
        <v>3578</v>
      </c>
      <c r="E61" s="4" t="s">
        <v>3636</v>
      </c>
    </row>
    <row r="62" spans="1:5" x14ac:dyDescent="0.2">
      <c r="A62" s="1" t="s">
        <v>2751</v>
      </c>
      <c r="B62" s="107">
        <f>COUNTIF(Netlist!$D$4:$D$1448,$A62)</f>
        <v>4</v>
      </c>
      <c r="C62" s="107">
        <v>4</v>
      </c>
      <c r="D62" s="1" t="s">
        <v>3578</v>
      </c>
      <c r="E62" s="4" t="s">
        <v>3637</v>
      </c>
    </row>
    <row r="63" spans="1:5" x14ac:dyDescent="0.2">
      <c r="A63" s="1" t="s">
        <v>2673</v>
      </c>
      <c r="B63" s="107">
        <f>COUNTIF(Netlist!$D$4:$D$1448,$A63)</f>
        <v>4</v>
      </c>
      <c r="C63" s="107">
        <v>4</v>
      </c>
      <c r="D63" s="1" t="s">
        <v>3578</v>
      </c>
      <c r="E63" s="4" t="s">
        <v>3638</v>
      </c>
    </row>
    <row r="64" spans="1:5" x14ac:dyDescent="0.2">
      <c r="A64" s="1" t="s">
        <v>2199</v>
      </c>
      <c r="B64" s="107">
        <f>COUNTIF(Netlist!$D$4:$D$1448,$A64)</f>
        <v>4</v>
      </c>
      <c r="C64" s="107">
        <v>4</v>
      </c>
      <c r="D64" s="1" t="s">
        <v>3578</v>
      </c>
      <c r="E64" s="4" t="s">
        <v>3639</v>
      </c>
    </row>
    <row r="65" spans="1:5" x14ac:dyDescent="0.2">
      <c r="A65" s="1" t="s">
        <v>2740</v>
      </c>
      <c r="B65" s="107">
        <f>COUNTIF(Netlist!$D$4:$D$1448,$A65)</f>
        <v>5</v>
      </c>
      <c r="C65" s="107">
        <v>5</v>
      </c>
      <c r="D65" s="1" t="s">
        <v>3578</v>
      </c>
      <c r="E65" s="4" t="s">
        <v>3640</v>
      </c>
    </row>
    <row r="66" spans="1:5" x14ac:dyDescent="0.2">
      <c r="A66" s="1" t="s">
        <v>2737</v>
      </c>
      <c r="B66" s="107">
        <f>COUNTIF(Netlist!$D$4:$D$1448,$A66)</f>
        <v>4</v>
      </c>
      <c r="C66" s="107">
        <v>4</v>
      </c>
      <c r="D66" s="1" t="s">
        <v>3578</v>
      </c>
      <c r="E66" s="4" t="s">
        <v>3641</v>
      </c>
    </row>
    <row r="67" spans="1:5" x14ac:dyDescent="0.2">
      <c r="A67" s="1" t="s">
        <v>3156</v>
      </c>
      <c r="B67" s="107">
        <f>COUNTIF(Netlist!$D$4:$D$1448,$A67)</f>
        <v>2</v>
      </c>
      <c r="C67" s="107">
        <v>2</v>
      </c>
      <c r="D67" s="1" t="s">
        <v>3578</v>
      </c>
      <c r="E67" s="4" t="s">
        <v>3642</v>
      </c>
    </row>
    <row r="68" spans="1:5" x14ac:dyDescent="0.2">
      <c r="A68" s="1" t="s">
        <v>2873</v>
      </c>
      <c r="B68" s="107">
        <f>COUNTIF(Netlist!$D$4:$D$1448,$A68)</f>
        <v>4</v>
      </c>
      <c r="C68" s="107">
        <v>4</v>
      </c>
      <c r="D68" s="1" t="s">
        <v>3578</v>
      </c>
      <c r="E68" s="4" t="s">
        <v>3643</v>
      </c>
    </row>
    <row r="69" spans="1:5" x14ac:dyDescent="0.2">
      <c r="A69" s="1" t="s">
        <v>2919</v>
      </c>
      <c r="B69" s="107">
        <f>COUNTIF(Netlist!$D$4:$D$1448,$A69)</f>
        <v>5</v>
      </c>
      <c r="C69" s="107">
        <v>5</v>
      </c>
      <c r="D69" s="1" t="s">
        <v>3578</v>
      </c>
      <c r="E69" s="4" t="s">
        <v>3644</v>
      </c>
    </row>
    <row r="70" spans="1:5" x14ac:dyDescent="0.2">
      <c r="A70" s="1" t="s">
        <v>2598</v>
      </c>
      <c r="B70" s="107">
        <f>COUNTIF(Netlist!$D$4:$D$1448,$A70)</f>
        <v>4</v>
      </c>
      <c r="C70" s="107">
        <v>4</v>
      </c>
      <c r="D70" s="1" t="s">
        <v>3578</v>
      </c>
      <c r="E70" s="4" t="s">
        <v>3645</v>
      </c>
    </row>
    <row r="71" spans="1:5" x14ac:dyDescent="0.2">
      <c r="A71" s="1" t="s">
        <v>2557</v>
      </c>
      <c r="B71" s="107">
        <f>COUNTIF(Netlist!$D$4:$D$1448,$A71)</f>
        <v>2</v>
      </c>
      <c r="C71" s="107">
        <v>2</v>
      </c>
      <c r="D71" s="1" t="s">
        <v>3578</v>
      </c>
      <c r="E71" s="4" t="s">
        <v>3646</v>
      </c>
    </row>
    <row r="72" spans="1:5" x14ac:dyDescent="0.2">
      <c r="A72" s="1" t="s">
        <v>2556</v>
      </c>
      <c r="B72" s="107">
        <f>COUNTIF(Netlist!$D$4:$D$1448,$A72)</f>
        <v>2</v>
      </c>
      <c r="C72" s="107">
        <v>2</v>
      </c>
      <c r="D72" s="1" t="s">
        <v>3578</v>
      </c>
      <c r="E72" s="4" t="s">
        <v>3647</v>
      </c>
    </row>
    <row r="73" spans="1:5" x14ac:dyDescent="0.2">
      <c r="A73" s="1" t="s">
        <v>2560</v>
      </c>
      <c r="B73" s="107">
        <f>COUNTIF(Netlist!$D$4:$D$1448,$A73)</f>
        <v>2</v>
      </c>
      <c r="C73" s="107">
        <v>2</v>
      </c>
      <c r="D73" s="1" t="s">
        <v>3578</v>
      </c>
      <c r="E73" s="4" t="s">
        <v>3648</v>
      </c>
    </row>
    <row r="74" spans="1:5" x14ac:dyDescent="0.2">
      <c r="A74" s="1" t="s">
        <v>2559</v>
      </c>
      <c r="B74" s="107">
        <f>COUNTIF(Netlist!$D$4:$D$1448,$A74)</f>
        <v>2</v>
      </c>
      <c r="C74" s="107">
        <v>2</v>
      </c>
      <c r="D74" s="1" t="s">
        <v>3578</v>
      </c>
      <c r="E74" s="4" t="s">
        <v>3649</v>
      </c>
    </row>
    <row r="75" spans="1:5" x14ac:dyDescent="0.2">
      <c r="A75" s="1" t="s">
        <v>2533</v>
      </c>
      <c r="B75" s="107">
        <f>COUNTIF(Netlist!$D$4:$D$1448,$A75)</f>
        <v>5</v>
      </c>
      <c r="C75" s="107">
        <v>5</v>
      </c>
      <c r="D75" s="1" t="s">
        <v>3578</v>
      </c>
      <c r="E75" s="4" t="s">
        <v>3650</v>
      </c>
    </row>
    <row r="76" spans="1:5" x14ac:dyDescent="0.2">
      <c r="A76" s="1" t="s">
        <v>2530</v>
      </c>
      <c r="B76" s="107">
        <f>COUNTIF(Netlist!$D$4:$D$1448,$A76)</f>
        <v>5</v>
      </c>
      <c r="C76" s="107">
        <v>5</v>
      </c>
      <c r="D76" s="1" t="s">
        <v>3578</v>
      </c>
      <c r="E76" s="4" t="s">
        <v>3651</v>
      </c>
    </row>
    <row r="77" spans="1:5" x14ac:dyDescent="0.2">
      <c r="A77" s="1" t="s">
        <v>2354</v>
      </c>
      <c r="B77" s="107">
        <f>COUNTIF(Netlist!$D$4:$D$1448,$A77)</f>
        <v>5</v>
      </c>
      <c r="C77" s="107">
        <v>5</v>
      </c>
      <c r="D77" s="1" t="s">
        <v>3578</v>
      </c>
      <c r="E77" s="4" t="s">
        <v>3652</v>
      </c>
    </row>
    <row r="78" spans="1:5" x14ac:dyDescent="0.2">
      <c r="A78" s="1" t="s">
        <v>2169</v>
      </c>
      <c r="B78" s="107">
        <f>COUNTIF(Netlist!$D$4:$D$1448,$A78)</f>
        <v>9</v>
      </c>
      <c r="C78" s="107">
        <v>9</v>
      </c>
      <c r="D78" s="1" t="s">
        <v>3578</v>
      </c>
      <c r="E78" s="4" t="s">
        <v>3653</v>
      </c>
    </row>
    <row r="79" spans="1:5" x14ac:dyDescent="0.2">
      <c r="A79" s="1" t="s">
        <v>2171</v>
      </c>
      <c r="B79" s="107">
        <f>COUNTIF(Netlist!$D$4:$D$1448,$A79)</f>
        <v>5</v>
      </c>
      <c r="C79" s="107">
        <v>5</v>
      </c>
      <c r="D79" s="1" t="s">
        <v>3578</v>
      </c>
      <c r="E79" s="4" t="s">
        <v>3654</v>
      </c>
    </row>
    <row r="80" spans="1:5" x14ac:dyDescent="0.2">
      <c r="A80" s="1" t="s">
        <v>2231</v>
      </c>
      <c r="B80" s="107">
        <f>COUNTIF(Netlist!$D$4:$D$1448,$A80)</f>
        <v>4</v>
      </c>
      <c r="C80" s="107">
        <v>4</v>
      </c>
      <c r="D80" s="1" t="s">
        <v>3578</v>
      </c>
      <c r="E80" s="4" t="s">
        <v>3655</v>
      </c>
    </row>
    <row r="81" spans="1:5" ht="40.5" customHeight="1" x14ac:dyDescent="0.2">
      <c r="A81" s="1" t="s">
        <v>2267</v>
      </c>
      <c r="B81" s="107">
        <f>COUNTIF(Netlist!$D$4:$D$1448,$A81)</f>
        <v>43</v>
      </c>
      <c r="C81" s="107">
        <v>43</v>
      </c>
      <c r="D81" s="1" t="s">
        <v>3578</v>
      </c>
      <c r="E81" s="4" t="s">
        <v>3656</v>
      </c>
    </row>
    <row r="82" spans="1:5" ht="53.25" customHeight="1" x14ac:dyDescent="0.2">
      <c r="A82" s="1" t="s">
        <v>2264</v>
      </c>
      <c r="B82" s="107">
        <f>COUNTIF(Netlist!$D$4:$D$1448,$A82)</f>
        <v>67</v>
      </c>
      <c r="C82" s="107">
        <v>67</v>
      </c>
      <c r="D82" s="1" t="s">
        <v>3578</v>
      </c>
      <c r="E82" s="4" t="s">
        <v>3657</v>
      </c>
    </row>
    <row r="83" spans="1:5" x14ac:dyDescent="0.2">
      <c r="A83" s="1" t="s">
        <v>2290</v>
      </c>
      <c r="B83" s="107">
        <f>COUNTIF(Netlist!$D$4:$D$1448,$A83)</f>
        <v>10</v>
      </c>
      <c r="C83" s="107">
        <v>10</v>
      </c>
      <c r="D83" s="1" t="s">
        <v>3578</v>
      </c>
      <c r="E83" s="4" t="s">
        <v>3658</v>
      </c>
    </row>
    <row r="84" spans="1:5" x14ac:dyDescent="0.2">
      <c r="A84" s="1" t="s">
        <v>2167</v>
      </c>
      <c r="B84" s="107">
        <f>COUNTIF(Netlist!$D$4:$D$1448,$A84)</f>
        <v>6</v>
      </c>
      <c r="C84" s="107">
        <v>6</v>
      </c>
      <c r="D84" s="1" t="s">
        <v>3659</v>
      </c>
      <c r="E84" s="4" t="s">
        <v>3660</v>
      </c>
    </row>
    <row r="85" spans="1:5" x14ac:dyDescent="0.2">
      <c r="A85" s="1" t="s">
        <v>2173</v>
      </c>
      <c r="B85" s="107">
        <f>COUNTIF(Netlist!$D$4:$D$1448,$A85)</f>
        <v>4</v>
      </c>
      <c r="C85" s="107">
        <v>4</v>
      </c>
      <c r="D85" s="1" t="s">
        <v>3659</v>
      </c>
      <c r="E85" s="4" t="s">
        <v>3661</v>
      </c>
    </row>
    <row r="86" spans="1:5" x14ac:dyDescent="0.2">
      <c r="A86" s="1" t="s">
        <v>2705</v>
      </c>
      <c r="B86" s="107">
        <f>COUNTIF(Netlist!$D$4:$D$1448,$A86)</f>
        <v>2</v>
      </c>
      <c r="C86" s="107">
        <v>2</v>
      </c>
      <c r="D86" s="1" t="s">
        <v>3659</v>
      </c>
      <c r="E86" s="4" t="s">
        <v>3662</v>
      </c>
    </row>
    <row r="87" spans="1:5" x14ac:dyDescent="0.2">
      <c r="A87" s="1" t="s">
        <v>2784</v>
      </c>
      <c r="B87" s="107">
        <f>COUNTIF(Netlist!$D$4:$D$1448,$A87)</f>
        <v>2</v>
      </c>
      <c r="C87" s="107">
        <v>2</v>
      </c>
      <c r="D87" s="1" t="s">
        <v>3659</v>
      </c>
      <c r="E87" s="4" t="s">
        <v>3663</v>
      </c>
    </row>
    <row r="88" spans="1:5" x14ac:dyDescent="0.2">
      <c r="A88" s="1" t="s">
        <v>2715</v>
      </c>
      <c r="B88" s="107">
        <f>COUNTIF(Netlist!$D$4:$D$1448,$A88)</f>
        <v>3</v>
      </c>
      <c r="C88" s="107">
        <v>3</v>
      </c>
      <c r="D88" s="1" t="s">
        <v>3659</v>
      </c>
      <c r="E88" s="4" t="s">
        <v>3664</v>
      </c>
    </row>
    <row r="89" spans="1:5" x14ac:dyDescent="0.2">
      <c r="A89" s="1" t="s">
        <v>2774</v>
      </c>
      <c r="B89" s="107">
        <f>COUNTIF(Netlist!$D$4:$D$1448,$A89)</f>
        <v>2</v>
      </c>
      <c r="C89" s="107">
        <v>2</v>
      </c>
      <c r="D89" s="1" t="s">
        <v>3659</v>
      </c>
      <c r="E89" s="4" t="s">
        <v>3665</v>
      </c>
    </row>
    <row r="90" spans="1:5" x14ac:dyDescent="0.2">
      <c r="A90" s="1" t="s">
        <v>2765</v>
      </c>
      <c r="B90" s="107">
        <f>COUNTIF(Netlist!$D$4:$D$1448,$A90)</f>
        <v>2</v>
      </c>
      <c r="C90" s="107">
        <v>2</v>
      </c>
      <c r="D90" s="1" t="s">
        <v>3659</v>
      </c>
      <c r="E90" s="4" t="s">
        <v>3666</v>
      </c>
    </row>
    <row r="91" spans="1:5" x14ac:dyDescent="0.2">
      <c r="A91" s="1" t="s">
        <v>2770</v>
      </c>
      <c r="B91" s="107">
        <f>COUNTIF(Netlist!$D$4:$D$1448,$A91)</f>
        <v>2</v>
      </c>
      <c r="C91" s="107">
        <v>2</v>
      </c>
      <c r="D91" s="1" t="s">
        <v>3659</v>
      </c>
      <c r="E91" s="4" t="s">
        <v>3667</v>
      </c>
    </row>
    <row r="92" spans="1:5" x14ac:dyDescent="0.2">
      <c r="A92" s="1" t="s">
        <v>2768</v>
      </c>
      <c r="B92" s="107">
        <f>COUNTIF(Netlist!$D$4:$D$1448,$A92)</f>
        <v>2</v>
      </c>
      <c r="C92" s="107">
        <v>2</v>
      </c>
      <c r="D92" s="1" t="s">
        <v>3659</v>
      </c>
      <c r="E92" s="4" t="s">
        <v>3668</v>
      </c>
    </row>
    <row r="93" spans="1:5" x14ac:dyDescent="0.2">
      <c r="A93" s="1" t="s">
        <v>2798</v>
      </c>
      <c r="B93" s="107">
        <f>COUNTIF(Netlist!$D$4:$D$1448,$A93)</f>
        <v>2</v>
      </c>
      <c r="C93" s="107">
        <v>2</v>
      </c>
      <c r="D93" s="1" t="s">
        <v>3659</v>
      </c>
      <c r="E93" s="4" t="s">
        <v>3669</v>
      </c>
    </row>
    <row r="94" spans="1:5" x14ac:dyDescent="0.2">
      <c r="A94" s="1" t="s">
        <v>2795</v>
      </c>
      <c r="B94" s="107">
        <f>COUNTIF(Netlist!$D$4:$D$1448,$A94)</f>
        <v>2</v>
      </c>
      <c r="C94" s="107">
        <v>2</v>
      </c>
      <c r="D94" s="1" t="s">
        <v>3659</v>
      </c>
      <c r="E94" s="4" t="s">
        <v>3670</v>
      </c>
    </row>
    <row r="95" spans="1:5" x14ac:dyDescent="0.2">
      <c r="A95" s="1" t="s">
        <v>2804</v>
      </c>
      <c r="B95" s="107">
        <f>COUNTIF(Netlist!$D$4:$D$1448,$A95)</f>
        <v>2</v>
      </c>
      <c r="C95" s="107">
        <v>2</v>
      </c>
      <c r="D95" s="1" t="s">
        <v>3659</v>
      </c>
      <c r="E95" s="4" t="s">
        <v>3671</v>
      </c>
    </row>
    <row r="96" spans="1:5" x14ac:dyDescent="0.2">
      <c r="A96" s="1" t="s">
        <v>2801</v>
      </c>
      <c r="B96" s="107">
        <f>COUNTIF(Netlist!$D$4:$D$1448,$A96)</f>
        <v>2</v>
      </c>
      <c r="C96" s="107">
        <v>2</v>
      </c>
      <c r="D96" s="1" t="s">
        <v>3659</v>
      </c>
      <c r="E96" s="4" t="s">
        <v>3672</v>
      </c>
    </row>
    <row r="97" spans="1:5" x14ac:dyDescent="0.2">
      <c r="A97" s="1" t="s">
        <v>2176</v>
      </c>
      <c r="B97" s="107">
        <f>COUNTIF(Netlist!$D$4:$D$1448,$A97)</f>
        <v>3</v>
      </c>
      <c r="C97" s="107">
        <v>3</v>
      </c>
      <c r="D97" s="1" t="s">
        <v>3659</v>
      </c>
      <c r="E97" s="4" t="s">
        <v>3673</v>
      </c>
    </row>
    <row r="98" spans="1:5" x14ac:dyDescent="0.2">
      <c r="A98" s="1" t="s">
        <v>2179</v>
      </c>
      <c r="B98" s="107">
        <f>COUNTIF(Netlist!$D$4:$D$1448,$A98)</f>
        <v>3</v>
      </c>
      <c r="C98" s="107">
        <v>3</v>
      </c>
      <c r="D98" s="1" t="s">
        <v>3659</v>
      </c>
      <c r="E98" s="4" t="s">
        <v>3674</v>
      </c>
    </row>
    <row r="99" spans="1:5" x14ac:dyDescent="0.2">
      <c r="A99" s="1" t="s">
        <v>2554</v>
      </c>
      <c r="B99" s="107">
        <f>COUNTIF(Netlist!$D$4:$D$1448,$A99)</f>
        <v>2</v>
      </c>
      <c r="C99" s="107">
        <v>2</v>
      </c>
      <c r="D99" s="1" t="s">
        <v>3659</v>
      </c>
      <c r="E99" s="4" t="s">
        <v>3675</v>
      </c>
    </row>
    <row r="100" spans="1:5" x14ac:dyDescent="0.2">
      <c r="A100" s="1" t="s">
        <v>3228</v>
      </c>
      <c r="B100" s="107">
        <f>COUNTIF(Netlist!$D$4:$D$1448,$A100)</f>
        <v>2</v>
      </c>
      <c r="C100" s="107">
        <v>2</v>
      </c>
      <c r="D100" s="1" t="s">
        <v>3659</v>
      </c>
      <c r="E100" s="4" t="s">
        <v>3676</v>
      </c>
    </row>
    <row r="101" spans="1:5" x14ac:dyDescent="0.2">
      <c r="A101" s="1" t="s">
        <v>2760</v>
      </c>
      <c r="B101" s="107">
        <f>COUNTIF(Netlist!$D$4:$D$1448,$A101)</f>
        <v>2</v>
      </c>
      <c r="C101" s="107">
        <v>2</v>
      </c>
      <c r="D101" s="1" t="s">
        <v>3659</v>
      </c>
      <c r="E101" s="4" t="s">
        <v>3677</v>
      </c>
    </row>
    <row r="102" spans="1:5" x14ac:dyDescent="0.2">
      <c r="A102" s="1" t="s">
        <v>2758</v>
      </c>
      <c r="B102" s="107">
        <f>COUNTIF(Netlist!$D$4:$D$1448,$A102)</f>
        <v>2</v>
      </c>
      <c r="C102" s="107">
        <v>2</v>
      </c>
      <c r="D102" s="1" t="s">
        <v>3659</v>
      </c>
      <c r="E102" s="4" t="s">
        <v>3678</v>
      </c>
    </row>
    <row r="103" spans="1:5" x14ac:dyDescent="0.2">
      <c r="A103" s="1" t="s">
        <v>2756</v>
      </c>
      <c r="B103" s="107">
        <f>COUNTIF(Netlist!$D$4:$D$1448,$A103)</f>
        <v>2</v>
      </c>
      <c r="C103" s="107">
        <v>2</v>
      </c>
      <c r="D103" s="1" t="s">
        <v>3659</v>
      </c>
      <c r="E103" s="4" t="s">
        <v>3679</v>
      </c>
    </row>
    <row r="104" spans="1:5" x14ac:dyDescent="0.2">
      <c r="A104" s="1" t="s">
        <v>2754</v>
      </c>
      <c r="B104" s="107">
        <f>COUNTIF(Netlist!$D$4:$D$1448,$A104)</f>
        <v>2</v>
      </c>
      <c r="C104" s="107">
        <v>2</v>
      </c>
      <c r="D104" s="1" t="s">
        <v>3659</v>
      </c>
      <c r="E104" s="4" t="s">
        <v>3680</v>
      </c>
    </row>
    <row r="105" spans="1:5" x14ac:dyDescent="0.2">
      <c r="A105" s="1" t="s">
        <v>2718</v>
      </c>
      <c r="B105" s="107">
        <f>COUNTIF(Netlist!$D$4:$D$1448,$A105)</f>
        <v>3</v>
      </c>
      <c r="C105" s="107">
        <v>3</v>
      </c>
      <c r="D105" s="1" t="s">
        <v>3659</v>
      </c>
      <c r="E105" s="4" t="s">
        <v>3681</v>
      </c>
    </row>
    <row r="106" spans="1:5" x14ac:dyDescent="0.2">
      <c r="A106" s="1" t="s">
        <v>2780</v>
      </c>
      <c r="B106" s="107">
        <f>COUNTIF(Netlist!$D$4:$D$1448,$A106)</f>
        <v>6</v>
      </c>
      <c r="C106" s="107">
        <v>6</v>
      </c>
      <c r="D106" s="1" t="s">
        <v>3659</v>
      </c>
      <c r="E106" s="4" t="s">
        <v>3682</v>
      </c>
    </row>
    <row r="107" spans="1:5" x14ac:dyDescent="0.2">
      <c r="A107" s="1" t="s">
        <v>2777</v>
      </c>
      <c r="B107" s="107">
        <f>COUNTIF(Netlist!$D$4:$D$1448,$A107)</f>
        <v>3</v>
      </c>
      <c r="C107" s="107">
        <v>3</v>
      </c>
      <c r="D107" s="1" t="s">
        <v>3659</v>
      </c>
      <c r="E107" s="4" t="s">
        <v>3683</v>
      </c>
    </row>
    <row r="108" spans="1:5" x14ac:dyDescent="0.2">
      <c r="A108" s="1" t="s">
        <v>2731</v>
      </c>
      <c r="B108" s="107">
        <f>COUNTIF(Netlist!$D$4:$D$1448,$A108)</f>
        <v>3</v>
      </c>
      <c r="C108" s="107">
        <v>3</v>
      </c>
      <c r="D108" s="1" t="s">
        <v>3659</v>
      </c>
      <c r="E108" s="4" t="s">
        <v>3684</v>
      </c>
    </row>
    <row r="109" spans="1:5" x14ac:dyDescent="0.2">
      <c r="A109" s="1" t="s">
        <v>2735</v>
      </c>
      <c r="B109" s="107">
        <f>COUNTIF(Netlist!$D$4:$D$1448,$A109)</f>
        <v>3</v>
      </c>
      <c r="C109" s="107">
        <v>3</v>
      </c>
      <c r="D109" s="1" t="s">
        <v>3659</v>
      </c>
      <c r="E109" s="4" t="s">
        <v>3685</v>
      </c>
    </row>
    <row r="110" spans="1:5" x14ac:dyDescent="0.2">
      <c r="A110" s="1" t="s">
        <v>2743</v>
      </c>
      <c r="B110" s="107">
        <f>COUNTIF(Netlist!$D$4:$D$1448,$A110)</f>
        <v>2</v>
      </c>
      <c r="C110" s="107">
        <v>2</v>
      </c>
      <c r="D110" s="1" t="s">
        <v>3659</v>
      </c>
      <c r="E110" s="4" t="s">
        <v>3686</v>
      </c>
    </row>
    <row r="111" spans="1:5" x14ac:dyDescent="0.2">
      <c r="A111" s="1" t="s">
        <v>2622</v>
      </c>
      <c r="B111" s="107">
        <f>COUNTIF(Netlist!$D$4:$D$1448,$A111)</f>
        <v>3</v>
      </c>
      <c r="C111" s="107">
        <v>3</v>
      </c>
      <c r="D111" s="1" t="s">
        <v>3659</v>
      </c>
      <c r="E111" s="4" t="s">
        <v>3687</v>
      </c>
    </row>
    <row r="112" spans="1:5" x14ac:dyDescent="0.2">
      <c r="A112" s="1" t="s">
        <v>2721</v>
      </c>
      <c r="B112" s="107">
        <f>COUNTIF(Netlist!$D$4:$D$1448,$A112)</f>
        <v>3</v>
      </c>
      <c r="C112" s="107">
        <v>3</v>
      </c>
      <c r="D112" s="1" t="s">
        <v>3659</v>
      </c>
      <c r="E112" s="4" t="s">
        <v>3688</v>
      </c>
    </row>
    <row r="113" spans="1:5" x14ac:dyDescent="0.2">
      <c r="A113" s="1" t="s">
        <v>2202</v>
      </c>
      <c r="B113" s="107">
        <f>COUNTIF(Netlist!$D$4:$D$1448,$A113)</f>
        <v>10</v>
      </c>
      <c r="C113" s="107">
        <v>10</v>
      </c>
      <c r="D113" s="1" t="s">
        <v>3659</v>
      </c>
      <c r="E113" s="4" t="s">
        <v>3689</v>
      </c>
    </row>
    <row r="114" spans="1:5" x14ac:dyDescent="0.2">
      <c r="A114" s="1" t="s">
        <v>2807</v>
      </c>
      <c r="B114" s="107">
        <f>COUNTIF(Netlist!$D$4:$D$1448,$A114)</f>
        <v>2</v>
      </c>
      <c r="C114" s="107">
        <v>2</v>
      </c>
      <c r="D114" s="1" t="s">
        <v>3659</v>
      </c>
      <c r="E114" s="4" t="s">
        <v>3690</v>
      </c>
    </row>
    <row r="115" spans="1:5" x14ac:dyDescent="0.2">
      <c r="A115" s="1" t="s">
        <v>2711</v>
      </c>
      <c r="B115" s="107">
        <f>COUNTIF(Netlist!$D$4:$D$1448,$A115)</f>
        <v>3</v>
      </c>
      <c r="C115" s="107">
        <v>3</v>
      </c>
      <c r="D115" s="1" t="s">
        <v>3659</v>
      </c>
      <c r="E115" s="4" t="s">
        <v>3691</v>
      </c>
    </row>
    <row r="116" spans="1:5" x14ac:dyDescent="0.2">
      <c r="A116" s="1" t="s">
        <v>2729</v>
      </c>
      <c r="B116" s="107">
        <f>COUNTIF(Netlist!$D$4:$D$1448,$A116)</f>
        <v>2</v>
      </c>
      <c r="C116" s="107">
        <v>2</v>
      </c>
      <c r="D116" s="1" t="s">
        <v>3659</v>
      </c>
      <c r="E116" s="4" t="s">
        <v>3692</v>
      </c>
    </row>
    <row r="117" spans="1:5" x14ac:dyDescent="0.2">
      <c r="A117" s="1" t="s">
        <v>2733</v>
      </c>
      <c r="B117" s="107">
        <f>COUNTIF(Netlist!$D$4:$D$1448,$A117)</f>
        <v>2</v>
      </c>
      <c r="C117" s="107">
        <v>2</v>
      </c>
      <c r="D117" s="1" t="s">
        <v>3659</v>
      </c>
      <c r="E117" s="4" t="s">
        <v>3693</v>
      </c>
    </row>
    <row r="118" spans="1:5" x14ac:dyDescent="0.2">
      <c r="A118" s="1" t="s">
        <v>2880</v>
      </c>
      <c r="B118" s="107">
        <f>COUNTIF(Netlist!$D$4:$D$1448,$A118)</f>
        <v>3</v>
      </c>
      <c r="C118" s="107">
        <v>3</v>
      </c>
      <c r="D118" s="1" t="s">
        <v>3659</v>
      </c>
      <c r="E118" s="4" t="s">
        <v>3694</v>
      </c>
    </row>
    <row r="119" spans="1:5" x14ac:dyDescent="0.2">
      <c r="A119" s="1" t="s">
        <v>2283</v>
      </c>
      <c r="B119" s="107">
        <f>COUNTIF(Netlist!$D$4:$D$1448,$A119)</f>
        <v>7</v>
      </c>
      <c r="C119" s="107">
        <v>7</v>
      </c>
      <c r="D119" s="1" t="s">
        <v>3659</v>
      </c>
      <c r="E119" s="4" t="s">
        <v>3695</v>
      </c>
    </row>
    <row r="120" spans="1:5" x14ac:dyDescent="0.2">
      <c r="A120" s="1" t="s">
        <v>2280</v>
      </c>
      <c r="B120" s="107">
        <f>COUNTIF(Netlist!$D$4:$D$1448,$A120)</f>
        <v>7</v>
      </c>
      <c r="C120" s="107">
        <v>7</v>
      </c>
      <c r="D120" s="1" t="s">
        <v>3659</v>
      </c>
      <c r="E120" s="4" t="s">
        <v>3696</v>
      </c>
    </row>
    <row r="121" spans="1:5" x14ac:dyDescent="0.2">
      <c r="A121" s="1" t="s">
        <v>2289</v>
      </c>
      <c r="B121" s="107">
        <f>COUNTIF(Netlist!$D$4:$D$1448,$A121)</f>
        <v>7</v>
      </c>
      <c r="C121" s="107">
        <v>7</v>
      </c>
      <c r="D121" s="1" t="s">
        <v>3659</v>
      </c>
      <c r="E121" s="4" t="s">
        <v>3697</v>
      </c>
    </row>
    <row r="122" spans="1:5" x14ac:dyDescent="0.2">
      <c r="A122" s="1" t="s">
        <v>2286</v>
      </c>
      <c r="B122" s="107">
        <f>COUNTIF(Netlist!$D$4:$D$1448,$A122)</f>
        <v>7</v>
      </c>
      <c r="C122" s="107">
        <v>7</v>
      </c>
      <c r="D122" s="1" t="s">
        <v>3659</v>
      </c>
      <c r="E122" s="4" t="s">
        <v>3698</v>
      </c>
    </row>
    <row r="123" spans="1:5" x14ac:dyDescent="0.2">
      <c r="A123" s="1" t="s">
        <v>2249</v>
      </c>
      <c r="B123" s="107">
        <f>COUNTIF(Netlist!$D$4:$D$1448,$A123)</f>
        <v>4</v>
      </c>
      <c r="C123" s="107">
        <v>4</v>
      </c>
      <c r="D123" s="1" t="s">
        <v>3659</v>
      </c>
      <c r="E123" s="4" t="s">
        <v>3699</v>
      </c>
    </row>
    <row r="124" spans="1:5" x14ac:dyDescent="0.2">
      <c r="A124" s="1" t="s">
        <v>2252</v>
      </c>
      <c r="B124" s="107">
        <f>COUNTIF(Netlist!$D$4:$D$1448,$A124)</f>
        <v>4</v>
      </c>
      <c r="C124" s="107">
        <v>4</v>
      </c>
      <c r="D124" s="1" t="s">
        <v>3659</v>
      </c>
      <c r="E124" s="4" t="s">
        <v>3700</v>
      </c>
    </row>
    <row r="125" spans="1:5" x14ac:dyDescent="0.2">
      <c r="A125" s="1" t="s">
        <v>2250</v>
      </c>
      <c r="B125" s="107">
        <f>COUNTIF(Netlist!$D$4:$D$1448,$A125)</f>
        <v>4</v>
      </c>
      <c r="C125" s="107">
        <v>4</v>
      </c>
      <c r="D125" s="1" t="s">
        <v>3659</v>
      </c>
      <c r="E125" s="4" t="s">
        <v>3701</v>
      </c>
    </row>
    <row r="126" spans="1:5" x14ac:dyDescent="0.2">
      <c r="A126" s="1" t="s">
        <v>2307</v>
      </c>
      <c r="B126" s="107">
        <f>COUNTIF(Netlist!$D$4:$D$1448,$A126)</f>
        <v>3</v>
      </c>
      <c r="C126" s="107">
        <v>3</v>
      </c>
      <c r="D126" s="1" t="s">
        <v>3659</v>
      </c>
      <c r="E126" s="4" t="s">
        <v>3702</v>
      </c>
    </row>
    <row r="127" spans="1:5" x14ac:dyDescent="0.2">
      <c r="A127" s="1" t="s">
        <v>2309</v>
      </c>
      <c r="B127" s="107">
        <f>COUNTIF(Netlist!$D$4:$D$1448,$A127)</f>
        <v>3</v>
      </c>
      <c r="C127" s="107">
        <v>3</v>
      </c>
      <c r="D127" s="1" t="s">
        <v>3659</v>
      </c>
      <c r="E127" s="4" t="s">
        <v>3703</v>
      </c>
    </row>
    <row r="128" spans="1:5" x14ac:dyDescent="0.2">
      <c r="A128" s="1" t="s">
        <v>2242</v>
      </c>
      <c r="B128" s="107">
        <f>COUNTIF(Netlist!$D$4:$D$1448,$A128)</f>
        <v>4</v>
      </c>
      <c r="C128" s="107">
        <v>4</v>
      </c>
      <c r="D128" s="1" t="s">
        <v>3659</v>
      </c>
      <c r="E128" s="4" t="s">
        <v>3704</v>
      </c>
    </row>
    <row r="129" spans="1:5" x14ac:dyDescent="0.2">
      <c r="A129" s="1" t="s">
        <v>2246</v>
      </c>
      <c r="B129" s="107">
        <f>COUNTIF(Netlist!$D$4:$D$1448,$A129)</f>
        <v>4</v>
      </c>
      <c r="C129" s="107">
        <v>4</v>
      </c>
      <c r="D129" s="1" t="s">
        <v>3659</v>
      </c>
      <c r="E129" s="4" t="s">
        <v>3705</v>
      </c>
    </row>
    <row r="130" spans="1:5" x14ac:dyDescent="0.2">
      <c r="A130" s="1" t="s">
        <v>2244</v>
      </c>
      <c r="B130" s="107">
        <f>COUNTIF(Netlist!$D$4:$D$1448,$A130)</f>
        <v>4</v>
      </c>
      <c r="C130" s="107">
        <v>4</v>
      </c>
      <c r="D130" s="1" t="s">
        <v>3659</v>
      </c>
      <c r="E130" s="4" t="s">
        <v>3706</v>
      </c>
    </row>
    <row r="131" spans="1:5" x14ac:dyDescent="0.2">
      <c r="A131" s="1" t="s">
        <v>2302</v>
      </c>
      <c r="B131" s="107">
        <f>COUNTIF(Netlist!$D$4:$D$1448,$A131)</f>
        <v>3</v>
      </c>
      <c r="C131" s="107">
        <v>3</v>
      </c>
      <c r="D131" s="1" t="s">
        <v>3659</v>
      </c>
      <c r="E131" s="4" t="s">
        <v>3707</v>
      </c>
    </row>
    <row r="132" spans="1:5" x14ac:dyDescent="0.2">
      <c r="A132" s="1" t="s">
        <v>2305</v>
      </c>
      <c r="B132" s="107">
        <f>COUNTIF(Netlist!$D$4:$D$1448,$A132)</f>
        <v>3</v>
      </c>
      <c r="C132" s="107">
        <v>3</v>
      </c>
      <c r="D132" s="1" t="s">
        <v>3659</v>
      </c>
      <c r="E132" s="4" t="s">
        <v>3708</v>
      </c>
    </row>
    <row r="133" spans="1:5" x14ac:dyDescent="0.2">
      <c r="A133" s="1" t="s">
        <v>2259</v>
      </c>
      <c r="B133" s="107">
        <f>COUNTIF(Netlist!$D$4:$D$1448,$A133)</f>
        <v>4</v>
      </c>
      <c r="C133" s="107">
        <v>4</v>
      </c>
      <c r="D133" s="1" t="s">
        <v>3659</v>
      </c>
      <c r="E133" s="4" t="s">
        <v>3709</v>
      </c>
    </row>
    <row r="134" spans="1:5" x14ac:dyDescent="0.2">
      <c r="A134" s="1" t="s">
        <v>2262</v>
      </c>
      <c r="B134" s="107">
        <f>COUNTIF(Netlist!$D$4:$D$1448,$A134)</f>
        <v>4</v>
      </c>
      <c r="C134" s="107">
        <v>4</v>
      </c>
      <c r="D134" s="1" t="s">
        <v>3659</v>
      </c>
      <c r="E134" s="4" t="s">
        <v>3710</v>
      </c>
    </row>
    <row r="135" spans="1:5" x14ac:dyDescent="0.2">
      <c r="A135" s="1" t="s">
        <v>2260</v>
      </c>
      <c r="B135" s="107">
        <f>COUNTIF(Netlist!$D$4:$D$1448,$A135)</f>
        <v>4</v>
      </c>
      <c r="C135" s="107">
        <v>4</v>
      </c>
      <c r="D135" s="1" t="s">
        <v>3659</v>
      </c>
      <c r="E135" s="4" t="s">
        <v>3711</v>
      </c>
    </row>
    <row r="136" spans="1:5" x14ac:dyDescent="0.2">
      <c r="A136" s="1" t="s">
        <v>2315</v>
      </c>
      <c r="B136" s="107">
        <f>COUNTIF(Netlist!$D$4:$D$1448,$A136)</f>
        <v>3</v>
      </c>
      <c r="C136" s="107">
        <v>3</v>
      </c>
      <c r="D136" s="1" t="s">
        <v>3659</v>
      </c>
      <c r="E136" s="4" t="s">
        <v>3712</v>
      </c>
    </row>
    <row r="137" spans="1:5" x14ac:dyDescent="0.2">
      <c r="A137" s="1" t="s">
        <v>2317</v>
      </c>
      <c r="B137" s="107">
        <f>COUNTIF(Netlist!$D$4:$D$1448,$A137)</f>
        <v>3</v>
      </c>
      <c r="C137" s="107">
        <v>3</v>
      </c>
      <c r="D137" s="1" t="s">
        <v>3659</v>
      </c>
      <c r="E137" s="4" t="s">
        <v>3713</v>
      </c>
    </row>
    <row r="138" spans="1:5" x14ac:dyDescent="0.2">
      <c r="A138" s="1" t="s">
        <v>2254</v>
      </c>
      <c r="B138" s="107">
        <f>COUNTIF(Netlist!$D$4:$D$1448,$A138)</f>
        <v>4</v>
      </c>
      <c r="C138" s="107">
        <v>4</v>
      </c>
      <c r="D138" s="1" t="s">
        <v>3659</v>
      </c>
      <c r="E138" s="4" t="s">
        <v>3714</v>
      </c>
    </row>
    <row r="139" spans="1:5" x14ac:dyDescent="0.2">
      <c r="A139" s="1" t="s">
        <v>2257</v>
      </c>
      <c r="B139" s="107">
        <f>COUNTIF(Netlist!$D$4:$D$1448,$A139)</f>
        <v>4</v>
      </c>
      <c r="C139" s="107">
        <v>4</v>
      </c>
      <c r="D139" s="1" t="s">
        <v>3659</v>
      </c>
      <c r="E139" s="4" t="s">
        <v>3715</v>
      </c>
    </row>
    <row r="140" spans="1:5" x14ac:dyDescent="0.2">
      <c r="A140" s="1" t="s">
        <v>2255</v>
      </c>
      <c r="B140" s="107">
        <f>COUNTIF(Netlist!$D$4:$D$1448,$A140)</f>
        <v>4</v>
      </c>
      <c r="C140" s="107">
        <v>4</v>
      </c>
      <c r="D140" s="1" t="s">
        <v>3659</v>
      </c>
      <c r="E140" s="4" t="s">
        <v>3716</v>
      </c>
    </row>
    <row r="141" spans="1:5" x14ac:dyDescent="0.2">
      <c r="A141" s="1" t="s">
        <v>2311</v>
      </c>
      <c r="B141" s="107">
        <f>COUNTIF(Netlist!$D$4:$D$1448,$A141)</f>
        <v>3</v>
      </c>
      <c r="C141" s="107">
        <v>3</v>
      </c>
      <c r="D141" s="1" t="s">
        <v>3659</v>
      </c>
      <c r="E141" s="4" t="s">
        <v>3717</v>
      </c>
    </row>
    <row r="142" spans="1:5" x14ac:dyDescent="0.2">
      <c r="A142" s="1" t="s">
        <v>2313</v>
      </c>
      <c r="B142" s="107">
        <f>COUNTIF(Netlist!$D$4:$D$1448,$A142)</f>
        <v>3</v>
      </c>
      <c r="C142" s="107">
        <v>3</v>
      </c>
      <c r="D142" s="1" t="s">
        <v>3659</v>
      </c>
      <c r="E142" s="4" t="s">
        <v>3718</v>
      </c>
    </row>
    <row r="143" spans="1:5" x14ac:dyDescent="0.2">
      <c r="A143" s="1" t="s">
        <v>2295</v>
      </c>
      <c r="B143" s="107">
        <f>COUNTIF(Netlist!$D$4:$D$1448,$A143)</f>
        <v>8</v>
      </c>
      <c r="C143" s="107">
        <v>8</v>
      </c>
      <c r="D143" s="1" t="s">
        <v>3659</v>
      </c>
      <c r="E143" s="4" t="s">
        <v>3719</v>
      </c>
    </row>
    <row r="144" spans="1:5" x14ac:dyDescent="0.2">
      <c r="A144" s="1" t="s">
        <v>2292</v>
      </c>
      <c r="B144" s="107">
        <f>COUNTIF(Netlist!$D$4:$D$1448,$A144)</f>
        <v>8</v>
      </c>
      <c r="C144" s="107">
        <v>8</v>
      </c>
      <c r="D144" s="1" t="s">
        <v>3659</v>
      </c>
      <c r="E144" s="4" t="s">
        <v>3720</v>
      </c>
    </row>
    <row r="145" spans="1:5" x14ac:dyDescent="0.2">
      <c r="A145" s="1" t="s">
        <v>2333</v>
      </c>
      <c r="B145" s="107">
        <f>COUNTIF(Netlist!$D$4:$D$1448,$A145)</f>
        <v>2</v>
      </c>
      <c r="C145" s="107">
        <v>2</v>
      </c>
      <c r="D145" s="1" t="s">
        <v>3659</v>
      </c>
      <c r="E145" s="4" t="s">
        <v>3721</v>
      </c>
    </row>
    <row r="146" spans="1:5" x14ac:dyDescent="0.2">
      <c r="A146" s="1" t="s">
        <v>2332</v>
      </c>
      <c r="B146" s="107">
        <f>COUNTIF(Netlist!$D$4:$D$1448,$A146)</f>
        <v>2</v>
      </c>
      <c r="C146" s="107">
        <v>2</v>
      </c>
      <c r="D146" s="1" t="s">
        <v>3659</v>
      </c>
      <c r="E146" s="4" t="s">
        <v>3722</v>
      </c>
    </row>
    <row r="147" spans="1:5" x14ac:dyDescent="0.2">
      <c r="A147" s="1" t="s">
        <v>2335</v>
      </c>
      <c r="B147" s="107">
        <f>COUNTIF(Netlist!$D$4:$D$1448,$A147)</f>
        <v>2</v>
      </c>
      <c r="C147" s="107">
        <v>2</v>
      </c>
      <c r="D147" s="1" t="s">
        <v>3659</v>
      </c>
      <c r="E147" s="4" t="s">
        <v>3723</v>
      </c>
    </row>
    <row r="148" spans="1:5" x14ac:dyDescent="0.2">
      <c r="A148" s="1" t="s">
        <v>2338</v>
      </c>
      <c r="B148" s="107">
        <f>COUNTIF(Netlist!$D$4:$D$1448,$A148)</f>
        <v>2</v>
      </c>
      <c r="C148" s="107">
        <v>2</v>
      </c>
      <c r="D148" s="1" t="s">
        <v>3659</v>
      </c>
      <c r="E148" s="4" t="s">
        <v>3724</v>
      </c>
    </row>
    <row r="149" spans="1:5" x14ac:dyDescent="0.2">
      <c r="A149" s="1" t="s">
        <v>2644</v>
      </c>
      <c r="B149" s="107">
        <f>COUNTIF(Netlist!$D$4:$D$1448,$A149)</f>
        <v>2</v>
      </c>
      <c r="C149" s="107">
        <v>2</v>
      </c>
      <c r="D149" s="1" t="s">
        <v>3659</v>
      </c>
      <c r="E149" s="4" t="s">
        <v>3725</v>
      </c>
    </row>
    <row r="150" spans="1:5" x14ac:dyDescent="0.2">
      <c r="A150" s="1" t="s">
        <v>2631</v>
      </c>
      <c r="B150" s="107">
        <f>COUNTIF(Netlist!$D$4:$D$1448,$A150)</f>
        <v>3</v>
      </c>
      <c r="C150" s="107">
        <v>3</v>
      </c>
      <c r="D150" s="1" t="s">
        <v>3659</v>
      </c>
      <c r="E150" s="4" t="s">
        <v>3726</v>
      </c>
    </row>
    <row r="151" spans="1:5" x14ac:dyDescent="0.2">
      <c r="A151" s="1" t="s">
        <v>2634</v>
      </c>
      <c r="B151" s="107">
        <f>COUNTIF(Netlist!$D$4:$D$1448,$A151)</f>
        <v>2</v>
      </c>
      <c r="C151" s="107">
        <v>2</v>
      </c>
      <c r="D151" s="1" t="s">
        <v>3659</v>
      </c>
      <c r="E151" s="4" t="s">
        <v>3727</v>
      </c>
    </row>
    <row r="152" spans="1:5" x14ac:dyDescent="0.2">
      <c r="A152" s="1" t="s">
        <v>2638</v>
      </c>
      <c r="B152" s="107">
        <f>COUNTIF(Netlist!$D$4:$D$1448,$A152)</f>
        <v>4</v>
      </c>
      <c r="C152" s="107">
        <v>4</v>
      </c>
      <c r="D152" s="1" t="s">
        <v>3659</v>
      </c>
      <c r="E152" s="4" t="s">
        <v>3728</v>
      </c>
    </row>
    <row r="153" spans="1:5" x14ac:dyDescent="0.2">
      <c r="A153" s="1" t="s">
        <v>2641</v>
      </c>
      <c r="B153" s="107">
        <f>COUNTIF(Netlist!$D$4:$D$1448,$A153)</f>
        <v>2</v>
      </c>
      <c r="C153" s="107">
        <v>2</v>
      </c>
      <c r="D153" s="1" t="s">
        <v>3659</v>
      </c>
      <c r="E153" s="4" t="s">
        <v>3729</v>
      </c>
    </row>
    <row r="154" spans="1:5" x14ac:dyDescent="0.2">
      <c r="A154" s="1" t="s">
        <v>2339</v>
      </c>
      <c r="B154" s="107">
        <f>COUNTIF(Netlist!$D$4:$D$1448,$A154)</f>
        <v>2</v>
      </c>
      <c r="C154" s="107">
        <v>2</v>
      </c>
      <c r="D154" s="1" t="s">
        <v>3659</v>
      </c>
      <c r="E154" s="4" t="s">
        <v>3730</v>
      </c>
    </row>
    <row r="155" spans="1:5" x14ac:dyDescent="0.2">
      <c r="A155" s="1" t="s">
        <v>2864</v>
      </c>
      <c r="B155" s="107">
        <f>COUNTIF(Netlist!$D$4:$D$1448,$A155)</f>
        <v>3</v>
      </c>
      <c r="C155" s="107">
        <v>3</v>
      </c>
      <c r="D155" s="1" t="s">
        <v>3659</v>
      </c>
      <c r="E155" s="4" t="s">
        <v>3731</v>
      </c>
    </row>
    <row r="156" spans="1:5" x14ac:dyDescent="0.2">
      <c r="A156" s="1" t="s">
        <v>2862</v>
      </c>
      <c r="B156" s="107">
        <f>COUNTIF(Netlist!$D$4:$D$1448,$A156)</f>
        <v>3</v>
      </c>
      <c r="C156" s="107">
        <v>3</v>
      </c>
      <c r="D156" s="1" t="s">
        <v>3659</v>
      </c>
      <c r="E156" s="4" t="s">
        <v>3732</v>
      </c>
    </row>
    <row r="157" spans="1:5" x14ac:dyDescent="0.2">
      <c r="A157" s="1" t="s">
        <v>2867</v>
      </c>
      <c r="B157" s="107">
        <f>COUNTIF(Netlist!$D$4:$D$1448,$A157)</f>
        <v>3</v>
      </c>
      <c r="C157" s="107">
        <v>3</v>
      </c>
      <c r="D157" s="1" t="s">
        <v>3659</v>
      </c>
      <c r="E157" s="4" t="s">
        <v>3733</v>
      </c>
    </row>
    <row r="158" spans="1:5" x14ac:dyDescent="0.2">
      <c r="A158" s="1" t="s">
        <v>2869</v>
      </c>
      <c r="B158" s="107">
        <f>COUNTIF(Netlist!$D$4:$D$1448,$A158)</f>
        <v>2</v>
      </c>
      <c r="C158" s="107">
        <v>2</v>
      </c>
      <c r="D158" s="1" t="s">
        <v>3659</v>
      </c>
      <c r="E158" s="4" t="s">
        <v>3734</v>
      </c>
    </row>
    <row r="159" spans="1:5" x14ac:dyDescent="0.2">
      <c r="A159" s="1" t="s">
        <v>2866</v>
      </c>
      <c r="B159" s="107">
        <f>COUNTIF(Netlist!$D$4:$D$1448,$A159)</f>
        <v>3</v>
      </c>
      <c r="C159" s="107">
        <v>3</v>
      </c>
      <c r="D159" s="1" t="s">
        <v>3659</v>
      </c>
      <c r="E159" s="4" t="s">
        <v>3735</v>
      </c>
    </row>
    <row r="160" spans="1:5" x14ac:dyDescent="0.2">
      <c r="A160" s="1" t="s">
        <v>2646</v>
      </c>
      <c r="B160" s="107">
        <f>COUNTIF(Netlist!$D$4:$D$1448,$A160)</f>
        <v>3</v>
      </c>
      <c r="C160" s="107">
        <v>3</v>
      </c>
      <c r="D160" s="1" t="s">
        <v>3659</v>
      </c>
      <c r="E160" s="4" t="s">
        <v>3736</v>
      </c>
    </row>
    <row r="161" spans="1:5" x14ac:dyDescent="0.2">
      <c r="A161" s="1" t="s">
        <v>2884</v>
      </c>
      <c r="B161" s="107">
        <f>COUNTIF(Netlist!$D$4:$D$1448,$A161)</f>
        <v>2</v>
      </c>
      <c r="C161" s="107">
        <v>2</v>
      </c>
      <c r="D161" s="1" t="s">
        <v>3659</v>
      </c>
      <c r="E161" s="4" t="s">
        <v>3737</v>
      </c>
    </row>
    <row r="162" spans="1:5" x14ac:dyDescent="0.2">
      <c r="A162" s="1" t="s">
        <v>3011</v>
      </c>
      <c r="B162" s="107">
        <f>COUNTIF(Netlist!$D$4:$D$1448,$A162)</f>
        <v>3</v>
      </c>
      <c r="C162" s="107">
        <v>3</v>
      </c>
      <c r="D162" s="1" t="s">
        <v>3659</v>
      </c>
      <c r="E162" s="4" t="s">
        <v>3738</v>
      </c>
    </row>
    <row r="163" spans="1:5" x14ac:dyDescent="0.2">
      <c r="A163" s="1" t="s">
        <v>2682</v>
      </c>
      <c r="B163" s="107">
        <f>COUNTIF(Netlist!$D$4:$D$1448,$A163)</f>
        <v>3</v>
      </c>
      <c r="C163" s="107">
        <v>3</v>
      </c>
      <c r="D163" s="1" t="s">
        <v>3659</v>
      </c>
      <c r="E163" s="4" t="s">
        <v>3739</v>
      </c>
    </row>
    <row r="164" spans="1:5" x14ac:dyDescent="0.2">
      <c r="A164" s="1" t="s">
        <v>3020</v>
      </c>
      <c r="B164" s="107">
        <f>COUNTIF(Netlist!$D$4:$D$1448,$A164)</f>
        <v>2</v>
      </c>
      <c r="C164" s="107">
        <v>2</v>
      </c>
      <c r="D164" s="1" t="s">
        <v>3659</v>
      </c>
      <c r="E164" s="4" t="s">
        <v>3740</v>
      </c>
    </row>
    <row r="165" spans="1:5" x14ac:dyDescent="0.2">
      <c r="A165" s="1" t="s">
        <v>2651</v>
      </c>
      <c r="B165" s="107">
        <f>COUNTIF(Netlist!$D$4:$D$1448,$A165)</f>
        <v>2</v>
      </c>
      <c r="C165" s="107">
        <v>2</v>
      </c>
      <c r="D165" s="1" t="s">
        <v>3659</v>
      </c>
      <c r="E165" s="4" t="s">
        <v>3741</v>
      </c>
    </row>
    <row r="166" spans="1:5" x14ac:dyDescent="0.2">
      <c r="A166" s="1" t="s">
        <v>2655</v>
      </c>
      <c r="B166" s="107">
        <f>COUNTIF(Netlist!$D$4:$D$1448,$A166)</f>
        <v>2</v>
      </c>
      <c r="C166" s="107">
        <v>2</v>
      </c>
      <c r="D166" s="1" t="s">
        <v>3659</v>
      </c>
      <c r="E166" s="4" t="s">
        <v>3742</v>
      </c>
    </row>
    <row r="167" spans="1:5" x14ac:dyDescent="0.2">
      <c r="A167" s="1" t="s">
        <v>2680</v>
      </c>
      <c r="B167" s="107">
        <f>COUNTIF(Netlist!$D$4:$D$1448,$A167)</f>
        <v>4</v>
      </c>
      <c r="C167" s="107">
        <v>4</v>
      </c>
      <c r="D167" s="1" t="s">
        <v>3659</v>
      </c>
      <c r="E167" s="4" t="s">
        <v>3743</v>
      </c>
    </row>
    <row r="168" spans="1:5" x14ac:dyDescent="0.2">
      <c r="A168" s="1" t="s">
        <v>2363</v>
      </c>
      <c r="B168" s="107">
        <f>COUNTIF(Netlist!$D$4:$D$1448,$A168)</f>
        <v>6</v>
      </c>
      <c r="C168" s="107">
        <v>6</v>
      </c>
      <c r="D168" s="1" t="s">
        <v>3659</v>
      </c>
      <c r="E168" s="4" t="s">
        <v>3744</v>
      </c>
    </row>
    <row r="169" spans="1:5" x14ac:dyDescent="0.2">
      <c r="A169" s="1" t="s">
        <v>2366</v>
      </c>
      <c r="B169" s="107">
        <f>COUNTIF(Netlist!$D$4:$D$1448,$A169)</f>
        <v>6</v>
      </c>
      <c r="C169" s="107">
        <v>6</v>
      </c>
      <c r="D169" s="1" t="s">
        <v>3659</v>
      </c>
      <c r="E169" s="4" t="s">
        <v>3745</v>
      </c>
    </row>
    <row r="170" spans="1:5" x14ac:dyDescent="0.2">
      <c r="A170" s="1" t="s">
        <v>2935</v>
      </c>
      <c r="B170" s="107">
        <f>COUNTIF(Netlist!$D$4:$D$1448,$A170)</f>
        <v>4</v>
      </c>
      <c r="C170" s="107">
        <v>4</v>
      </c>
      <c r="D170" s="1" t="s">
        <v>3659</v>
      </c>
      <c r="E170" s="4" t="s">
        <v>3746</v>
      </c>
    </row>
    <row r="171" spans="1:5" x14ac:dyDescent="0.2">
      <c r="A171" s="1" t="s">
        <v>2938</v>
      </c>
      <c r="B171" s="107">
        <f>COUNTIF(Netlist!$D$4:$D$1448,$A171)</f>
        <v>5</v>
      </c>
      <c r="C171" s="107">
        <v>5</v>
      </c>
      <c r="D171" s="1" t="s">
        <v>3659</v>
      </c>
      <c r="E171" s="4" t="s">
        <v>3747</v>
      </c>
    </row>
    <row r="172" spans="1:5" x14ac:dyDescent="0.2">
      <c r="A172" s="1" t="s">
        <v>3030</v>
      </c>
      <c r="B172" s="107">
        <f>COUNTIF(Netlist!$D$4:$D$1448,$A172)</f>
        <v>3</v>
      </c>
      <c r="C172" s="107">
        <v>3</v>
      </c>
      <c r="D172" s="1" t="s">
        <v>3659</v>
      </c>
      <c r="E172" s="4" t="s">
        <v>3748</v>
      </c>
    </row>
    <row r="173" spans="1:5" x14ac:dyDescent="0.2">
      <c r="A173" s="1" t="s">
        <v>3048</v>
      </c>
      <c r="B173" s="107">
        <f>COUNTIF(Netlist!$D$4:$D$1448,$A173)</f>
        <v>3</v>
      </c>
      <c r="C173" s="107">
        <v>3</v>
      </c>
      <c r="D173" s="1" t="s">
        <v>3659</v>
      </c>
      <c r="E173" s="4" t="s">
        <v>3749</v>
      </c>
    </row>
    <row r="174" spans="1:5" x14ac:dyDescent="0.2">
      <c r="A174" s="1" t="s">
        <v>3035</v>
      </c>
      <c r="B174" s="107">
        <f>COUNTIF(Netlist!$D$4:$D$1448,$A174)</f>
        <v>3</v>
      </c>
      <c r="C174" s="107">
        <v>3</v>
      </c>
      <c r="D174" s="1" t="s">
        <v>3659</v>
      </c>
      <c r="E174" s="4" t="s">
        <v>3750</v>
      </c>
    </row>
    <row r="175" spans="1:5" x14ac:dyDescent="0.2">
      <c r="A175" s="1" t="s">
        <v>3052</v>
      </c>
      <c r="B175" s="107">
        <f>COUNTIF(Netlist!$D$4:$D$1448,$A175)</f>
        <v>3</v>
      </c>
      <c r="C175" s="107">
        <v>3</v>
      </c>
      <c r="D175" s="1" t="s">
        <v>3659</v>
      </c>
      <c r="E175" s="4" t="s">
        <v>3751</v>
      </c>
    </row>
    <row r="176" spans="1:5" x14ac:dyDescent="0.2">
      <c r="A176" s="1" t="s">
        <v>3040</v>
      </c>
      <c r="B176" s="107">
        <f>COUNTIF(Netlist!$D$4:$D$1448,$A176)</f>
        <v>3</v>
      </c>
      <c r="C176" s="107">
        <v>3</v>
      </c>
      <c r="D176" s="1" t="s">
        <v>3659</v>
      </c>
      <c r="E176" s="4" t="s">
        <v>3752</v>
      </c>
    </row>
    <row r="177" spans="1:5" x14ac:dyDescent="0.2">
      <c r="A177" s="1" t="s">
        <v>3056</v>
      </c>
      <c r="B177" s="107">
        <f>COUNTIF(Netlist!$D$4:$D$1448,$A177)</f>
        <v>3</v>
      </c>
      <c r="C177" s="107">
        <v>3</v>
      </c>
      <c r="D177" s="1" t="s">
        <v>3659</v>
      </c>
      <c r="E177" s="4" t="s">
        <v>3753</v>
      </c>
    </row>
    <row r="178" spans="1:5" x14ac:dyDescent="0.2">
      <c r="A178" s="1" t="s">
        <v>3044</v>
      </c>
      <c r="B178" s="107">
        <f>COUNTIF(Netlist!$D$4:$D$1448,$A178)</f>
        <v>3</v>
      </c>
      <c r="C178" s="107">
        <v>3</v>
      </c>
      <c r="D178" s="1" t="s">
        <v>3659</v>
      </c>
      <c r="E178" s="4" t="s">
        <v>3754</v>
      </c>
    </row>
    <row r="179" spans="1:5" x14ac:dyDescent="0.2">
      <c r="A179" s="1" t="s">
        <v>3060</v>
      </c>
      <c r="B179" s="107">
        <f>COUNTIF(Netlist!$D$4:$D$1448,$A179)</f>
        <v>3</v>
      </c>
      <c r="C179" s="107">
        <v>3</v>
      </c>
      <c r="D179" s="1" t="s">
        <v>3659</v>
      </c>
      <c r="E179" s="4" t="s">
        <v>3755</v>
      </c>
    </row>
    <row r="180" spans="1:5" x14ac:dyDescent="0.2">
      <c r="A180" s="1" t="s">
        <v>2653</v>
      </c>
      <c r="B180" s="107">
        <f>COUNTIF(Netlist!$D$4:$D$1448,$A180)</f>
        <v>4</v>
      </c>
      <c r="C180" s="107">
        <v>4</v>
      </c>
      <c r="D180" s="1" t="s">
        <v>3659</v>
      </c>
      <c r="E180" s="4" t="s">
        <v>3756</v>
      </c>
    </row>
    <row r="181" spans="1:5" x14ac:dyDescent="0.2">
      <c r="A181" s="1" t="s">
        <v>2662</v>
      </c>
      <c r="B181" s="107">
        <f>COUNTIF(Netlist!$D$4:$D$1448,$A181)</f>
        <v>4</v>
      </c>
      <c r="C181" s="107">
        <v>4</v>
      </c>
      <c r="D181" s="1" t="s">
        <v>3659</v>
      </c>
      <c r="E181" s="4" t="s">
        <v>3757</v>
      </c>
    </row>
    <row r="182" spans="1:5" x14ac:dyDescent="0.2">
      <c r="A182" s="1" t="s">
        <v>2657</v>
      </c>
      <c r="B182" s="107">
        <f>COUNTIF(Netlist!$D$4:$D$1448,$A182)</f>
        <v>4</v>
      </c>
      <c r="C182" s="107">
        <v>4</v>
      </c>
      <c r="D182" s="1" t="s">
        <v>3659</v>
      </c>
      <c r="E182" s="4" t="s">
        <v>3758</v>
      </c>
    </row>
    <row r="183" spans="1:5" x14ac:dyDescent="0.2">
      <c r="A183" s="1" t="s">
        <v>2659</v>
      </c>
      <c r="B183" s="107">
        <f>COUNTIF(Netlist!$D$4:$D$1448,$A183)</f>
        <v>2</v>
      </c>
      <c r="C183" s="107">
        <v>2</v>
      </c>
      <c r="D183" s="1" t="s">
        <v>3659</v>
      </c>
      <c r="E183" s="4" t="s">
        <v>3759</v>
      </c>
    </row>
    <row r="184" spans="1:5" ht="27.75" customHeight="1" x14ac:dyDescent="0.2">
      <c r="A184" s="1" t="s">
        <v>2356</v>
      </c>
      <c r="B184" s="107">
        <f>COUNTIF(Netlist!$D$4:$D$1448,$A184)</f>
        <v>18</v>
      </c>
      <c r="C184" s="107">
        <v>18</v>
      </c>
      <c r="D184" s="1" t="s">
        <v>3659</v>
      </c>
      <c r="E184" s="4" t="s">
        <v>3760</v>
      </c>
    </row>
    <row r="185" spans="1:5" x14ac:dyDescent="0.2">
      <c r="A185" s="1" t="s">
        <v>3015</v>
      </c>
      <c r="B185" s="107">
        <f>COUNTIF(Netlist!$D$4:$D$1448,$A185)</f>
        <v>3</v>
      </c>
      <c r="C185" s="107">
        <v>3</v>
      </c>
      <c r="D185" s="1" t="s">
        <v>3659</v>
      </c>
      <c r="E185" s="4" t="s">
        <v>3761</v>
      </c>
    </row>
    <row r="186" spans="1:5" x14ac:dyDescent="0.2">
      <c r="A186" s="1" t="s">
        <v>2947</v>
      </c>
      <c r="B186" s="107">
        <f>COUNTIF(Netlist!$D$4:$D$1448,$A186)</f>
        <v>4</v>
      </c>
      <c r="C186" s="107">
        <v>4</v>
      </c>
      <c r="D186" s="1" t="s">
        <v>3659</v>
      </c>
      <c r="E186" s="4" t="s">
        <v>3762</v>
      </c>
    </row>
    <row r="187" spans="1:5" x14ac:dyDescent="0.2">
      <c r="A187" s="1" t="s">
        <v>2418</v>
      </c>
      <c r="B187" s="107">
        <f>COUNTIF(Netlist!$D$4:$D$1448,$A187)</f>
        <v>4</v>
      </c>
      <c r="C187" s="107">
        <v>4</v>
      </c>
      <c r="D187" s="1" t="s">
        <v>3659</v>
      </c>
      <c r="E187" s="4" t="s">
        <v>3763</v>
      </c>
    </row>
    <row r="188" spans="1:5" x14ac:dyDescent="0.2">
      <c r="A188" s="1" t="s">
        <v>2415</v>
      </c>
      <c r="B188" s="107">
        <f>COUNTIF(Netlist!$D$4:$D$1448,$A188)</f>
        <v>4</v>
      </c>
      <c r="C188" s="107">
        <v>4</v>
      </c>
      <c r="D188" s="1" t="s">
        <v>3659</v>
      </c>
      <c r="E188" s="4" t="s">
        <v>3764</v>
      </c>
    </row>
    <row r="189" spans="1:5" x14ac:dyDescent="0.2">
      <c r="A189" s="1" t="s">
        <v>2422</v>
      </c>
      <c r="B189" s="107">
        <f>COUNTIF(Netlist!$D$4:$D$1448,$A189)</f>
        <v>4</v>
      </c>
      <c r="C189" s="107">
        <v>4</v>
      </c>
      <c r="D189" s="1" t="s">
        <v>3659</v>
      </c>
      <c r="E189" s="4" t="s">
        <v>3765</v>
      </c>
    </row>
    <row r="190" spans="1:5" x14ac:dyDescent="0.2">
      <c r="A190" s="1" t="s">
        <v>2420</v>
      </c>
      <c r="B190" s="107">
        <f>COUNTIF(Netlist!$D$4:$D$1448,$A190)</f>
        <v>4</v>
      </c>
      <c r="C190" s="107">
        <v>4</v>
      </c>
      <c r="D190" s="1" t="s">
        <v>3659</v>
      </c>
      <c r="E190" s="4" t="s">
        <v>3766</v>
      </c>
    </row>
    <row r="191" spans="1:5" x14ac:dyDescent="0.2">
      <c r="A191" s="1" t="s">
        <v>2661</v>
      </c>
      <c r="B191" s="107">
        <f>COUNTIF(Netlist!$D$4:$D$1448,$A191)</f>
        <v>2</v>
      </c>
      <c r="C191" s="107">
        <v>2</v>
      </c>
      <c r="D191" s="1" t="s">
        <v>3659</v>
      </c>
      <c r="E191" s="4" t="s">
        <v>3767</v>
      </c>
    </row>
    <row r="192" spans="1:5" x14ac:dyDescent="0.2">
      <c r="A192" s="1" t="s">
        <v>2665</v>
      </c>
      <c r="B192" s="107">
        <f>COUNTIF(Netlist!$D$4:$D$1448,$A192)</f>
        <v>2</v>
      </c>
      <c r="C192" s="107">
        <v>2</v>
      </c>
      <c r="D192" s="1" t="s">
        <v>3659</v>
      </c>
      <c r="E192" s="4" t="s">
        <v>3768</v>
      </c>
    </row>
    <row r="193" spans="1:5" x14ac:dyDescent="0.2">
      <c r="A193" s="1" t="s">
        <v>2372</v>
      </c>
      <c r="B193" s="107">
        <f>COUNTIF(Netlist!$D$4:$D$1448,$A193)</f>
        <v>2</v>
      </c>
      <c r="C193" s="107">
        <v>2</v>
      </c>
      <c r="D193" s="1" t="s">
        <v>3659</v>
      </c>
      <c r="E193" s="4" t="s">
        <v>3769</v>
      </c>
    </row>
    <row r="194" spans="1:5" x14ac:dyDescent="0.2">
      <c r="A194" s="1" t="s">
        <v>2956</v>
      </c>
      <c r="B194" s="107">
        <f>COUNTIF(Netlist!$D$4:$D$1448,$A194)</f>
        <v>2</v>
      </c>
      <c r="C194" s="107">
        <v>2</v>
      </c>
      <c r="D194" s="1" t="s">
        <v>3659</v>
      </c>
      <c r="E194" s="4" t="s">
        <v>3770</v>
      </c>
    </row>
    <row r="195" spans="1:5" x14ac:dyDescent="0.2">
      <c r="A195" s="1" t="s">
        <v>2951</v>
      </c>
      <c r="B195" s="107">
        <f>COUNTIF(Netlist!$D$4:$D$1448,$A195)</f>
        <v>2</v>
      </c>
      <c r="C195" s="107">
        <v>2</v>
      </c>
      <c r="D195" s="1" t="s">
        <v>3659</v>
      </c>
      <c r="E195" s="4" t="s">
        <v>3771</v>
      </c>
    </row>
    <row r="196" spans="1:5" x14ac:dyDescent="0.2">
      <c r="A196" s="1" t="s">
        <v>2375</v>
      </c>
      <c r="B196" s="107">
        <f>COUNTIF(Netlist!$D$4:$D$1448,$A196)</f>
        <v>5</v>
      </c>
      <c r="C196" s="107">
        <v>5</v>
      </c>
      <c r="D196" s="1" t="s">
        <v>3659</v>
      </c>
      <c r="E196" s="4" t="s">
        <v>3772</v>
      </c>
    </row>
    <row r="197" spans="1:5" x14ac:dyDescent="0.2">
      <c r="A197" s="1" t="s">
        <v>2911</v>
      </c>
      <c r="B197" s="107">
        <f>COUNTIF(Netlist!$D$4:$D$1448,$A197)</f>
        <v>2</v>
      </c>
      <c r="C197" s="107">
        <v>2</v>
      </c>
      <c r="D197" s="1" t="s">
        <v>3659</v>
      </c>
      <c r="E197" s="4" t="s">
        <v>3773</v>
      </c>
    </row>
    <row r="198" spans="1:5" x14ac:dyDescent="0.2">
      <c r="A198" s="1" t="s">
        <v>2914</v>
      </c>
      <c r="B198" s="107">
        <f>COUNTIF(Netlist!$D$4:$D$1448,$A198)</f>
        <v>2</v>
      </c>
      <c r="C198" s="107">
        <v>2</v>
      </c>
      <c r="D198" s="1" t="s">
        <v>3659</v>
      </c>
      <c r="E198" s="4" t="s">
        <v>3774</v>
      </c>
    </row>
    <row r="199" spans="1:5" x14ac:dyDescent="0.2">
      <c r="A199" s="1" t="s">
        <v>2688</v>
      </c>
      <c r="B199" s="107">
        <f>COUNTIF(Netlist!$D$4:$D$1448,$A199)</f>
        <v>7</v>
      </c>
      <c r="C199" s="107">
        <v>7</v>
      </c>
      <c r="D199" s="1" t="s">
        <v>3659</v>
      </c>
      <c r="E199" s="4" t="s">
        <v>3775</v>
      </c>
    </row>
    <row r="200" spans="1:5" x14ac:dyDescent="0.2">
      <c r="A200" s="1" t="s">
        <v>2694</v>
      </c>
      <c r="B200" s="107">
        <f>COUNTIF(Netlist!$D$4:$D$1448,$A200)</f>
        <v>7</v>
      </c>
      <c r="C200" s="107">
        <v>7</v>
      </c>
      <c r="D200" s="1" t="s">
        <v>3659</v>
      </c>
      <c r="E200" s="4" t="s">
        <v>3776</v>
      </c>
    </row>
    <row r="201" spans="1:5" x14ac:dyDescent="0.2">
      <c r="A201" s="1" t="s">
        <v>2685</v>
      </c>
      <c r="B201" s="107">
        <f>COUNTIF(Netlist!$D$4:$D$1448,$A201)</f>
        <v>7</v>
      </c>
      <c r="C201" s="107">
        <v>7</v>
      </c>
      <c r="D201" s="1" t="s">
        <v>3659</v>
      </c>
      <c r="E201" s="4" t="s">
        <v>3777</v>
      </c>
    </row>
    <row r="202" spans="1:5" x14ac:dyDescent="0.2">
      <c r="A202" s="1" t="s">
        <v>2691</v>
      </c>
      <c r="B202" s="107">
        <f>COUNTIF(Netlist!$D$4:$D$1448,$A202)</f>
        <v>7</v>
      </c>
      <c r="C202" s="107">
        <v>7</v>
      </c>
      <c r="D202" s="1" t="s">
        <v>3659</v>
      </c>
      <c r="E202" s="4" t="s">
        <v>3778</v>
      </c>
    </row>
    <row r="203" spans="1:5" x14ac:dyDescent="0.2">
      <c r="A203" s="1" t="s">
        <v>2409</v>
      </c>
      <c r="B203" s="107">
        <f>COUNTIF(Netlist!$D$4:$D$1448,$A203)</f>
        <v>4</v>
      </c>
      <c r="C203" s="107">
        <v>4</v>
      </c>
      <c r="D203" s="1" t="s">
        <v>3659</v>
      </c>
      <c r="E203" s="4" t="s">
        <v>3779</v>
      </c>
    </row>
    <row r="204" spans="1:5" x14ac:dyDescent="0.2">
      <c r="A204" s="1" t="s">
        <v>2406</v>
      </c>
      <c r="B204" s="107">
        <f>COUNTIF(Netlist!$D$4:$D$1448,$A204)</f>
        <v>4</v>
      </c>
      <c r="C204" s="107">
        <v>4</v>
      </c>
      <c r="D204" s="1" t="s">
        <v>3659</v>
      </c>
      <c r="E204" s="4" t="s">
        <v>3780</v>
      </c>
    </row>
    <row r="205" spans="1:5" x14ac:dyDescent="0.2">
      <c r="A205" s="1" t="s">
        <v>2698</v>
      </c>
      <c r="B205" s="107">
        <f>COUNTIF(Netlist!$D$4:$D$1448,$A205)</f>
        <v>2</v>
      </c>
      <c r="C205" s="107">
        <v>2</v>
      </c>
      <c r="D205" s="1" t="s">
        <v>3659</v>
      </c>
      <c r="E205" s="4" t="s">
        <v>3781</v>
      </c>
    </row>
    <row r="206" spans="1:5" x14ac:dyDescent="0.2">
      <c r="A206" s="1" t="s">
        <v>2413</v>
      </c>
      <c r="B206" s="107">
        <f>COUNTIF(Netlist!$D$4:$D$1448,$A206)</f>
        <v>4</v>
      </c>
      <c r="C206" s="107">
        <v>4</v>
      </c>
      <c r="D206" s="1" t="s">
        <v>3659</v>
      </c>
      <c r="E206" s="4" t="s">
        <v>3782</v>
      </c>
    </row>
    <row r="207" spans="1:5" x14ac:dyDescent="0.2">
      <c r="A207" s="1" t="s">
        <v>2411</v>
      </c>
      <c r="B207" s="107">
        <f>COUNTIF(Netlist!$D$4:$D$1448,$A207)</f>
        <v>4</v>
      </c>
      <c r="C207" s="107">
        <v>4</v>
      </c>
      <c r="D207" s="1" t="s">
        <v>3659</v>
      </c>
      <c r="E207" s="4" t="s">
        <v>3783</v>
      </c>
    </row>
    <row r="208" spans="1:5" x14ac:dyDescent="0.2">
      <c r="A208" s="1" t="s">
        <v>2696</v>
      </c>
      <c r="B208" s="107">
        <f>COUNTIF(Netlist!$D$4:$D$1448,$A208)</f>
        <v>2</v>
      </c>
      <c r="C208" s="107">
        <v>2</v>
      </c>
      <c r="D208" s="1" t="s">
        <v>3659</v>
      </c>
      <c r="E208" s="4" t="s">
        <v>3784</v>
      </c>
    </row>
    <row r="209" spans="1:5" x14ac:dyDescent="0.2">
      <c r="A209" s="1" t="s">
        <v>3101</v>
      </c>
      <c r="B209" s="107">
        <f>COUNTIF(Netlist!$D$4:$D$1448,$A209)</f>
        <v>3</v>
      </c>
      <c r="C209" s="107">
        <v>3</v>
      </c>
      <c r="D209" s="1" t="s">
        <v>3659</v>
      </c>
      <c r="E209" s="4" t="s">
        <v>3785</v>
      </c>
    </row>
    <row r="210" spans="1:5" x14ac:dyDescent="0.2">
      <c r="A210" s="1" t="s">
        <v>2374</v>
      </c>
      <c r="B210" s="107">
        <f>COUNTIF(Netlist!$D$4:$D$1448,$A210)</f>
        <v>2</v>
      </c>
      <c r="C210" s="107">
        <v>2</v>
      </c>
      <c r="D210" s="1" t="s">
        <v>3659</v>
      </c>
      <c r="E210" s="4" t="s">
        <v>3786</v>
      </c>
    </row>
    <row r="211" spans="1:5" x14ac:dyDescent="0.2">
      <c r="A211" s="1" t="s">
        <v>2966</v>
      </c>
      <c r="B211" s="107">
        <f>COUNTIF(Netlist!$D$4:$D$1448,$A211)</f>
        <v>4</v>
      </c>
      <c r="C211" s="107">
        <v>4</v>
      </c>
      <c r="D211" s="1" t="s">
        <v>3659</v>
      </c>
      <c r="E211" s="4" t="s">
        <v>3787</v>
      </c>
    </row>
    <row r="212" spans="1:5" x14ac:dyDescent="0.2">
      <c r="A212" s="1" t="s">
        <v>2959</v>
      </c>
      <c r="B212" s="107">
        <f>COUNTIF(Netlist!$D$4:$D$1448,$A212)</f>
        <v>3</v>
      </c>
      <c r="C212" s="107">
        <v>3</v>
      </c>
      <c r="D212" s="1" t="s">
        <v>3659</v>
      </c>
      <c r="E212" s="4" t="s">
        <v>3788</v>
      </c>
    </row>
    <row r="213" spans="1:5" x14ac:dyDescent="0.2">
      <c r="A213" s="1" t="s">
        <v>2604</v>
      </c>
      <c r="B213" s="107">
        <f>COUNTIF(Netlist!$D$4:$D$1448,$A213)</f>
        <v>2</v>
      </c>
      <c r="C213" s="107">
        <v>2</v>
      </c>
      <c r="D213" s="1" t="s">
        <v>3659</v>
      </c>
      <c r="E213" s="4" t="s">
        <v>3789</v>
      </c>
    </row>
    <row r="214" spans="1:5" x14ac:dyDescent="0.2">
      <c r="A214" s="1" t="s">
        <v>2611</v>
      </c>
      <c r="B214" s="107">
        <f>COUNTIF(Netlist!$D$4:$D$1448,$A214)</f>
        <v>2</v>
      </c>
      <c r="C214" s="107">
        <v>2</v>
      </c>
      <c r="D214" s="1" t="s">
        <v>3659</v>
      </c>
      <c r="E214" s="4" t="s">
        <v>3790</v>
      </c>
    </row>
    <row r="215" spans="1:5" x14ac:dyDescent="0.2">
      <c r="A215" s="1" t="s">
        <v>2615</v>
      </c>
      <c r="B215" s="107">
        <f>COUNTIF(Netlist!$D$4:$D$1448,$A215)</f>
        <v>2</v>
      </c>
      <c r="C215" s="107">
        <v>2</v>
      </c>
      <c r="D215" s="1" t="s">
        <v>3659</v>
      </c>
      <c r="E215" s="4" t="s">
        <v>3791</v>
      </c>
    </row>
    <row r="216" spans="1:5" x14ac:dyDescent="0.2">
      <c r="A216" s="1" t="s">
        <v>2619</v>
      </c>
      <c r="B216" s="107">
        <f>COUNTIF(Netlist!$D$4:$D$1448,$A216)</f>
        <v>2</v>
      </c>
      <c r="C216" s="107">
        <v>2</v>
      </c>
      <c r="D216" s="1" t="s">
        <v>3659</v>
      </c>
      <c r="E216" s="4" t="s">
        <v>3792</v>
      </c>
    </row>
    <row r="217" spans="1:5" x14ac:dyDescent="0.2">
      <c r="A217" s="1" t="s">
        <v>2392</v>
      </c>
      <c r="B217" s="107">
        <f>COUNTIF(Netlist!$D$4:$D$1448,$A217)</f>
        <v>4</v>
      </c>
      <c r="C217" s="107">
        <v>4</v>
      </c>
      <c r="D217" s="1" t="s">
        <v>3659</v>
      </c>
      <c r="E217" s="4" t="s">
        <v>3793</v>
      </c>
    </row>
    <row r="218" spans="1:5" x14ac:dyDescent="0.2">
      <c r="A218" s="1" t="s">
        <v>2396</v>
      </c>
      <c r="B218" s="107">
        <f>COUNTIF(Netlist!$D$4:$D$1448,$A218)</f>
        <v>4</v>
      </c>
      <c r="C218" s="107">
        <v>4</v>
      </c>
      <c r="D218" s="1" t="s">
        <v>3659</v>
      </c>
      <c r="E218" s="4" t="s">
        <v>3794</v>
      </c>
    </row>
    <row r="219" spans="1:5" x14ac:dyDescent="0.2">
      <c r="A219" s="1" t="s">
        <v>2389</v>
      </c>
      <c r="B219" s="107">
        <f>COUNTIF(Netlist!$D$4:$D$1448,$A219)</f>
        <v>4</v>
      </c>
      <c r="C219" s="107">
        <v>4</v>
      </c>
      <c r="D219" s="1" t="s">
        <v>3659</v>
      </c>
      <c r="E219" s="4" t="s">
        <v>3795</v>
      </c>
    </row>
    <row r="220" spans="1:5" x14ac:dyDescent="0.2">
      <c r="A220" s="1" t="s">
        <v>2394</v>
      </c>
      <c r="B220" s="107">
        <f>COUNTIF(Netlist!$D$4:$D$1448,$A220)</f>
        <v>4</v>
      </c>
      <c r="C220" s="107">
        <v>4</v>
      </c>
      <c r="D220" s="1" t="s">
        <v>3659</v>
      </c>
      <c r="E220" s="4" t="s">
        <v>3796</v>
      </c>
    </row>
    <row r="221" spans="1:5" x14ac:dyDescent="0.2">
      <c r="A221" s="1" t="s">
        <v>2678</v>
      </c>
      <c r="B221" s="107">
        <f>COUNTIF(Netlist!$D$4:$D$1448,$A221)</f>
        <v>3</v>
      </c>
      <c r="C221" s="107">
        <v>3</v>
      </c>
      <c r="D221" s="1" t="s">
        <v>3659</v>
      </c>
      <c r="E221" s="4" t="s">
        <v>3797</v>
      </c>
    </row>
    <row r="222" spans="1:5" x14ac:dyDescent="0.2">
      <c r="A222" s="1" t="s">
        <v>2431</v>
      </c>
      <c r="B222" s="107">
        <f>COUNTIF(Netlist!$D$4:$D$1448,$A222)</f>
        <v>4</v>
      </c>
      <c r="C222" s="107">
        <v>4</v>
      </c>
      <c r="D222" s="1" t="s">
        <v>3659</v>
      </c>
      <c r="E222" s="4" t="s">
        <v>3798</v>
      </c>
    </row>
    <row r="223" spans="1:5" x14ac:dyDescent="0.2">
      <c r="A223" s="1" t="s">
        <v>2429</v>
      </c>
      <c r="B223" s="107">
        <f>COUNTIF(Netlist!$D$4:$D$1448,$A223)</f>
        <v>4</v>
      </c>
      <c r="C223" s="107">
        <v>4</v>
      </c>
      <c r="D223" s="1" t="s">
        <v>3659</v>
      </c>
      <c r="E223" s="4" t="s">
        <v>3799</v>
      </c>
    </row>
    <row r="224" spans="1:5" x14ac:dyDescent="0.2">
      <c r="A224" s="1" t="s">
        <v>2427</v>
      </c>
      <c r="B224" s="107">
        <f>COUNTIF(Netlist!$D$4:$D$1448,$A224)</f>
        <v>4</v>
      </c>
      <c r="C224" s="107">
        <v>4</v>
      </c>
      <c r="D224" s="1" t="s">
        <v>3659</v>
      </c>
      <c r="E224" s="4" t="s">
        <v>3800</v>
      </c>
    </row>
    <row r="225" spans="1:5" x14ac:dyDescent="0.2">
      <c r="A225" s="1" t="s">
        <v>2424</v>
      </c>
      <c r="B225" s="107">
        <f>COUNTIF(Netlist!$D$4:$D$1448,$A225)</f>
        <v>4</v>
      </c>
      <c r="C225" s="107">
        <v>4</v>
      </c>
      <c r="D225" s="1" t="s">
        <v>3659</v>
      </c>
      <c r="E225" s="4" t="s">
        <v>3801</v>
      </c>
    </row>
    <row r="226" spans="1:5" x14ac:dyDescent="0.2">
      <c r="A226" s="1" t="s">
        <v>2439</v>
      </c>
      <c r="B226" s="107">
        <f>COUNTIF(Netlist!$D$4:$D$1448,$A226)</f>
        <v>4</v>
      </c>
      <c r="C226" s="107">
        <v>4</v>
      </c>
      <c r="D226" s="1" t="s">
        <v>3659</v>
      </c>
      <c r="E226" s="4" t="s">
        <v>3802</v>
      </c>
    </row>
    <row r="227" spans="1:5" x14ac:dyDescent="0.2">
      <c r="A227" s="1" t="s">
        <v>2437</v>
      </c>
      <c r="B227" s="107">
        <f>COUNTIF(Netlist!$D$4:$D$1448,$A227)</f>
        <v>4</v>
      </c>
      <c r="C227" s="107">
        <v>4</v>
      </c>
      <c r="D227" s="1" t="s">
        <v>3659</v>
      </c>
      <c r="E227" s="4" t="s">
        <v>3803</v>
      </c>
    </row>
    <row r="228" spans="1:5" x14ac:dyDescent="0.2">
      <c r="A228" s="1" t="s">
        <v>2435</v>
      </c>
      <c r="B228" s="107">
        <f>COUNTIF(Netlist!$D$4:$D$1448,$A228)</f>
        <v>4</v>
      </c>
      <c r="C228" s="107">
        <v>4</v>
      </c>
      <c r="D228" s="1" t="s">
        <v>3659</v>
      </c>
      <c r="E228" s="4" t="s">
        <v>3804</v>
      </c>
    </row>
    <row r="229" spans="1:5" x14ac:dyDescent="0.2">
      <c r="A229" s="1" t="s">
        <v>2433</v>
      </c>
      <c r="B229" s="107">
        <f>COUNTIF(Netlist!$D$4:$D$1448,$A229)</f>
        <v>4</v>
      </c>
      <c r="C229" s="107">
        <v>4</v>
      </c>
      <c r="D229" s="1" t="s">
        <v>3659</v>
      </c>
      <c r="E229" s="4" t="s">
        <v>3805</v>
      </c>
    </row>
    <row r="230" spans="1:5" x14ac:dyDescent="0.2">
      <c r="A230" s="1" t="s">
        <v>2384</v>
      </c>
      <c r="B230" s="107">
        <f>COUNTIF(Netlist!$D$4:$D$1448,$A230)</f>
        <v>5</v>
      </c>
      <c r="C230" s="107">
        <v>5</v>
      </c>
      <c r="D230" s="1" t="s">
        <v>3659</v>
      </c>
      <c r="E230" s="4" t="s">
        <v>3806</v>
      </c>
    </row>
    <row r="231" spans="1:5" x14ac:dyDescent="0.2">
      <c r="A231" s="1" t="s">
        <v>2501</v>
      </c>
      <c r="B231" s="107">
        <f>COUNTIF(Netlist!$D$4:$D$1448,$A231)</f>
        <v>2</v>
      </c>
      <c r="C231" s="107">
        <v>2</v>
      </c>
      <c r="D231" s="1" t="s">
        <v>3659</v>
      </c>
      <c r="E231" s="4" t="s">
        <v>3807</v>
      </c>
    </row>
    <row r="232" spans="1:5" x14ac:dyDescent="0.2">
      <c r="A232" s="1" t="s">
        <v>2498</v>
      </c>
      <c r="B232" s="107">
        <f>COUNTIF(Netlist!$D$4:$D$1448,$A232)</f>
        <v>2</v>
      </c>
      <c r="C232" s="107">
        <v>2</v>
      </c>
      <c r="D232" s="1" t="s">
        <v>3659</v>
      </c>
      <c r="E232" s="4" t="s">
        <v>3808</v>
      </c>
    </row>
    <row r="233" spans="1:5" x14ac:dyDescent="0.2">
      <c r="A233" s="1" t="s">
        <v>2671</v>
      </c>
      <c r="B233" s="107">
        <f>COUNTIF(Netlist!$D$4:$D$1448,$A233)</f>
        <v>7</v>
      </c>
      <c r="C233" s="107">
        <v>7</v>
      </c>
      <c r="D233" s="1" t="s">
        <v>3659</v>
      </c>
      <c r="E233" s="4" t="s">
        <v>3809</v>
      </c>
    </row>
    <row r="234" spans="1:5" x14ac:dyDescent="0.2">
      <c r="A234" s="1" t="s">
        <v>3002</v>
      </c>
      <c r="B234" s="107">
        <f>COUNTIF(Netlist!$D$4:$D$1448,$A234)</f>
        <v>2</v>
      </c>
      <c r="C234" s="107">
        <v>2</v>
      </c>
      <c r="D234" s="1" t="s">
        <v>3659</v>
      </c>
      <c r="E234" s="4" t="s">
        <v>3810</v>
      </c>
    </row>
    <row r="235" spans="1:5" x14ac:dyDescent="0.2">
      <c r="A235" s="1" t="s">
        <v>2675</v>
      </c>
      <c r="B235" s="107">
        <f>COUNTIF(Netlist!$D$4:$D$1448,$A235)</f>
        <v>6</v>
      </c>
      <c r="C235" s="107">
        <v>6</v>
      </c>
      <c r="D235" s="1" t="s">
        <v>3659</v>
      </c>
      <c r="E235" s="4" t="s">
        <v>3811</v>
      </c>
    </row>
    <row r="236" spans="1:5" x14ac:dyDescent="0.2">
      <c r="A236" s="1" t="s">
        <v>3005</v>
      </c>
      <c r="B236" s="107">
        <f>COUNTIF(Netlist!$D$4:$D$1448,$A236)</f>
        <v>2</v>
      </c>
      <c r="C236" s="107">
        <v>2</v>
      </c>
      <c r="D236" s="1" t="s">
        <v>3659</v>
      </c>
      <c r="E236" s="4" t="s">
        <v>3812</v>
      </c>
    </row>
    <row r="237" spans="1:5" x14ac:dyDescent="0.2">
      <c r="A237" s="1" t="s">
        <v>2985</v>
      </c>
      <c r="B237" s="107">
        <f>COUNTIF(Netlist!$D$4:$D$1448,$A237)</f>
        <v>2</v>
      </c>
      <c r="C237" s="107">
        <v>2</v>
      </c>
      <c r="D237" s="1" t="s">
        <v>3659</v>
      </c>
      <c r="E237" s="4" t="s">
        <v>3813</v>
      </c>
    </row>
    <row r="238" spans="1:5" x14ac:dyDescent="0.2">
      <c r="A238" s="1" t="s">
        <v>2972</v>
      </c>
      <c r="B238" s="107">
        <f>COUNTIF(Netlist!$D$4:$D$1448,$A238)</f>
        <v>3</v>
      </c>
      <c r="C238" s="107">
        <v>3</v>
      </c>
      <c r="D238" s="1" t="s">
        <v>3659</v>
      </c>
      <c r="E238" s="4" t="s">
        <v>3814</v>
      </c>
    </row>
    <row r="239" spans="1:5" x14ac:dyDescent="0.2">
      <c r="A239" s="1" t="s">
        <v>2988</v>
      </c>
      <c r="B239" s="107">
        <f>COUNTIF(Netlist!$D$4:$D$1448,$A239)</f>
        <v>3</v>
      </c>
      <c r="C239" s="107">
        <v>3</v>
      </c>
      <c r="D239" s="1" t="s">
        <v>3659</v>
      </c>
      <c r="E239" s="4" t="s">
        <v>3815</v>
      </c>
    </row>
    <row r="240" spans="1:5" x14ac:dyDescent="0.2">
      <c r="A240" s="1" t="s">
        <v>2977</v>
      </c>
      <c r="B240" s="107">
        <f>COUNTIF(Netlist!$D$4:$D$1448,$A240)</f>
        <v>4</v>
      </c>
      <c r="C240" s="107">
        <v>4</v>
      </c>
      <c r="D240" s="1" t="s">
        <v>3659</v>
      </c>
      <c r="E240" s="4" t="s">
        <v>3816</v>
      </c>
    </row>
    <row r="241" spans="1:5" x14ac:dyDescent="0.2">
      <c r="A241" s="1" t="s">
        <v>2993</v>
      </c>
      <c r="B241" s="107">
        <f>COUNTIF(Netlist!$D$4:$D$1448,$A241)</f>
        <v>4</v>
      </c>
      <c r="C241" s="107">
        <v>4</v>
      </c>
      <c r="D241" s="1" t="s">
        <v>3659</v>
      </c>
      <c r="E241" s="4" t="s">
        <v>3817</v>
      </c>
    </row>
    <row r="242" spans="1:5" x14ac:dyDescent="0.2">
      <c r="A242" s="1" t="s">
        <v>3109</v>
      </c>
      <c r="B242" s="107">
        <f>COUNTIF(Netlist!$D$4:$D$1448,$A242)</f>
        <v>6</v>
      </c>
      <c r="C242" s="107">
        <v>6</v>
      </c>
      <c r="D242" s="1" t="s">
        <v>3659</v>
      </c>
      <c r="E242" s="4" t="s">
        <v>3818</v>
      </c>
    </row>
    <row r="243" spans="1:5" x14ac:dyDescent="0.2">
      <c r="A243" s="1" t="s">
        <v>3104</v>
      </c>
      <c r="B243" s="107">
        <f>COUNTIF(Netlist!$D$4:$D$1448,$A243)</f>
        <v>6</v>
      </c>
      <c r="C243" s="107">
        <v>6</v>
      </c>
      <c r="D243" s="1" t="s">
        <v>3659</v>
      </c>
      <c r="E243" s="4" t="s">
        <v>3819</v>
      </c>
    </row>
    <row r="244" spans="1:5" x14ac:dyDescent="0.2">
      <c r="A244" s="1" t="s">
        <v>3098</v>
      </c>
      <c r="B244" s="107">
        <f>COUNTIF(Netlist!$D$4:$D$1448,$A244)</f>
        <v>6</v>
      </c>
      <c r="C244" s="107">
        <v>6</v>
      </c>
      <c r="D244" s="1" t="s">
        <v>3659</v>
      </c>
      <c r="E244" s="4" t="s">
        <v>3820</v>
      </c>
    </row>
    <row r="245" spans="1:5" x14ac:dyDescent="0.2">
      <c r="A245" s="1" t="s">
        <v>3093</v>
      </c>
      <c r="B245" s="107">
        <f>COUNTIF(Netlist!$D$4:$D$1448,$A245)</f>
        <v>7</v>
      </c>
      <c r="C245" s="107">
        <v>7</v>
      </c>
      <c r="D245" s="1" t="s">
        <v>3659</v>
      </c>
      <c r="E245" s="4" t="s">
        <v>3821</v>
      </c>
    </row>
    <row r="246" spans="1:5" x14ac:dyDescent="0.2">
      <c r="A246" s="1" t="s">
        <v>3073</v>
      </c>
      <c r="B246" s="107">
        <f>COUNTIF(Netlist!$D$4:$D$1448,$A246)</f>
        <v>6</v>
      </c>
      <c r="C246" s="107">
        <v>6</v>
      </c>
      <c r="D246" s="1" t="s">
        <v>3659</v>
      </c>
      <c r="E246" s="4" t="s">
        <v>3822</v>
      </c>
    </row>
    <row r="247" spans="1:5" x14ac:dyDescent="0.2">
      <c r="A247" s="1" t="s">
        <v>2513</v>
      </c>
      <c r="B247" s="107">
        <f>COUNTIF(Netlist!$D$4:$D$1448,$A247)</f>
        <v>2</v>
      </c>
      <c r="C247" s="107">
        <v>2</v>
      </c>
      <c r="D247" s="1" t="s">
        <v>3659</v>
      </c>
      <c r="E247" s="4" t="s">
        <v>3823</v>
      </c>
    </row>
    <row r="248" spans="1:5" x14ac:dyDescent="0.2">
      <c r="A248" s="1" t="s">
        <v>2515</v>
      </c>
      <c r="B248" s="107">
        <f>COUNTIF(Netlist!$D$4:$D$1448,$A248)</f>
        <v>2</v>
      </c>
      <c r="C248" s="107">
        <v>2</v>
      </c>
      <c r="D248" s="1" t="s">
        <v>3659</v>
      </c>
      <c r="E248" s="4" t="s">
        <v>3824</v>
      </c>
    </row>
    <row r="249" spans="1:5" x14ac:dyDescent="0.2">
      <c r="A249" s="1" t="s">
        <v>2594</v>
      </c>
      <c r="B249" s="107">
        <f>COUNTIF(Netlist!$D$4:$D$1448,$A249)</f>
        <v>2</v>
      </c>
      <c r="C249" s="107">
        <v>2</v>
      </c>
      <c r="D249" s="1" t="s">
        <v>3659</v>
      </c>
      <c r="E249" s="4" t="s">
        <v>3825</v>
      </c>
    </row>
    <row r="250" spans="1:5" ht="40.5" customHeight="1" x14ac:dyDescent="0.2">
      <c r="A250" s="1" t="s">
        <v>2469</v>
      </c>
      <c r="B250" s="107">
        <f>COUNTIF(Netlist!$D$4:$D$1448,$A250)</f>
        <v>43</v>
      </c>
      <c r="C250" s="107">
        <v>43</v>
      </c>
      <c r="D250" s="1" t="s">
        <v>3826</v>
      </c>
      <c r="E250" s="4" t="s">
        <v>3827</v>
      </c>
    </row>
    <row r="251" spans="1:5" x14ac:dyDescent="0.2">
      <c r="A251" s="1"/>
      <c r="B251" s="107"/>
      <c r="C251" s="107"/>
      <c r="D251" s="1"/>
      <c r="E251" s="1"/>
    </row>
    <row r="252" spans="1:5" x14ac:dyDescent="0.2">
      <c r="A252" s="108" t="s">
        <v>3828</v>
      </c>
      <c r="B252" s="109">
        <f>SUM(B4:B250)</f>
        <v>1445</v>
      </c>
      <c r="C252" s="109">
        <f>SUM(C4:C250)</f>
        <v>1445</v>
      </c>
      <c r="D252" s="108" t="str" cm="1">
        <f t="array" ref="D252">IF(SUMPRODUCT(--(B4:B250&lt;&gt;C4:C250))=0,"all nets match","nets differ: "&amp;SUMPRODUCT(--(B4:B250&lt;&gt;C4:C250)))</f>
        <v>all nets match</v>
      </c>
      <c r="E252" s="108"/>
    </row>
  </sheetData>
  <mergeCells count="2">
    <mergeCell ref="A1:E1"/>
    <mergeCell ref="A2:E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C5B43-C2AF-4481-8642-EB9C80F5FD62}">
  <dimension ref="A1:K193"/>
  <sheetViews>
    <sheetView workbookViewId="0">
      <pane xSplit="1" ySplit="3" topLeftCell="B4" activePane="bottomRight" state="frozen"/>
      <selection pane="topRight"/>
      <selection pane="bottomLeft"/>
      <selection pane="bottomRight" sqref="A1:K1"/>
    </sheetView>
  </sheetViews>
  <sheetFormatPr baseColWidth="10" defaultColWidth="8.83203125" defaultRowHeight="15" x14ac:dyDescent="0.2"/>
  <cols>
    <col min="1" max="1" width="20.6640625" customWidth="1"/>
    <col min="2" max="2" width="26.6640625" customWidth="1"/>
    <col min="3" max="3" width="14.6640625" customWidth="1"/>
    <col min="4" max="4" width="22.6640625" customWidth="1"/>
    <col min="5" max="5" width="36.6640625" customWidth="1"/>
    <col min="6" max="6" width="44.6640625" customWidth="1"/>
    <col min="7" max="7" width="18.6640625" customWidth="1"/>
    <col min="8" max="8" width="10.6640625" customWidth="1"/>
    <col min="9" max="9" width="50.6640625" customWidth="1"/>
    <col min="10" max="10" width="12.6640625" customWidth="1"/>
    <col min="11" max="11" width="30.6640625" customWidth="1"/>
  </cols>
  <sheetData>
    <row r="1" spans="1:11" ht="21.75" customHeight="1" x14ac:dyDescent="0.2">
      <c r="A1" s="156" t="s">
        <v>3829</v>
      </c>
      <c r="B1" s="157"/>
      <c r="C1" s="157"/>
      <c r="D1" s="157"/>
      <c r="E1" s="157"/>
      <c r="F1" s="157"/>
      <c r="G1" s="157"/>
      <c r="H1" s="157"/>
      <c r="I1" s="157"/>
      <c r="J1" s="157"/>
      <c r="K1" s="157"/>
    </row>
    <row r="2" spans="1:11" ht="44.25" customHeight="1" x14ac:dyDescent="0.2">
      <c r="A2" s="155" t="s">
        <v>3830</v>
      </c>
      <c r="B2" s="157"/>
      <c r="C2" s="157"/>
      <c r="D2" s="157"/>
      <c r="E2" s="157"/>
      <c r="F2" s="157"/>
      <c r="G2" s="157"/>
      <c r="H2" s="157"/>
      <c r="I2" s="157"/>
      <c r="J2" s="157"/>
      <c r="K2" s="157"/>
    </row>
    <row r="3" spans="1:11" ht="30" customHeight="1" x14ac:dyDescent="0.2">
      <c r="A3" s="3" t="s">
        <v>119</v>
      </c>
      <c r="B3" s="3" t="s">
        <v>1937</v>
      </c>
      <c r="C3" s="3" t="s">
        <v>122</v>
      </c>
      <c r="D3" s="3" t="s">
        <v>3831</v>
      </c>
      <c r="E3" s="3" t="s">
        <v>3832</v>
      </c>
      <c r="F3" s="3" t="s">
        <v>3833</v>
      </c>
      <c r="G3" s="3" t="s">
        <v>3834</v>
      </c>
      <c r="H3" s="3" t="s">
        <v>4</v>
      </c>
      <c r="I3" s="3" t="s">
        <v>1973</v>
      </c>
      <c r="J3" s="3" t="s">
        <v>3835</v>
      </c>
      <c r="K3" s="3" t="s">
        <v>127</v>
      </c>
    </row>
    <row r="4" spans="1:11" ht="40.5" customHeight="1" x14ac:dyDescent="0.2">
      <c r="A4" s="4" t="s">
        <v>226</v>
      </c>
      <c r="B4" s="4" t="s">
        <v>3836</v>
      </c>
      <c r="C4" s="5" t="s">
        <v>154</v>
      </c>
      <c r="D4" s="5" t="s">
        <v>3837</v>
      </c>
      <c r="E4" s="5" t="s">
        <v>3838</v>
      </c>
      <c r="F4" s="5" t="s">
        <v>3839</v>
      </c>
      <c r="G4" s="5" t="s">
        <v>3840</v>
      </c>
      <c r="H4" s="45" t="s">
        <v>3841</v>
      </c>
      <c r="I4" s="4" t="s">
        <v>3842</v>
      </c>
      <c r="J4" s="110"/>
      <c r="K4" s="20" t="s">
        <v>3843</v>
      </c>
    </row>
    <row r="5" spans="1:11" ht="40.5" customHeight="1" x14ac:dyDescent="0.2">
      <c r="A5" s="4" t="s">
        <v>235</v>
      </c>
      <c r="B5" s="4" t="s">
        <v>3836</v>
      </c>
      <c r="C5" s="5" t="s">
        <v>154</v>
      </c>
      <c r="D5" s="5" t="s">
        <v>3837</v>
      </c>
      <c r="E5" s="5" t="s">
        <v>3838</v>
      </c>
      <c r="F5" s="5" t="s">
        <v>3844</v>
      </c>
      <c r="G5" s="5" t="s">
        <v>3845</v>
      </c>
      <c r="H5" s="45" t="s">
        <v>3841</v>
      </c>
      <c r="I5" s="4" t="s">
        <v>3846</v>
      </c>
      <c r="J5" s="110"/>
      <c r="K5" s="20" t="s">
        <v>3843</v>
      </c>
    </row>
    <row r="6" spans="1:11" ht="40.5" customHeight="1" x14ac:dyDescent="0.2">
      <c r="A6" s="4" t="s">
        <v>3847</v>
      </c>
      <c r="B6" s="4" t="s">
        <v>3836</v>
      </c>
      <c r="C6" s="5" t="s">
        <v>154</v>
      </c>
      <c r="D6" s="5" t="s">
        <v>3837</v>
      </c>
      <c r="E6" s="5" t="s">
        <v>3838</v>
      </c>
      <c r="F6" s="5" t="s">
        <v>3848</v>
      </c>
      <c r="G6" s="5" t="s">
        <v>3849</v>
      </c>
      <c r="H6" s="45" t="s">
        <v>3841</v>
      </c>
      <c r="I6" s="4" t="s">
        <v>3850</v>
      </c>
      <c r="J6" s="110"/>
      <c r="K6" s="20" t="s">
        <v>3843</v>
      </c>
    </row>
    <row r="7" spans="1:11" ht="40.5" customHeight="1" x14ac:dyDescent="0.2">
      <c r="A7" s="4" t="s">
        <v>258</v>
      </c>
      <c r="B7" s="4" t="s">
        <v>262</v>
      </c>
      <c r="C7" s="5" t="s">
        <v>3851</v>
      </c>
      <c r="D7" s="5" t="s">
        <v>3852</v>
      </c>
      <c r="E7" s="5" t="s">
        <v>3853</v>
      </c>
      <c r="F7" s="5" t="s">
        <v>3854</v>
      </c>
      <c r="G7" s="5" t="s">
        <v>3855</v>
      </c>
      <c r="H7" s="45" t="s">
        <v>3841</v>
      </c>
      <c r="I7" s="4" t="s">
        <v>3856</v>
      </c>
      <c r="J7" s="110"/>
      <c r="K7" s="20" t="s">
        <v>3843</v>
      </c>
    </row>
    <row r="8" spans="1:11" ht="27.75" customHeight="1" x14ac:dyDescent="0.2">
      <c r="A8" s="4" t="s">
        <v>283</v>
      </c>
      <c r="B8" s="4" t="s">
        <v>287</v>
      </c>
      <c r="C8" s="5" t="s">
        <v>3857</v>
      </c>
      <c r="D8" s="5" t="s">
        <v>3858</v>
      </c>
      <c r="E8" s="5" t="s">
        <v>3859</v>
      </c>
      <c r="F8" s="5" t="s">
        <v>3860</v>
      </c>
      <c r="G8" s="5" t="s">
        <v>3861</v>
      </c>
      <c r="H8" s="45" t="s">
        <v>3841</v>
      </c>
      <c r="I8" s="4" t="s">
        <v>3862</v>
      </c>
      <c r="J8" s="110"/>
      <c r="K8" s="20" t="s">
        <v>289</v>
      </c>
    </row>
    <row r="9" spans="1:11" ht="40.5" customHeight="1" x14ac:dyDescent="0.2">
      <c r="A9" s="4" t="s">
        <v>422</v>
      </c>
      <c r="B9" s="4" t="s">
        <v>427</v>
      </c>
      <c r="C9" s="5" t="s">
        <v>3863</v>
      </c>
      <c r="D9" s="5" t="s">
        <v>3864</v>
      </c>
      <c r="E9" s="5" t="s">
        <v>3865</v>
      </c>
      <c r="F9" s="5" t="s">
        <v>3866</v>
      </c>
      <c r="G9" s="5" t="s">
        <v>3867</v>
      </c>
      <c r="H9" s="45" t="s">
        <v>3841</v>
      </c>
      <c r="I9" s="4" t="s">
        <v>3868</v>
      </c>
      <c r="J9" s="110"/>
      <c r="K9" s="20" t="s">
        <v>430</v>
      </c>
    </row>
    <row r="10" spans="1:11" ht="27.75" customHeight="1" x14ac:dyDescent="0.2">
      <c r="A10" s="4" t="s">
        <v>422</v>
      </c>
      <c r="B10" s="4" t="s">
        <v>427</v>
      </c>
      <c r="C10" s="5" t="s">
        <v>3869</v>
      </c>
      <c r="D10" s="5" t="s">
        <v>3870</v>
      </c>
      <c r="E10" s="5" t="s">
        <v>3871</v>
      </c>
      <c r="F10" s="5" t="s">
        <v>3872</v>
      </c>
      <c r="G10" s="5" t="s">
        <v>3873</v>
      </c>
      <c r="H10" s="45" t="s">
        <v>3841</v>
      </c>
      <c r="I10" s="4"/>
      <c r="J10" s="110"/>
      <c r="K10" s="20" t="s">
        <v>430</v>
      </c>
    </row>
    <row r="11" spans="1:11" ht="27.75" customHeight="1" x14ac:dyDescent="0.2">
      <c r="A11" s="4" t="s">
        <v>422</v>
      </c>
      <c r="B11" s="4" t="s">
        <v>427</v>
      </c>
      <c r="C11" s="5" t="s">
        <v>3869</v>
      </c>
      <c r="D11" s="5" t="s">
        <v>3874</v>
      </c>
      <c r="E11" s="5" t="s">
        <v>3875</v>
      </c>
      <c r="F11" s="5" t="s">
        <v>3876</v>
      </c>
      <c r="G11" s="5" t="s">
        <v>3855</v>
      </c>
      <c r="H11" s="45" t="s">
        <v>3841</v>
      </c>
      <c r="I11" s="4"/>
      <c r="J11" s="110"/>
      <c r="K11" s="20" t="s">
        <v>430</v>
      </c>
    </row>
    <row r="12" spans="1:11" ht="27.75" customHeight="1" x14ac:dyDescent="0.2">
      <c r="A12" s="4" t="s">
        <v>504</v>
      </c>
      <c r="B12" s="4" t="s">
        <v>509</v>
      </c>
      <c r="C12" s="5" t="s">
        <v>3877</v>
      </c>
      <c r="D12" s="5" t="s">
        <v>3878</v>
      </c>
      <c r="E12" s="5" t="s">
        <v>3879</v>
      </c>
      <c r="F12" s="5" t="s">
        <v>3880</v>
      </c>
      <c r="G12" s="5" t="s">
        <v>3855</v>
      </c>
      <c r="H12" s="45" t="s">
        <v>3841</v>
      </c>
      <c r="I12" s="4" t="s">
        <v>3881</v>
      </c>
      <c r="J12" s="110"/>
      <c r="K12" s="20" t="s">
        <v>511</v>
      </c>
    </row>
    <row r="13" spans="1:11" ht="27.75" customHeight="1" x14ac:dyDescent="0.2">
      <c r="A13" s="4" t="s">
        <v>314</v>
      </c>
      <c r="B13" s="4" t="s">
        <v>318</v>
      </c>
      <c r="C13" s="5" t="s">
        <v>154</v>
      </c>
      <c r="D13" s="5" t="s">
        <v>3882</v>
      </c>
      <c r="E13" s="5" t="s">
        <v>3883</v>
      </c>
      <c r="F13" s="5" t="s">
        <v>3884</v>
      </c>
      <c r="G13" s="5" t="s">
        <v>3885</v>
      </c>
      <c r="H13" s="45" t="s">
        <v>3841</v>
      </c>
      <c r="I13" s="4" t="s">
        <v>3886</v>
      </c>
      <c r="J13" s="110"/>
      <c r="K13" s="20" t="s">
        <v>320</v>
      </c>
    </row>
    <row r="14" spans="1:11" ht="27.75" customHeight="1" x14ac:dyDescent="0.2">
      <c r="A14" s="4" t="s">
        <v>649</v>
      </c>
      <c r="B14" s="4" t="s">
        <v>318</v>
      </c>
      <c r="C14" s="5" t="s">
        <v>154</v>
      </c>
      <c r="D14" s="5" t="s">
        <v>3882</v>
      </c>
      <c r="E14" s="5" t="s">
        <v>3883</v>
      </c>
      <c r="F14" s="5" t="s">
        <v>3887</v>
      </c>
      <c r="G14" s="5" t="s">
        <v>3888</v>
      </c>
      <c r="H14" s="45" t="s">
        <v>3841</v>
      </c>
      <c r="I14" s="4" t="s">
        <v>3886</v>
      </c>
      <c r="J14" s="110"/>
      <c r="K14" s="20" t="s">
        <v>320</v>
      </c>
    </row>
    <row r="15" spans="1:11" ht="40.5" customHeight="1" x14ac:dyDescent="0.2">
      <c r="A15" s="4" t="s">
        <v>3889</v>
      </c>
      <c r="B15" s="4" t="s">
        <v>196</v>
      </c>
      <c r="C15" s="5" t="s">
        <v>154</v>
      </c>
      <c r="D15" s="5" t="s">
        <v>3882</v>
      </c>
      <c r="E15" s="5" t="s">
        <v>3890</v>
      </c>
      <c r="F15" s="5" t="s">
        <v>3884</v>
      </c>
      <c r="G15" s="5" t="s">
        <v>3891</v>
      </c>
      <c r="H15" s="45" t="s">
        <v>3841</v>
      </c>
      <c r="I15" s="4" t="s">
        <v>3886</v>
      </c>
      <c r="J15" s="110" t="s">
        <v>3892</v>
      </c>
      <c r="K15" s="20" t="s">
        <v>3893</v>
      </c>
    </row>
    <row r="16" spans="1:11" ht="40.5" customHeight="1" x14ac:dyDescent="0.2">
      <c r="A16" s="4" t="s">
        <v>3894</v>
      </c>
      <c r="B16" s="4" t="s">
        <v>349</v>
      </c>
      <c r="C16" s="5" t="s">
        <v>347</v>
      </c>
      <c r="D16" s="5" t="s">
        <v>3882</v>
      </c>
      <c r="E16" s="5" t="s">
        <v>3883</v>
      </c>
      <c r="F16" s="5" t="s">
        <v>3884</v>
      </c>
      <c r="G16" s="5" t="s">
        <v>3885</v>
      </c>
      <c r="H16" s="45" t="s">
        <v>3841</v>
      </c>
      <c r="I16" s="4" t="s">
        <v>3886</v>
      </c>
      <c r="J16" s="110" t="s">
        <v>3895</v>
      </c>
      <c r="K16" s="20" t="s">
        <v>3893</v>
      </c>
    </row>
    <row r="17" spans="1:11" ht="27.75" customHeight="1" x14ac:dyDescent="0.2">
      <c r="A17" s="4" t="s">
        <v>328</v>
      </c>
      <c r="B17" s="4" t="s">
        <v>331</v>
      </c>
      <c r="C17" s="5" t="s">
        <v>3896</v>
      </c>
      <c r="D17" s="5" t="s">
        <v>3897</v>
      </c>
      <c r="E17" s="5" t="s">
        <v>3898</v>
      </c>
      <c r="F17" s="5" t="s">
        <v>3899</v>
      </c>
      <c r="G17" s="5" t="s">
        <v>3900</v>
      </c>
      <c r="H17" s="45" t="s">
        <v>3841</v>
      </c>
      <c r="I17" s="4" t="s">
        <v>3901</v>
      </c>
      <c r="J17" s="110"/>
      <c r="K17" s="20" t="s">
        <v>3902</v>
      </c>
    </row>
    <row r="18" spans="1:11" ht="27.75" customHeight="1" x14ac:dyDescent="0.2">
      <c r="A18" s="4" t="s">
        <v>433</v>
      </c>
      <c r="B18" s="4" t="s">
        <v>438</v>
      </c>
      <c r="C18" s="5" t="s">
        <v>3903</v>
      </c>
      <c r="D18" s="5" t="s">
        <v>3904</v>
      </c>
      <c r="E18" s="5" t="s">
        <v>162</v>
      </c>
      <c r="F18" s="5" t="s">
        <v>3905</v>
      </c>
      <c r="G18" s="5" t="s">
        <v>3855</v>
      </c>
      <c r="H18" s="45" t="s">
        <v>3906</v>
      </c>
      <c r="I18" s="4" t="s">
        <v>3907</v>
      </c>
      <c r="J18" s="110"/>
      <c r="K18" s="20" t="s">
        <v>3908</v>
      </c>
    </row>
    <row r="19" spans="1:11" ht="27.75" customHeight="1" x14ac:dyDescent="0.2">
      <c r="A19" s="4" t="s">
        <v>3909</v>
      </c>
      <c r="B19" s="4" t="s">
        <v>357</v>
      </c>
      <c r="C19" s="5" t="s">
        <v>347</v>
      </c>
      <c r="D19" s="5" t="s">
        <v>3910</v>
      </c>
      <c r="E19" s="5" t="s">
        <v>3911</v>
      </c>
      <c r="F19" s="5" t="s">
        <v>3912</v>
      </c>
      <c r="G19" s="5" t="s">
        <v>3913</v>
      </c>
      <c r="H19" s="45" t="s">
        <v>3841</v>
      </c>
      <c r="I19" s="4" t="s">
        <v>3914</v>
      </c>
      <c r="J19" s="110"/>
      <c r="K19" s="20" t="s">
        <v>359</v>
      </c>
    </row>
    <row r="20" spans="1:11" ht="40.5" customHeight="1" x14ac:dyDescent="0.2">
      <c r="A20" s="4" t="s">
        <v>3915</v>
      </c>
      <c r="B20" s="4" t="s">
        <v>3836</v>
      </c>
      <c r="C20" s="5" t="s">
        <v>154</v>
      </c>
      <c r="D20" s="5" t="s">
        <v>3837</v>
      </c>
      <c r="E20" s="5" t="s">
        <v>3916</v>
      </c>
      <c r="F20" s="5" t="s">
        <v>3917</v>
      </c>
      <c r="G20" s="5" t="s">
        <v>3918</v>
      </c>
      <c r="H20" s="45" t="s">
        <v>3841</v>
      </c>
      <c r="I20" s="4"/>
      <c r="J20" s="110" t="s">
        <v>3919</v>
      </c>
      <c r="K20" s="20" t="s">
        <v>3843</v>
      </c>
    </row>
    <row r="21" spans="1:11" ht="40.5" customHeight="1" x14ac:dyDescent="0.2">
      <c r="A21" s="4" t="s">
        <v>3920</v>
      </c>
      <c r="B21" s="4" t="s">
        <v>3836</v>
      </c>
      <c r="C21" s="5" t="s">
        <v>154</v>
      </c>
      <c r="D21" s="5" t="s">
        <v>3837</v>
      </c>
      <c r="E21" s="5" t="s">
        <v>3916</v>
      </c>
      <c r="F21" s="5" t="s">
        <v>3921</v>
      </c>
      <c r="G21" s="5" t="s">
        <v>3922</v>
      </c>
      <c r="H21" s="45" t="s">
        <v>3841</v>
      </c>
      <c r="I21" s="4"/>
      <c r="J21" s="110"/>
      <c r="K21" s="20" t="s">
        <v>3843</v>
      </c>
    </row>
    <row r="22" spans="1:11" ht="27.75" customHeight="1" x14ac:dyDescent="0.2">
      <c r="A22" s="4" t="s">
        <v>588</v>
      </c>
      <c r="B22" s="4" t="s">
        <v>593</v>
      </c>
      <c r="C22" s="5" t="s">
        <v>3923</v>
      </c>
      <c r="D22" s="5" t="s">
        <v>3924</v>
      </c>
      <c r="E22" s="5" t="s">
        <v>3925</v>
      </c>
      <c r="F22" s="5" t="s">
        <v>3926</v>
      </c>
      <c r="G22" s="5" t="s">
        <v>3927</v>
      </c>
      <c r="H22" s="45" t="s">
        <v>3841</v>
      </c>
      <c r="I22" s="4"/>
      <c r="J22" s="110"/>
      <c r="K22" s="20" t="s">
        <v>3928</v>
      </c>
    </row>
    <row r="23" spans="1:11" ht="27.75" customHeight="1" x14ac:dyDescent="0.2">
      <c r="A23" s="4" t="s">
        <v>588</v>
      </c>
      <c r="B23" s="4" t="s">
        <v>593</v>
      </c>
      <c r="C23" s="5" t="s">
        <v>3929</v>
      </c>
      <c r="D23" s="5" t="s">
        <v>3930</v>
      </c>
      <c r="E23" s="5" t="s">
        <v>3931</v>
      </c>
      <c r="F23" s="5" t="s">
        <v>3932</v>
      </c>
      <c r="G23" s="5" t="s">
        <v>3933</v>
      </c>
      <c r="H23" s="45" t="s">
        <v>3934</v>
      </c>
      <c r="I23" s="4" t="s">
        <v>3935</v>
      </c>
      <c r="J23" s="110"/>
      <c r="K23" s="20" t="s">
        <v>3928</v>
      </c>
    </row>
    <row r="24" spans="1:11" ht="40.5" customHeight="1" x14ac:dyDescent="0.2">
      <c r="A24" s="4" t="s">
        <v>588</v>
      </c>
      <c r="B24" s="4" t="s">
        <v>593</v>
      </c>
      <c r="C24" s="5" t="s">
        <v>3929</v>
      </c>
      <c r="D24" s="5" t="s">
        <v>3936</v>
      </c>
      <c r="E24" s="5" t="s">
        <v>3937</v>
      </c>
      <c r="F24" s="5" t="s">
        <v>3938</v>
      </c>
      <c r="G24" s="5" t="s">
        <v>3939</v>
      </c>
      <c r="H24" s="45" t="s">
        <v>3841</v>
      </c>
      <c r="I24" s="4" t="s">
        <v>3940</v>
      </c>
      <c r="J24" s="110"/>
      <c r="K24" s="20" t="s">
        <v>3928</v>
      </c>
    </row>
    <row r="25" spans="1:11" ht="27.75" customHeight="1" x14ac:dyDescent="0.2">
      <c r="A25" s="4" t="s">
        <v>588</v>
      </c>
      <c r="B25" s="4" t="s">
        <v>593</v>
      </c>
      <c r="C25" s="5" t="s">
        <v>3929</v>
      </c>
      <c r="D25" s="5" t="s">
        <v>3904</v>
      </c>
      <c r="E25" s="5" t="s">
        <v>162</v>
      </c>
      <c r="F25" s="5" t="s">
        <v>3941</v>
      </c>
      <c r="G25" s="5" t="s">
        <v>3855</v>
      </c>
      <c r="H25" s="45" t="s">
        <v>3906</v>
      </c>
      <c r="I25" s="4" t="s">
        <v>3907</v>
      </c>
      <c r="J25" s="110"/>
      <c r="K25" s="20" t="s">
        <v>3942</v>
      </c>
    </row>
    <row r="26" spans="1:11" ht="27.75" customHeight="1" x14ac:dyDescent="0.2">
      <c r="A26" s="4" t="s">
        <v>599</v>
      </c>
      <c r="B26" s="4" t="s">
        <v>604</v>
      </c>
      <c r="C26" s="5" t="s">
        <v>602</v>
      </c>
      <c r="D26" s="5" t="s">
        <v>3943</v>
      </c>
      <c r="E26" s="5" t="s">
        <v>3944</v>
      </c>
      <c r="F26" s="5" t="s">
        <v>3945</v>
      </c>
      <c r="G26" s="5" t="s">
        <v>3946</v>
      </c>
      <c r="H26" s="45" t="s">
        <v>3841</v>
      </c>
      <c r="I26" s="4" t="s">
        <v>3947</v>
      </c>
      <c r="J26" s="110"/>
      <c r="K26" s="20" t="s">
        <v>606</v>
      </c>
    </row>
    <row r="27" spans="1:11" ht="27.75" customHeight="1" x14ac:dyDescent="0.2">
      <c r="A27" s="4" t="s">
        <v>599</v>
      </c>
      <c r="B27" s="4" t="s">
        <v>604</v>
      </c>
      <c r="C27" s="5" t="s">
        <v>602</v>
      </c>
      <c r="D27" s="5" t="s">
        <v>3186</v>
      </c>
      <c r="E27" s="5" t="s">
        <v>3948</v>
      </c>
      <c r="F27" s="5" t="s">
        <v>3949</v>
      </c>
      <c r="G27" s="5" t="s">
        <v>3950</v>
      </c>
      <c r="H27" s="45" t="s">
        <v>3841</v>
      </c>
      <c r="I27" s="4" t="s">
        <v>3951</v>
      </c>
      <c r="J27" s="110"/>
      <c r="K27" s="20" t="s">
        <v>606</v>
      </c>
    </row>
    <row r="28" spans="1:11" ht="27.75" customHeight="1" x14ac:dyDescent="0.2">
      <c r="A28" s="4" t="s">
        <v>599</v>
      </c>
      <c r="B28" s="4" t="s">
        <v>604</v>
      </c>
      <c r="C28" s="5" t="s">
        <v>602</v>
      </c>
      <c r="D28" s="5" t="s">
        <v>3952</v>
      </c>
      <c r="E28" s="5" t="s">
        <v>3953</v>
      </c>
      <c r="F28" s="5" t="s">
        <v>3954</v>
      </c>
      <c r="G28" s="5" t="s">
        <v>3955</v>
      </c>
      <c r="H28" s="45" t="s">
        <v>3841</v>
      </c>
      <c r="I28" s="4"/>
      <c r="J28" s="110"/>
      <c r="K28" s="20" t="s">
        <v>606</v>
      </c>
    </row>
    <row r="29" spans="1:11" ht="40.5" customHeight="1" x14ac:dyDescent="0.2">
      <c r="A29" s="4" t="s">
        <v>553</v>
      </c>
      <c r="B29" s="4" t="s">
        <v>557</v>
      </c>
      <c r="C29" s="5" t="s">
        <v>170</v>
      </c>
      <c r="D29" s="5" t="s">
        <v>3837</v>
      </c>
      <c r="E29" s="5" t="s">
        <v>3956</v>
      </c>
      <c r="F29" s="5" t="s">
        <v>3957</v>
      </c>
      <c r="G29" s="5" t="s">
        <v>3958</v>
      </c>
      <c r="H29" s="45" t="s">
        <v>3841</v>
      </c>
      <c r="I29" s="4" t="s">
        <v>3959</v>
      </c>
      <c r="J29" s="110"/>
      <c r="K29" s="20" t="s">
        <v>3843</v>
      </c>
    </row>
    <row r="30" spans="1:11" ht="27.75" customHeight="1" x14ac:dyDescent="0.2">
      <c r="A30" s="4" t="s">
        <v>784</v>
      </c>
      <c r="B30" s="4" t="s">
        <v>789</v>
      </c>
      <c r="C30" s="5" t="s">
        <v>3960</v>
      </c>
      <c r="D30" s="5" t="s">
        <v>3961</v>
      </c>
      <c r="E30" s="5" t="s">
        <v>3962</v>
      </c>
      <c r="F30" s="5" t="s">
        <v>3963</v>
      </c>
      <c r="G30" s="5" t="s">
        <v>3964</v>
      </c>
      <c r="H30" s="45" t="s">
        <v>3841</v>
      </c>
      <c r="I30" s="4" t="s">
        <v>3965</v>
      </c>
      <c r="J30" s="110"/>
      <c r="K30" s="20" t="s">
        <v>3966</v>
      </c>
    </row>
    <row r="31" spans="1:11" ht="27.75" customHeight="1" x14ac:dyDescent="0.2">
      <c r="A31" s="4" t="s">
        <v>784</v>
      </c>
      <c r="B31" s="4" t="s">
        <v>789</v>
      </c>
      <c r="C31" s="5" t="s">
        <v>787</v>
      </c>
      <c r="D31" s="5" t="s">
        <v>3967</v>
      </c>
      <c r="E31" s="5" t="s">
        <v>3968</v>
      </c>
      <c r="F31" s="5" t="s">
        <v>3969</v>
      </c>
      <c r="G31" s="5" t="s">
        <v>3970</v>
      </c>
      <c r="H31" s="45" t="s">
        <v>3841</v>
      </c>
      <c r="I31" s="4"/>
      <c r="J31" s="110"/>
      <c r="K31" s="20" t="s">
        <v>3966</v>
      </c>
    </row>
    <row r="32" spans="1:11" ht="27.75" customHeight="1" x14ac:dyDescent="0.2">
      <c r="A32" s="4" t="s">
        <v>784</v>
      </c>
      <c r="B32" s="4" t="s">
        <v>789</v>
      </c>
      <c r="C32" s="5" t="s">
        <v>787</v>
      </c>
      <c r="D32" s="5" t="s">
        <v>3943</v>
      </c>
      <c r="E32" s="5" t="s">
        <v>3971</v>
      </c>
      <c r="F32" s="5" t="s">
        <v>3972</v>
      </c>
      <c r="G32" s="5" t="s">
        <v>3973</v>
      </c>
      <c r="H32" s="45" t="s">
        <v>3841</v>
      </c>
      <c r="I32" s="4"/>
      <c r="J32" s="110"/>
      <c r="K32" s="20" t="s">
        <v>3966</v>
      </c>
    </row>
    <row r="33" spans="1:11" ht="27.75" customHeight="1" x14ac:dyDescent="0.2">
      <c r="A33" s="4" t="s">
        <v>784</v>
      </c>
      <c r="B33" s="4" t="s">
        <v>789</v>
      </c>
      <c r="C33" s="5" t="s">
        <v>787</v>
      </c>
      <c r="D33" s="5" t="s">
        <v>3974</v>
      </c>
      <c r="E33" s="5" t="s">
        <v>3975</v>
      </c>
      <c r="F33" s="5" t="s">
        <v>3976</v>
      </c>
      <c r="G33" s="5" t="s">
        <v>3977</v>
      </c>
      <c r="H33" s="45" t="s">
        <v>3841</v>
      </c>
      <c r="I33" s="4"/>
      <c r="J33" s="110"/>
      <c r="K33" s="20" t="s">
        <v>3966</v>
      </c>
    </row>
    <row r="34" spans="1:11" ht="27.75" customHeight="1" x14ac:dyDescent="0.2">
      <c r="A34" s="4" t="s">
        <v>775</v>
      </c>
      <c r="B34" s="4" t="s">
        <v>780</v>
      </c>
      <c r="C34" s="5" t="s">
        <v>3978</v>
      </c>
      <c r="D34" s="5" t="s">
        <v>3961</v>
      </c>
      <c r="E34" s="5" t="s">
        <v>3979</v>
      </c>
      <c r="F34" s="5" t="s">
        <v>3980</v>
      </c>
      <c r="G34" s="5" t="s">
        <v>3981</v>
      </c>
      <c r="H34" s="45" t="s">
        <v>3841</v>
      </c>
      <c r="I34" s="4" t="s">
        <v>3982</v>
      </c>
      <c r="J34" s="110"/>
      <c r="K34" s="20" t="s">
        <v>3983</v>
      </c>
    </row>
    <row r="35" spans="1:11" ht="40.5" customHeight="1" x14ac:dyDescent="0.2">
      <c r="A35" s="4" t="s">
        <v>775</v>
      </c>
      <c r="B35" s="4" t="s">
        <v>780</v>
      </c>
      <c r="C35" s="5" t="s">
        <v>3984</v>
      </c>
      <c r="D35" s="5" t="s">
        <v>3985</v>
      </c>
      <c r="E35" s="5" t="s">
        <v>3986</v>
      </c>
      <c r="F35" s="5" t="s">
        <v>3987</v>
      </c>
      <c r="G35" s="5" t="s">
        <v>3988</v>
      </c>
      <c r="H35" s="45" t="s">
        <v>3841</v>
      </c>
      <c r="I35" s="4" t="s">
        <v>3989</v>
      </c>
      <c r="J35" s="110"/>
      <c r="K35" s="20" t="s">
        <v>3983</v>
      </c>
    </row>
    <row r="36" spans="1:11" ht="27.75" customHeight="1" x14ac:dyDescent="0.2">
      <c r="A36" s="4" t="s">
        <v>775</v>
      </c>
      <c r="B36" s="4" t="s">
        <v>780</v>
      </c>
      <c r="C36" s="5" t="s">
        <v>3984</v>
      </c>
      <c r="D36" s="5" t="s">
        <v>3990</v>
      </c>
      <c r="E36" s="5" t="s">
        <v>3991</v>
      </c>
      <c r="F36" s="5" t="s">
        <v>3992</v>
      </c>
      <c r="G36" s="5" t="s">
        <v>3939</v>
      </c>
      <c r="H36" s="45" t="s">
        <v>3841</v>
      </c>
      <c r="I36" s="4" t="s">
        <v>3993</v>
      </c>
      <c r="J36" s="110"/>
      <c r="K36" s="20" t="s">
        <v>3983</v>
      </c>
    </row>
    <row r="37" spans="1:11" ht="40.5" customHeight="1" x14ac:dyDescent="0.2">
      <c r="A37" s="4" t="s">
        <v>724</v>
      </c>
      <c r="B37" s="4" t="s">
        <v>262</v>
      </c>
      <c r="C37" s="5" t="s">
        <v>3851</v>
      </c>
      <c r="D37" s="5" t="s">
        <v>3852</v>
      </c>
      <c r="E37" s="5" t="s">
        <v>3994</v>
      </c>
      <c r="F37" s="5" t="s">
        <v>3995</v>
      </c>
      <c r="G37" s="5" t="s">
        <v>3996</v>
      </c>
      <c r="H37" s="45" t="s">
        <v>3841</v>
      </c>
      <c r="I37" s="4" t="s">
        <v>3997</v>
      </c>
      <c r="J37" s="110"/>
      <c r="K37" s="20" t="s">
        <v>3843</v>
      </c>
    </row>
    <row r="38" spans="1:11" ht="27.75" customHeight="1" x14ac:dyDescent="0.2">
      <c r="A38" s="4" t="s">
        <v>3998</v>
      </c>
      <c r="B38" s="4" t="s">
        <v>637</v>
      </c>
      <c r="C38" s="5" t="s">
        <v>170</v>
      </c>
      <c r="D38" s="5" t="s">
        <v>3999</v>
      </c>
      <c r="E38" s="5" t="s">
        <v>4000</v>
      </c>
      <c r="F38" s="5" t="s">
        <v>4001</v>
      </c>
      <c r="G38" s="5" t="s">
        <v>4002</v>
      </c>
      <c r="H38" s="45" t="s">
        <v>3841</v>
      </c>
      <c r="I38" s="4" t="s">
        <v>4003</v>
      </c>
      <c r="J38" s="110"/>
      <c r="K38" s="20" t="s">
        <v>996</v>
      </c>
    </row>
    <row r="39" spans="1:11" ht="40.5" customHeight="1" x14ac:dyDescent="0.2">
      <c r="A39" s="4" t="s">
        <v>4004</v>
      </c>
      <c r="B39" s="4" t="s">
        <v>349</v>
      </c>
      <c r="C39" s="5" t="s">
        <v>347</v>
      </c>
      <c r="D39" s="5" t="s">
        <v>3999</v>
      </c>
      <c r="E39" s="5" t="s">
        <v>4005</v>
      </c>
      <c r="F39" s="5" t="s">
        <v>4006</v>
      </c>
      <c r="G39" s="5" t="s">
        <v>4007</v>
      </c>
      <c r="H39" s="45" t="s">
        <v>3841</v>
      </c>
      <c r="I39" s="4" t="s">
        <v>4008</v>
      </c>
      <c r="J39" s="110" t="s">
        <v>4009</v>
      </c>
      <c r="K39" s="20" t="s">
        <v>3893</v>
      </c>
    </row>
    <row r="40" spans="1:11" ht="27.75" customHeight="1" x14ac:dyDescent="0.2">
      <c r="A40" s="4" t="s">
        <v>846</v>
      </c>
      <c r="B40" s="4" t="s">
        <v>850</v>
      </c>
      <c r="C40" s="5" t="s">
        <v>347</v>
      </c>
      <c r="D40" s="5" t="s">
        <v>3910</v>
      </c>
      <c r="E40" s="5" t="s">
        <v>4010</v>
      </c>
      <c r="F40" s="5" t="s">
        <v>4011</v>
      </c>
      <c r="G40" s="5" t="s">
        <v>4012</v>
      </c>
      <c r="H40" s="45" t="s">
        <v>3841</v>
      </c>
      <c r="I40" s="4" t="s">
        <v>4013</v>
      </c>
      <c r="J40" s="110"/>
      <c r="K40" s="20" t="s">
        <v>852</v>
      </c>
    </row>
    <row r="41" spans="1:11" ht="27.75" customHeight="1" x14ac:dyDescent="0.2">
      <c r="A41" s="4" t="s">
        <v>989</v>
      </c>
      <c r="B41" s="4" t="s">
        <v>994</v>
      </c>
      <c r="C41" s="5" t="s">
        <v>4014</v>
      </c>
      <c r="D41" s="5" t="s">
        <v>3943</v>
      </c>
      <c r="E41" s="5" t="s">
        <v>4015</v>
      </c>
      <c r="F41" s="5" t="s">
        <v>4016</v>
      </c>
      <c r="G41" s="5" t="s">
        <v>4017</v>
      </c>
      <c r="H41" s="45" t="s">
        <v>3841</v>
      </c>
      <c r="I41" s="4" t="s">
        <v>4018</v>
      </c>
      <c r="J41" s="110"/>
      <c r="K41" s="20" t="s">
        <v>996</v>
      </c>
    </row>
    <row r="42" spans="1:11" ht="27.75" customHeight="1" x14ac:dyDescent="0.2">
      <c r="A42" s="4" t="s">
        <v>989</v>
      </c>
      <c r="B42" s="4" t="s">
        <v>994</v>
      </c>
      <c r="C42" s="5" t="s">
        <v>4014</v>
      </c>
      <c r="D42" s="5" t="s">
        <v>4019</v>
      </c>
      <c r="E42" s="5" t="s">
        <v>4020</v>
      </c>
      <c r="F42" s="5" t="s">
        <v>4021</v>
      </c>
      <c r="G42" s="5" t="s">
        <v>4022</v>
      </c>
      <c r="H42" s="45" t="s">
        <v>3841</v>
      </c>
      <c r="I42" s="4"/>
      <c r="J42" s="110"/>
      <c r="K42" s="20" t="s">
        <v>996</v>
      </c>
    </row>
    <row r="43" spans="1:11" ht="27.75" customHeight="1" x14ac:dyDescent="0.2">
      <c r="A43" s="4" t="s">
        <v>4023</v>
      </c>
      <c r="B43" s="4" t="s">
        <v>637</v>
      </c>
      <c r="C43" s="5" t="s">
        <v>170</v>
      </c>
      <c r="D43" s="5" t="s">
        <v>4024</v>
      </c>
      <c r="E43" s="5" t="s">
        <v>4025</v>
      </c>
      <c r="F43" s="5" t="s">
        <v>4026</v>
      </c>
      <c r="G43" s="5" t="s">
        <v>4027</v>
      </c>
      <c r="H43" s="45" t="s">
        <v>3841</v>
      </c>
      <c r="I43" s="4"/>
      <c r="J43" s="110"/>
      <c r="K43" s="20" t="s">
        <v>996</v>
      </c>
    </row>
    <row r="44" spans="1:11" ht="27.75" customHeight="1" x14ac:dyDescent="0.2">
      <c r="A44" s="4" t="s">
        <v>813</v>
      </c>
      <c r="B44" s="4" t="s">
        <v>349</v>
      </c>
      <c r="C44" s="5" t="s">
        <v>347</v>
      </c>
      <c r="D44" s="5" t="s">
        <v>4028</v>
      </c>
      <c r="E44" s="5" t="s">
        <v>4029</v>
      </c>
      <c r="F44" s="5" t="s">
        <v>4030</v>
      </c>
      <c r="G44" s="5" t="s">
        <v>4031</v>
      </c>
      <c r="H44" s="45" t="s">
        <v>3841</v>
      </c>
      <c r="I44" s="4"/>
      <c r="J44" s="110"/>
      <c r="K44" s="20" t="s">
        <v>996</v>
      </c>
    </row>
    <row r="45" spans="1:11" ht="40.5" customHeight="1" x14ac:dyDescent="0.2">
      <c r="A45" s="4" t="s">
        <v>819</v>
      </c>
      <c r="B45" s="4" t="s">
        <v>637</v>
      </c>
      <c r="C45" s="5" t="s">
        <v>170</v>
      </c>
      <c r="D45" s="5" t="s">
        <v>4032</v>
      </c>
      <c r="E45" s="5" t="s">
        <v>4033</v>
      </c>
      <c r="F45" s="5" t="s">
        <v>3884</v>
      </c>
      <c r="G45" s="5" t="s">
        <v>4034</v>
      </c>
      <c r="H45" s="45" t="s">
        <v>3841</v>
      </c>
      <c r="I45" s="4"/>
      <c r="J45" s="110"/>
      <c r="K45" s="20" t="s">
        <v>3893</v>
      </c>
    </row>
    <row r="46" spans="1:11" ht="27.75" customHeight="1" x14ac:dyDescent="0.2">
      <c r="A46" s="4" t="s">
        <v>1459</v>
      </c>
      <c r="B46" s="4" t="s">
        <v>1655</v>
      </c>
      <c r="C46" s="5" t="s">
        <v>170</v>
      </c>
      <c r="D46" s="5" t="s">
        <v>4035</v>
      </c>
      <c r="E46" s="5" t="s">
        <v>4036</v>
      </c>
      <c r="F46" s="5" t="s">
        <v>4037</v>
      </c>
      <c r="G46" s="5" t="s">
        <v>4038</v>
      </c>
      <c r="H46" s="45" t="s">
        <v>3841</v>
      </c>
      <c r="I46" s="4" t="s">
        <v>4039</v>
      </c>
      <c r="J46" s="110"/>
      <c r="K46" s="20" t="s">
        <v>4040</v>
      </c>
    </row>
    <row r="47" spans="1:11" ht="27.75" customHeight="1" x14ac:dyDescent="0.2">
      <c r="A47" s="4" t="s">
        <v>1468</v>
      </c>
      <c r="B47" s="4" t="s">
        <v>1657</v>
      </c>
      <c r="C47" s="5" t="s">
        <v>347</v>
      </c>
      <c r="D47" s="5" t="s">
        <v>4035</v>
      </c>
      <c r="E47" s="5" t="s">
        <v>4041</v>
      </c>
      <c r="F47" s="5" t="s">
        <v>4037</v>
      </c>
      <c r="G47" s="5" t="s">
        <v>4038</v>
      </c>
      <c r="H47" s="45" t="s">
        <v>3841</v>
      </c>
      <c r="I47" s="4" t="s">
        <v>4039</v>
      </c>
      <c r="J47" s="110"/>
      <c r="K47" s="20" t="s">
        <v>4042</v>
      </c>
    </row>
    <row r="48" spans="1:11" ht="40.5" customHeight="1" x14ac:dyDescent="0.2">
      <c r="A48" s="4" t="s">
        <v>4043</v>
      </c>
      <c r="B48" s="4" t="s">
        <v>3836</v>
      </c>
      <c r="C48" s="5" t="s">
        <v>154</v>
      </c>
      <c r="D48" s="5" t="s">
        <v>3837</v>
      </c>
      <c r="E48" s="5" t="s">
        <v>3916</v>
      </c>
      <c r="F48" s="5" t="s">
        <v>4044</v>
      </c>
      <c r="G48" s="5" t="s">
        <v>4045</v>
      </c>
      <c r="H48" s="45" t="s">
        <v>3841</v>
      </c>
      <c r="I48" s="4" t="s">
        <v>4046</v>
      </c>
      <c r="J48" s="110" t="s">
        <v>4047</v>
      </c>
      <c r="K48" s="20" t="s">
        <v>3843</v>
      </c>
    </row>
    <row r="49" spans="1:11" ht="27.75" customHeight="1" x14ac:dyDescent="0.2">
      <c r="A49" s="4" t="s">
        <v>4048</v>
      </c>
      <c r="B49" s="4" t="s">
        <v>156</v>
      </c>
      <c r="C49" s="5" t="s">
        <v>154</v>
      </c>
      <c r="D49" s="5" t="s">
        <v>3882</v>
      </c>
      <c r="E49" s="5" t="s">
        <v>3883</v>
      </c>
      <c r="F49" s="5" t="s">
        <v>4049</v>
      </c>
      <c r="G49" s="5" t="s">
        <v>3855</v>
      </c>
      <c r="H49" s="45" t="s">
        <v>3841</v>
      </c>
      <c r="I49" s="4" t="s">
        <v>771</v>
      </c>
      <c r="J49" s="110"/>
      <c r="K49" s="20" t="s">
        <v>163</v>
      </c>
    </row>
    <row r="50" spans="1:11" ht="27.75" customHeight="1" x14ac:dyDescent="0.2">
      <c r="A50" s="4" t="s">
        <v>4050</v>
      </c>
      <c r="B50" s="4" t="s">
        <v>4051</v>
      </c>
      <c r="C50" s="5" t="s">
        <v>4052</v>
      </c>
      <c r="D50" s="5" t="s">
        <v>4053</v>
      </c>
      <c r="E50" s="5" t="s">
        <v>4054</v>
      </c>
      <c r="F50" s="5" t="s">
        <v>162</v>
      </c>
      <c r="G50" s="5" t="s">
        <v>3855</v>
      </c>
      <c r="H50" s="45" t="s">
        <v>3841</v>
      </c>
      <c r="I50" s="4" t="s">
        <v>4055</v>
      </c>
      <c r="J50" s="110"/>
      <c r="K50" s="20" t="s">
        <v>3928</v>
      </c>
    </row>
    <row r="51" spans="1:11" ht="40.5" customHeight="1" x14ac:dyDescent="0.2">
      <c r="A51" s="4" t="s">
        <v>214</v>
      </c>
      <c r="B51" s="4" t="s">
        <v>218</v>
      </c>
      <c r="C51" s="5" t="s">
        <v>4056</v>
      </c>
      <c r="D51" s="5" t="s">
        <v>4057</v>
      </c>
      <c r="E51" s="5" t="s">
        <v>4058</v>
      </c>
      <c r="F51" s="5" t="s">
        <v>4059</v>
      </c>
      <c r="G51" s="5" t="s">
        <v>4060</v>
      </c>
      <c r="H51" s="45" t="s">
        <v>3841</v>
      </c>
      <c r="I51" s="4"/>
      <c r="J51" s="110"/>
      <c r="K51" s="20" t="s">
        <v>4061</v>
      </c>
    </row>
    <row r="52" spans="1:11" ht="40.5" customHeight="1" x14ac:dyDescent="0.2">
      <c r="A52" s="4" t="s">
        <v>214</v>
      </c>
      <c r="B52" s="4" t="s">
        <v>218</v>
      </c>
      <c r="C52" s="5" t="s">
        <v>4062</v>
      </c>
      <c r="D52" s="5" t="s">
        <v>4063</v>
      </c>
      <c r="E52" s="5" t="s">
        <v>4064</v>
      </c>
      <c r="F52" s="5" t="s">
        <v>4065</v>
      </c>
      <c r="G52" s="5" t="s">
        <v>4066</v>
      </c>
      <c r="H52" s="45" t="s">
        <v>3841</v>
      </c>
      <c r="I52" s="4" t="s">
        <v>4067</v>
      </c>
      <c r="J52" s="110"/>
      <c r="K52" s="20" t="s">
        <v>4061</v>
      </c>
    </row>
    <row r="53" spans="1:11" ht="40.5" customHeight="1" x14ac:dyDescent="0.2">
      <c r="A53" s="4" t="s">
        <v>214</v>
      </c>
      <c r="B53" s="4" t="s">
        <v>218</v>
      </c>
      <c r="C53" s="5" t="s">
        <v>4062</v>
      </c>
      <c r="D53" s="5" t="s">
        <v>4068</v>
      </c>
      <c r="E53" s="5" t="s">
        <v>4069</v>
      </c>
      <c r="F53" s="5" t="s">
        <v>4070</v>
      </c>
      <c r="G53" s="5" t="s">
        <v>4071</v>
      </c>
      <c r="H53" s="45" t="s">
        <v>3841</v>
      </c>
      <c r="I53" s="4" t="s">
        <v>4072</v>
      </c>
      <c r="J53" s="110"/>
      <c r="K53" s="20" t="s">
        <v>4061</v>
      </c>
    </row>
    <row r="54" spans="1:11" ht="27.75" customHeight="1" x14ac:dyDescent="0.2">
      <c r="A54" s="4" t="s">
        <v>302</v>
      </c>
      <c r="B54" s="4" t="s">
        <v>306</v>
      </c>
      <c r="C54" s="5" t="s">
        <v>4073</v>
      </c>
      <c r="D54" s="5" t="s">
        <v>4074</v>
      </c>
      <c r="E54" s="5" t="s">
        <v>4075</v>
      </c>
      <c r="F54" s="5" t="s">
        <v>4076</v>
      </c>
      <c r="G54" s="5" t="s">
        <v>4077</v>
      </c>
      <c r="H54" s="45" t="s">
        <v>3934</v>
      </c>
      <c r="I54" s="4" t="s">
        <v>4078</v>
      </c>
      <c r="J54" s="110"/>
      <c r="K54" s="20" t="s">
        <v>4079</v>
      </c>
    </row>
    <row r="55" spans="1:11" ht="40.5" customHeight="1" x14ac:dyDescent="0.2">
      <c r="A55" s="4" t="s">
        <v>302</v>
      </c>
      <c r="B55" s="4" t="s">
        <v>306</v>
      </c>
      <c r="C55" s="5" t="s">
        <v>4080</v>
      </c>
      <c r="D55" s="5" t="s">
        <v>4081</v>
      </c>
      <c r="E55" s="5" t="s">
        <v>4082</v>
      </c>
      <c r="F55" s="5" t="s">
        <v>4083</v>
      </c>
      <c r="G55" s="5" t="s">
        <v>4084</v>
      </c>
      <c r="H55" s="45" t="s">
        <v>3841</v>
      </c>
      <c r="I55" s="4" t="s">
        <v>4085</v>
      </c>
      <c r="J55" s="110"/>
      <c r="K55" s="20" t="s">
        <v>4079</v>
      </c>
    </row>
    <row r="56" spans="1:11" ht="53.25" customHeight="1" x14ac:dyDescent="0.2">
      <c r="A56" s="4" t="s">
        <v>1009</v>
      </c>
      <c r="B56" s="4" t="s">
        <v>1013</v>
      </c>
      <c r="C56" s="5" t="s">
        <v>4086</v>
      </c>
      <c r="D56" s="5" t="s">
        <v>4087</v>
      </c>
      <c r="E56" s="5" t="s">
        <v>4088</v>
      </c>
      <c r="F56" s="5" t="s">
        <v>4089</v>
      </c>
      <c r="G56" s="5" t="s">
        <v>4090</v>
      </c>
      <c r="H56" s="45" t="s">
        <v>3841</v>
      </c>
      <c r="I56" s="4"/>
      <c r="J56" s="110"/>
      <c r="K56" s="20" t="s">
        <v>4091</v>
      </c>
    </row>
    <row r="57" spans="1:11" ht="53.25" customHeight="1" x14ac:dyDescent="0.2">
      <c r="A57" s="4" t="s">
        <v>1009</v>
      </c>
      <c r="B57" s="4" t="s">
        <v>1013</v>
      </c>
      <c r="C57" s="5" t="s">
        <v>4092</v>
      </c>
      <c r="D57" s="5" t="s">
        <v>4093</v>
      </c>
      <c r="E57" s="5" t="s">
        <v>4094</v>
      </c>
      <c r="F57" s="5" t="s">
        <v>4095</v>
      </c>
      <c r="G57" s="5" t="s">
        <v>4096</v>
      </c>
      <c r="H57" s="45" t="s">
        <v>3841</v>
      </c>
      <c r="I57" s="4"/>
      <c r="J57" s="110"/>
      <c r="K57" s="20" t="s">
        <v>4091</v>
      </c>
    </row>
    <row r="58" spans="1:11" ht="53.25" customHeight="1" x14ac:dyDescent="0.2">
      <c r="A58" s="4" t="s">
        <v>1009</v>
      </c>
      <c r="B58" s="4" t="s">
        <v>1013</v>
      </c>
      <c r="C58" s="5" t="s">
        <v>4092</v>
      </c>
      <c r="D58" s="5" t="s">
        <v>4097</v>
      </c>
      <c r="E58" s="5" t="s">
        <v>4098</v>
      </c>
      <c r="F58" s="5" t="s">
        <v>4099</v>
      </c>
      <c r="G58" s="5" t="s">
        <v>4100</v>
      </c>
      <c r="H58" s="45" t="s">
        <v>3841</v>
      </c>
      <c r="I58" s="4" t="s">
        <v>4101</v>
      </c>
      <c r="J58" s="110"/>
      <c r="K58" s="20" t="s">
        <v>4091</v>
      </c>
    </row>
    <row r="59" spans="1:11" ht="53.25" customHeight="1" x14ac:dyDescent="0.2">
      <c r="A59" s="4" t="s">
        <v>1009</v>
      </c>
      <c r="B59" s="4" t="s">
        <v>1013</v>
      </c>
      <c r="C59" s="5" t="s">
        <v>4092</v>
      </c>
      <c r="D59" s="5" t="s">
        <v>4102</v>
      </c>
      <c r="E59" s="5" t="s">
        <v>4103</v>
      </c>
      <c r="F59" s="5" t="s">
        <v>4104</v>
      </c>
      <c r="G59" s="5" t="s">
        <v>3855</v>
      </c>
      <c r="H59" s="45" t="s">
        <v>3841</v>
      </c>
      <c r="I59" s="4" t="s">
        <v>4105</v>
      </c>
      <c r="J59" s="110"/>
      <c r="K59" s="20" t="s">
        <v>4091</v>
      </c>
    </row>
    <row r="60" spans="1:11" ht="53.25" customHeight="1" x14ac:dyDescent="0.2">
      <c r="A60" s="4" t="s">
        <v>1029</v>
      </c>
      <c r="B60" s="4" t="s">
        <v>1032</v>
      </c>
      <c r="C60" s="5" t="s">
        <v>612</v>
      </c>
      <c r="D60" s="5" t="s">
        <v>4106</v>
      </c>
      <c r="E60" s="5" t="s">
        <v>4107</v>
      </c>
      <c r="F60" s="5" t="s">
        <v>4108</v>
      </c>
      <c r="G60" s="5" t="s">
        <v>4109</v>
      </c>
      <c r="H60" s="45" t="s">
        <v>3841</v>
      </c>
      <c r="I60" s="4"/>
      <c r="J60" s="110"/>
      <c r="K60" s="20" t="s">
        <v>4110</v>
      </c>
    </row>
    <row r="61" spans="1:11" ht="53.25" customHeight="1" x14ac:dyDescent="0.2">
      <c r="A61" s="4" t="s">
        <v>1029</v>
      </c>
      <c r="B61" s="4" t="s">
        <v>1032</v>
      </c>
      <c r="C61" s="5" t="s">
        <v>4111</v>
      </c>
      <c r="D61" s="5" t="s">
        <v>4112</v>
      </c>
      <c r="E61" s="5" t="s">
        <v>4113</v>
      </c>
      <c r="F61" s="5" t="s">
        <v>4114</v>
      </c>
      <c r="G61" s="5" t="s">
        <v>3958</v>
      </c>
      <c r="H61" s="45" t="s">
        <v>3841</v>
      </c>
      <c r="I61" s="4" t="s">
        <v>4115</v>
      </c>
      <c r="J61" s="110"/>
      <c r="K61" s="20" t="s">
        <v>4110</v>
      </c>
    </row>
    <row r="62" spans="1:11" ht="27.75" customHeight="1" x14ac:dyDescent="0.2">
      <c r="A62" s="4" t="s">
        <v>609</v>
      </c>
      <c r="B62" s="4" t="s">
        <v>614</v>
      </c>
      <c r="C62" s="5" t="s">
        <v>612</v>
      </c>
      <c r="D62" s="5" t="s">
        <v>4116</v>
      </c>
      <c r="E62" s="5" t="s">
        <v>4117</v>
      </c>
      <c r="F62" s="5" t="s">
        <v>4118</v>
      </c>
      <c r="G62" s="5" t="s">
        <v>4119</v>
      </c>
      <c r="H62" s="45" t="s">
        <v>3841</v>
      </c>
      <c r="I62" s="4" t="s">
        <v>4120</v>
      </c>
      <c r="J62" s="110"/>
      <c r="K62" s="20" t="s">
        <v>4121</v>
      </c>
    </row>
    <row r="63" spans="1:11" ht="27.75" customHeight="1" x14ac:dyDescent="0.2">
      <c r="A63" s="4" t="s">
        <v>609</v>
      </c>
      <c r="B63" s="4" t="s">
        <v>614</v>
      </c>
      <c r="C63" s="5" t="s">
        <v>4111</v>
      </c>
      <c r="D63" s="5" t="s">
        <v>3943</v>
      </c>
      <c r="E63" s="5" t="s">
        <v>4122</v>
      </c>
      <c r="F63" s="5" t="s">
        <v>4123</v>
      </c>
      <c r="G63" s="5" t="s">
        <v>4124</v>
      </c>
      <c r="H63" s="45" t="s">
        <v>3841</v>
      </c>
      <c r="I63" s="4" t="s">
        <v>4125</v>
      </c>
      <c r="J63" s="110"/>
      <c r="K63" s="20" t="s">
        <v>4121</v>
      </c>
    </row>
    <row r="64" spans="1:11" ht="40.5" customHeight="1" x14ac:dyDescent="0.2">
      <c r="A64" s="4" t="s">
        <v>2239</v>
      </c>
      <c r="B64" s="4" t="s">
        <v>518</v>
      </c>
      <c r="C64" s="5" t="s">
        <v>347</v>
      </c>
      <c r="D64" s="5" t="s">
        <v>4126</v>
      </c>
      <c r="E64" s="5" t="s">
        <v>4127</v>
      </c>
      <c r="F64" s="5" t="s">
        <v>4128</v>
      </c>
      <c r="G64" s="5" t="s">
        <v>4129</v>
      </c>
      <c r="H64" s="45" t="s">
        <v>3841</v>
      </c>
      <c r="I64" s="4"/>
      <c r="J64" s="110"/>
      <c r="K64" s="20" t="s">
        <v>3893</v>
      </c>
    </row>
    <row r="65" spans="1:11" ht="78.75" customHeight="1" x14ac:dyDescent="0.2">
      <c r="A65" s="4" t="s">
        <v>1122</v>
      </c>
      <c r="B65" s="4" t="s">
        <v>1127</v>
      </c>
      <c r="C65" s="5" t="s">
        <v>4130</v>
      </c>
      <c r="D65" s="5" t="s">
        <v>4131</v>
      </c>
      <c r="E65" s="5" t="s">
        <v>4132</v>
      </c>
      <c r="F65" s="5" t="s">
        <v>4133</v>
      </c>
      <c r="G65" s="5" t="s">
        <v>4134</v>
      </c>
      <c r="H65" s="45" t="s">
        <v>3841</v>
      </c>
      <c r="I65" s="4" t="s">
        <v>4135</v>
      </c>
      <c r="J65" s="110"/>
      <c r="K65" s="20" t="s">
        <v>4136</v>
      </c>
    </row>
    <row r="66" spans="1:11" ht="78.75" customHeight="1" x14ac:dyDescent="0.2">
      <c r="A66" s="4" t="s">
        <v>1122</v>
      </c>
      <c r="B66" s="4" t="s">
        <v>1127</v>
      </c>
      <c r="C66" s="5" t="s">
        <v>4137</v>
      </c>
      <c r="D66" s="5" t="s">
        <v>4138</v>
      </c>
      <c r="E66" s="5" t="s">
        <v>4139</v>
      </c>
      <c r="F66" s="5" t="s">
        <v>4140</v>
      </c>
      <c r="G66" s="5" t="s">
        <v>4038</v>
      </c>
      <c r="H66" s="45" t="s">
        <v>3841</v>
      </c>
      <c r="I66" s="4" t="s">
        <v>4141</v>
      </c>
      <c r="J66" s="110"/>
      <c r="K66" s="20" t="s">
        <v>4136</v>
      </c>
    </row>
    <row r="67" spans="1:11" ht="78.75" customHeight="1" x14ac:dyDescent="0.2">
      <c r="A67" s="4" t="s">
        <v>1122</v>
      </c>
      <c r="B67" s="4" t="s">
        <v>1127</v>
      </c>
      <c r="C67" s="5" t="s">
        <v>4137</v>
      </c>
      <c r="D67" s="5" t="s">
        <v>4142</v>
      </c>
      <c r="E67" s="5" t="s">
        <v>4143</v>
      </c>
      <c r="F67" s="5" t="s">
        <v>4144</v>
      </c>
      <c r="G67" s="5" t="s">
        <v>4145</v>
      </c>
      <c r="H67" s="45" t="s">
        <v>3841</v>
      </c>
      <c r="I67" s="4"/>
      <c r="J67" s="110"/>
      <c r="K67" s="20" t="s">
        <v>4136</v>
      </c>
    </row>
    <row r="68" spans="1:11" ht="78.75" customHeight="1" x14ac:dyDescent="0.2">
      <c r="A68" s="4" t="s">
        <v>1122</v>
      </c>
      <c r="B68" s="4" t="s">
        <v>1127</v>
      </c>
      <c r="C68" s="5" t="s">
        <v>4137</v>
      </c>
      <c r="D68" s="5" t="s">
        <v>4146</v>
      </c>
      <c r="E68" s="5" t="s">
        <v>4147</v>
      </c>
      <c r="F68" s="5" t="s">
        <v>4148</v>
      </c>
      <c r="G68" s="5" t="s">
        <v>4149</v>
      </c>
      <c r="H68" s="45" t="s">
        <v>3841</v>
      </c>
      <c r="I68" s="4" t="s">
        <v>4150</v>
      </c>
      <c r="J68" s="110"/>
      <c r="K68" s="20" t="s">
        <v>4136</v>
      </c>
    </row>
    <row r="69" spans="1:11" ht="53.25" customHeight="1" x14ac:dyDescent="0.2">
      <c r="A69" s="4" t="s">
        <v>1397</v>
      </c>
      <c r="B69" s="4" t="s">
        <v>1401</v>
      </c>
      <c r="C69" s="5" t="s">
        <v>3960</v>
      </c>
      <c r="D69" s="5" t="s">
        <v>4151</v>
      </c>
      <c r="E69" s="5" t="s">
        <v>4152</v>
      </c>
      <c r="F69" s="5" t="s">
        <v>4153</v>
      </c>
      <c r="G69" s="5" t="s">
        <v>4109</v>
      </c>
      <c r="H69" s="45" t="s">
        <v>3841</v>
      </c>
      <c r="I69" s="4" t="s">
        <v>4154</v>
      </c>
      <c r="J69" s="110"/>
      <c r="K69" s="20" t="s">
        <v>4155</v>
      </c>
    </row>
    <row r="70" spans="1:11" ht="27.75" customHeight="1" x14ac:dyDescent="0.2">
      <c r="A70" s="4" t="s">
        <v>1048</v>
      </c>
      <c r="B70" s="4" t="s">
        <v>4156</v>
      </c>
      <c r="C70" s="5" t="s">
        <v>347</v>
      </c>
      <c r="D70" s="5" t="s">
        <v>4157</v>
      </c>
      <c r="E70" s="5" t="s">
        <v>4158</v>
      </c>
      <c r="F70" s="5" t="s">
        <v>4159</v>
      </c>
      <c r="G70" s="5" t="s">
        <v>4160</v>
      </c>
      <c r="H70" s="45" t="s">
        <v>3841</v>
      </c>
      <c r="I70" s="4" t="s">
        <v>4161</v>
      </c>
      <c r="J70" s="110"/>
      <c r="K70" s="20" t="s">
        <v>3928</v>
      </c>
    </row>
    <row r="71" spans="1:11" ht="78.75" customHeight="1" x14ac:dyDescent="0.2">
      <c r="A71" s="4" t="s">
        <v>1122</v>
      </c>
      <c r="B71" s="4" t="s">
        <v>1127</v>
      </c>
      <c r="C71" s="5" t="s">
        <v>4137</v>
      </c>
      <c r="D71" s="5" t="s">
        <v>4162</v>
      </c>
      <c r="E71" s="5" t="s">
        <v>4163</v>
      </c>
      <c r="F71" s="5" t="s">
        <v>4164</v>
      </c>
      <c r="G71" s="5" t="s">
        <v>4165</v>
      </c>
      <c r="H71" s="45" t="s">
        <v>3841</v>
      </c>
      <c r="I71" s="4" t="s">
        <v>4166</v>
      </c>
      <c r="J71" s="110"/>
      <c r="K71" s="20" t="s">
        <v>4136</v>
      </c>
    </row>
    <row r="72" spans="1:11" ht="53.25" customHeight="1" x14ac:dyDescent="0.2">
      <c r="A72" s="4" t="s">
        <v>674</v>
      </c>
      <c r="B72" s="4" t="s">
        <v>678</v>
      </c>
      <c r="C72" s="5" t="s">
        <v>4167</v>
      </c>
      <c r="D72" s="5" t="s">
        <v>4168</v>
      </c>
      <c r="E72" s="5" t="s">
        <v>4169</v>
      </c>
      <c r="F72" s="5" t="s">
        <v>4170</v>
      </c>
      <c r="G72" s="5" t="s">
        <v>4171</v>
      </c>
      <c r="H72" s="45" t="s">
        <v>3841</v>
      </c>
      <c r="I72" s="4" t="s">
        <v>4172</v>
      </c>
      <c r="J72" s="110"/>
      <c r="K72" s="20" t="s">
        <v>4173</v>
      </c>
    </row>
    <row r="73" spans="1:11" ht="53.25" customHeight="1" x14ac:dyDescent="0.2">
      <c r="A73" s="4" t="s">
        <v>674</v>
      </c>
      <c r="B73" s="4" t="s">
        <v>678</v>
      </c>
      <c r="C73" s="5" t="s">
        <v>4174</v>
      </c>
      <c r="D73" s="5" t="s">
        <v>4175</v>
      </c>
      <c r="E73" s="5" t="s">
        <v>4176</v>
      </c>
      <c r="F73" s="5" t="s">
        <v>4177</v>
      </c>
      <c r="G73" s="5" t="s">
        <v>3855</v>
      </c>
      <c r="H73" s="45" t="s">
        <v>4178</v>
      </c>
      <c r="I73" s="4" t="s">
        <v>4179</v>
      </c>
      <c r="J73" s="110"/>
      <c r="K73" s="20" t="s">
        <v>4173</v>
      </c>
    </row>
    <row r="74" spans="1:11" ht="53.25" customHeight="1" x14ac:dyDescent="0.2">
      <c r="A74" s="4" t="s">
        <v>1448</v>
      </c>
      <c r="B74" s="4" t="s">
        <v>1453</v>
      </c>
      <c r="C74" s="5" t="s">
        <v>1451</v>
      </c>
      <c r="D74" s="5" t="s">
        <v>4180</v>
      </c>
      <c r="E74" s="5" t="s">
        <v>4181</v>
      </c>
      <c r="F74" s="5" t="s">
        <v>4182</v>
      </c>
      <c r="G74" s="5" t="s">
        <v>4183</v>
      </c>
      <c r="H74" s="45" t="s">
        <v>3841</v>
      </c>
      <c r="I74" s="4" t="s">
        <v>4184</v>
      </c>
      <c r="J74" s="110"/>
      <c r="K74" s="20" t="s">
        <v>4185</v>
      </c>
    </row>
    <row r="75" spans="1:11" ht="53.25" customHeight="1" x14ac:dyDescent="0.2">
      <c r="A75" s="4" t="s">
        <v>1448</v>
      </c>
      <c r="B75" s="4" t="s">
        <v>1453</v>
      </c>
      <c r="C75" s="5" t="s">
        <v>1451</v>
      </c>
      <c r="D75" s="5" t="s">
        <v>4186</v>
      </c>
      <c r="E75" s="5" t="s">
        <v>4187</v>
      </c>
      <c r="F75" s="5" t="s">
        <v>4188</v>
      </c>
      <c r="G75" s="5" t="s">
        <v>3855</v>
      </c>
      <c r="H75" s="45" t="s">
        <v>3841</v>
      </c>
      <c r="I75" s="4" t="s">
        <v>4189</v>
      </c>
      <c r="J75" s="110"/>
      <c r="K75" s="20" t="s">
        <v>4185</v>
      </c>
    </row>
    <row r="76" spans="1:11" ht="66" customHeight="1" x14ac:dyDescent="0.2">
      <c r="A76" s="4" t="s">
        <v>476</v>
      </c>
      <c r="B76" s="4" t="s">
        <v>481</v>
      </c>
      <c r="C76" s="5" t="s">
        <v>4190</v>
      </c>
      <c r="D76" s="5" t="s">
        <v>4191</v>
      </c>
      <c r="E76" s="5" t="s">
        <v>4192</v>
      </c>
      <c r="F76" s="5" t="s">
        <v>4193</v>
      </c>
      <c r="G76" s="5" t="s">
        <v>4194</v>
      </c>
      <c r="H76" s="45" t="s">
        <v>3841</v>
      </c>
      <c r="I76" s="4" t="s">
        <v>4195</v>
      </c>
      <c r="J76" s="110"/>
      <c r="K76" s="20" t="s">
        <v>4196</v>
      </c>
    </row>
    <row r="77" spans="1:11" ht="66" customHeight="1" x14ac:dyDescent="0.2">
      <c r="A77" s="4" t="s">
        <v>476</v>
      </c>
      <c r="B77" s="4" t="s">
        <v>481</v>
      </c>
      <c r="C77" s="5" t="s">
        <v>4197</v>
      </c>
      <c r="D77" s="5" t="s">
        <v>4198</v>
      </c>
      <c r="E77" s="5" t="s">
        <v>4199</v>
      </c>
      <c r="F77" s="5" t="s">
        <v>4200</v>
      </c>
      <c r="G77" s="5" t="s">
        <v>4201</v>
      </c>
      <c r="H77" s="45" t="s">
        <v>3841</v>
      </c>
      <c r="I77" s="4"/>
      <c r="J77" s="110"/>
      <c r="K77" s="20" t="s">
        <v>4196</v>
      </c>
    </row>
    <row r="78" spans="1:11" ht="66" customHeight="1" x14ac:dyDescent="0.2">
      <c r="A78" s="4" t="s">
        <v>476</v>
      </c>
      <c r="B78" s="4" t="s">
        <v>481</v>
      </c>
      <c r="C78" s="5" t="s">
        <v>4197</v>
      </c>
      <c r="D78" s="5" t="s">
        <v>4202</v>
      </c>
      <c r="E78" s="5" t="s">
        <v>4203</v>
      </c>
      <c r="F78" s="5" t="s">
        <v>4204</v>
      </c>
      <c r="G78" s="5" t="s">
        <v>4205</v>
      </c>
      <c r="H78" s="45" t="s">
        <v>3841</v>
      </c>
      <c r="I78" s="4" t="s">
        <v>4206</v>
      </c>
      <c r="J78" s="110"/>
      <c r="K78" s="20" t="s">
        <v>4196</v>
      </c>
    </row>
    <row r="79" spans="1:11" ht="66" customHeight="1" x14ac:dyDescent="0.2">
      <c r="A79" s="4" t="s">
        <v>476</v>
      </c>
      <c r="B79" s="4" t="s">
        <v>481</v>
      </c>
      <c r="C79" s="5" t="s">
        <v>4197</v>
      </c>
      <c r="D79" s="5" t="s">
        <v>4207</v>
      </c>
      <c r="E79" s="5" t="s">
        <v>4208</v>
      </c>
      <c r="F79" s="5" t="s">
        <v>4209</v>
      </c>
      <c r="G79" s="5" t="s">
        <v>4210</v>
      </c>
      <c r="H79" s="45" t="s">
        <v>3841</v>
      </c>
      <c r="I79" s="4" t="s">
        <v>4211</v>
      </c>
      <c r="J79" s="110"/>
      <c r="K79" s="20" t="s">
        <v>4196</v>
      </c>
    </row>
    <row r="80" spans="1:11" ht="66" customHeight="1" x14ac:dyDescent="0.2">
      <c r="A80" s="4" t="s">
        <v>476</v>
      </c>
      <c r="B80" s="4" t="s">
        <v>481</v>
      </c>
      <c r="C80" s="5" t="s">
        <v>4197</v>
      </c>
      <c r="D80" s="5" t="s">
        <v>4162</v>
      </c>
      <c r="E80" s="5" t="s">
        <v>4212</v>
      </c>
      <c r="F80" s="5" t="s">
        <v>4213</v>
      </c>
      <c r="G80" s="5" t="s">
        <v>3855</v>
      </c>
      <c r="H80" s="45" t="s">
        <v>3906</v>
      </c>
      <c r="I80" s="4" t="s">
        <v>4214</v>
      </c>
      <c r="J80" s="110"/>
      <c r="K80" s="20" t="s">
        <v>4196</v>
      </c>
    </row>
    <row r="81" spans="1:11" ht="66" customHeight="1" x14ac:dyDescent="0.2">
      <c r="A81" s="4" t="s">
        <v>4215</v>
      </c>
      <c r="B81" s="4" t="s">
        <v>4216</v>
      </c>
      <c r="C81" s="5" t="s">
        <v>4217</v>
      </c>
      <c r="D81" s="5" t="s">
        <v>4218</v>
      </c>
      <c r="E81" s="5" t="s">
        <v>4219</v>
      </c>
      <c r="F81" s="5" t="s">
        <v>4220</v>
      </c>
      <c r="G81" s="5" t="s">
        <v>3855</v>
      </c>
      <c r="H81" s="45" t="s">
        <v>4178</v>
      </c>
      <c r="I81" s="4" t="s">
        <v>4221</v>
      </c>
      <c r="J81" s="110"/>
      <c r="K81" s="20" t="s">
        <v>4222</v>
      </c>
    </row>
    <row r="82" spans="1:11" ht="53.25" customHeight="1" x14ac:dyDescent="0.2">
      <c r="A82" s="4" t="s">
        <v>455</v>
      </c>
      <c r="B82" s="4" t="s">
        <v>459</v>
      </c>
      <c r="C82" s="5" t="s">
        <v>447</v>
      </c>
      <c r="D82" s="5" t="s">
        <v>4223</v>
      </c>
      <c r="E82" s="5" t="s">
        <v>4224</v>
      </c>
      <c r="F82" s="5" t="s">
        <v>4225</v>
      </c>
      <c r="G82" s="5" t="s">
        <v>4226</v>
      </c>
      <c r="H82" s="45" t="s">
        <v>3841</v>
      </c>
      <c r="I82" s="4" t="s">
        <v>4227</v>
      </c>
      <c r="J82" s="110"/>
      <c r="K82" s="20" t="s">
        <v>462</v>
      </c>
    </row>
    <row r="83" spans="1:11" ht="40.5" customHeight="1" x14ac:dyDescent="0.2">
      <c r="A83" s="4" t="s">
        <v>336</v>
      </c>
      <c r="B83" s="4" t="s">
        <v>4228</v>
      </c>
      <c r="C83" s="5" t="s">
        <v>154</v>
      </c>
      <c r="D83" s="5" t="s">
        <v>3882</v>
      </c>
      <c r="E83" s="5" t="s">
        <v>3883</v>
      </c>
      <c r="F83" s="5" t="s">
        <v>4229</v>
      </c>
      <c r="G83" s="5" t="s">
        <v>4230</v>
      </c>
      <c r="H83" s="45" t="s">
        <v>3841</v>
      </c>
      <c r="I83" s="4" t="s">
        <v>4231</v>
      </c>
      <c r="J83" s="110"/>
      <c r="K83" s="20" t="s">
        <v>3893</v>
      </c>
    </row>
    <row r="84" spans="1:11" ht="27.75" customHeight="1" x14ac:dyDescent="0.2">
      <c r="A84" s="4" t="s">
        <v>4232</v>
      </c>
      <c r="B84" s="4" t="s">
        <v>4233</v>
      </c>
      <c r="C84" s="5" t="s">
        <v>4234</v>
      </c>
      <c r="D84" s="5" t="s">
        <v>4235</v>
      </c>
      <c r="E84" s="5" t="s">
        <v>4236</v>
      </c>
      <c r="F84" s="5" t="s">
        <v>4237</v>
      </c>
      <c r="G84" s="5" t="s">
        <v>3855</v>
      </c>
      <c r="H84" s="45" t="s">
        <v>4178</v>
      </c>
      <c r="I84" s="4" t="s">
        <v>4238</v>
      </c>
      <c r="J84" s="110"/>
      <c r="K84" s="20" t="s">
        <v>494</v>
      </c>
    </row>
    <row r="85" spans="1:11" ht="27.75" customHeight="1" x14ac:dyDescent="0.2">
      <c r="A85" s="4" t="s">
        <v>989</v>
      </c>
      <c r="B85" s="4" t="s">
        <v>994</v>
      </c>
      <c r="C85" s="5" t="s">
        <v>4014</v>
      </c>
      <c r="D85" s="5" t="s">
        <v>4239</v>
      </c>
      <c r="E85" s="5" t="s">
        <v>4240</v>
      </c>
      <c r="F85" s="5" t="s">
        <v>4241</v>
      </c>
      <c r="G85" s="5" t="s">
        <v>4242</v>
      </c>
      <c r="H85" s="45" t="s">
        <v>3934</v>
      </c>
      <c r="I85" s="4" t="s">
        <v>4243</v>
      </c>
      <c r="J85" s="110"/>
      <c r="K85" s="20" t="s">
        <v>996</v>
      </c>
    </row>
    <row r="86" spans="1:11" ht="27.75" customHeight="1" x14ac:dyDescent="0.2">
      <c r="A86" s="4" t="s">
        <v>599</v>
      </c>
      <c r="B86" s="4" t="s">
        <v>604</v>
      </c>
      <c r="C86" s="5" t="s">
        <v>602</v>
      </c>
      <c r="D86" s="5" t="s">
        <v>4244</v>
      </c>
      <c r="E86" s="5" t="s">
        <v>4245</v>
      </c>
      <c r="F86" s="5" t="s">
        <v>4246</v>
      </c>
      <c r="G86" s="5" t="s">
        <v>4247</v>
      </c>
      <c r="H86" s="45" t="s">
        <v>3934</v>
      </c>
      <c r="I86" s="4"/>
      <c r="J86" s="110"/>
      <c r="K86" s="20" t="s">
        <v>606</v>
      </c>
    </row>
    <row r="87" spans="1:11" ht="27.75" customHeight="1" x14ac:dyDescent="0.2">
      <c r="A87" s="4" t="s">
        <v>422</v>
      </c>
      <c r="B87" s="4" t="s">
        <v>427</v>
      </c>
      <c r="C87" s="5" t="s">
        <v>3869</v>
      </c>
      <c r="D87" s="5" t="s">
        <v>4248</v>
      </c>
      <c r="E87" s="5" t="s">
        <v>4249</v>
      </c>
      <c r="F87" s="5" t="s">
        <v>4250</v>
      </c>
      <c r="G87" s="5" t="s">
        <v>4251</v>
      </c>
      <c r="H87" s="45" t="s">
        <v>3841</v>
      </c>
      <c r="I87" s="4" t="s">
        <v>4252</v>
      </c>
      <c r="J87" s="110"/>
      <c r="K87" s="20" t="s">
        <v>430</v>
      </c>
    </row>
    <row r="88" spans="1:11" ht="27.75" customHeight="1" x14ac:dyDescent="0.2">
      <c r="A88" s="4" t="s">
        <v>515</v>
      </c>
      <c r="B88" s="4" t="s">
        <v>518</v>
      </c>
      <c r="C88" s="5" t="s">
        <v>4253</v>
      </c>
      <c r="D88" s="5" t="s">
        <v>4254</v>
      </c>
      <c r="E88" s="5" t="s">
        <v>4255</v>
      </c>
      <c r="F88" s="5" t="s">
        <v>4256</v>
      </c>
      <c r="G88" s="5" t="s">
        <v>4257</v>
      </c>
      <c r="H88" s="45" t="s">
        <v>3841</v>
      </c>
      <c r="I88" s="4" t="s">
        <v>4252</v>
      </c>
      <c r="J88" s="110"/>
      <c r="K88" s="20" t="s">
        <v>606</v>
      </c>
    </row>
    <row r="89" spans="1:11" ht="27.75" customHeight="1" x14ac:dyDescent="0.2">
      <c r="A89" s="4" t="s">
        <v>523</v>
      </c>
      <c r="B89" s="4" t="s">
        <v>518</v>
      </c>
      <c r="C89" s="5" t="s">
        <v>4253</v>
      </c>
      <c r="D89" s="5" t="s">
        <v>4258</v>
      </c>
      <c r="E89" s="5" t="s">
        <v>4255</v>
      </c>
      <c r="F89" s="5" t="s">
        <v>4259</v>
      </c>
      <c r="G89" s="5" t="s">
        <v>4260</v>
      </c>
      <c r="H89" s="45" t="s">
        <v>3841</v>
      </c>
      <c r="I89" s="4" t="s">
        <v>4252</v>
      </c>
      <c r="J89" s="110"/>
      <c r="K89" s="20" t="s">
        <v>606</v>
      </c>
    </row>
    <row r="90" spans="1:11" ht="40.5" customHeight="1" x14ac:dyDescent="0.2">
      <c r="A90" s="4" t="s">
        <v>1039</v>
      </c>
      <c r="B90" s="4" t="s">
        <v>1043</v>
      </c>
      <c r="C90" s="5" t="s">
        <v>4261</v>
      </c>
      <c r="D90" s="5" t="s">
        <v>4262</v>
      </c>
      <c r="E90" s="5" t="s">
        <v>4263</v>
      </c>
      <c r="F90" s="5" t="s">
        <v>4264</v>
      </c>
      <c r="G90" s="5" t="s">
        <v>4265</v>
      </c>
      <c r="H90" s="45" t="s">
        <v>3934</v>
      </c>
      <c r="I90" s="4" t="s">
        <v>4266</v>
      </c>
      <c r="J90" s="110"/>
      <c r="K90" s="20" t="s">
        <v>3893</v>
      </c>
    </row>
    <row r="91" spans="1:11" ht="40.5" customHeight="1" x14ac:dyDescent="0.2">
      <c r="A91" s="4" t="s">
        <v>433</v>
      </c>
      <c r="B91" s="4" t="s">
        <v>438</v>
      </c>
      <c r="C91" s="5" t="s">
        <v>4267</v>
      </c>
      <c r="D91" s="5" t="s">
        <v>4268</v>
      </c>
      <c r="E91" s="5" t="s">
        <v>4269</v>
      </c>
      <c r="F91" s="5" t="s">
        <v>4270</v>
      </c>
      <c r="G91" s="5" t="s">
        <v>4271</v>
      </c>
      <c r="H91" s="45" t="s">
        <v>3934</v>
      </c>
      <c r="I91" s="4" t="s">
        <v>4272</v>
      </c>
      <c r="J91" s="110"/>
      <c r="K91" s="20" t="s">
        <v>4273</v>
      </c>
    </row>
    <row r="92" spans="1:11" ht="27.75" customHeight="1" x14ac:dyDescent="0.2">
      <c r="A92" s="4" t="s">
        <v>588</v>
      </c>
      <c r="B92" s="4" t="s">
        <v>593</v>
      </c>
      <c r="C92" s="5" t="s">
        <v>3929</v>
      </c>
      <c r="D92" s="5" t="s">
        <v>4274</v>
      </c>
      <c r="E92" s="5" t="s">
        <v>4275</v>
      </c>
      <c r="F92" s="5" t="s">
        <v>4276</v>
      </c>
      <c r="G92" s="5" t="s">
        <v>4277</v>
      </c>
      <c r="H92" s="45" t="s">
        <v>3841</v>
      </c>
      <c r="I92" s="4" t="s">
        <v>4278</v>
      </c>
      <c r="J92" s="110"/>
      <c r="K92" s="20" t="s">
        <v>3928</v>
      </c>
    </row>
    <row r="93" spans="1:11" ht="53.25" customHeight="1" x14ac:dyDescent="0.2">
      <c r="A93" s="4" t="s">
        <v>784</v>
      </c>
      <c r="B93" s="4" t="s">
        <v>789</v>
      </c>
      <c r="C93" s="5" t="s">
        <v>787</v>
      </c>
      <c r="D93" s="5" t="s">
        <v>3904</v>
      </c>
      <c r="E93" s="5" t="s">
        <v>162</v>
      </c>
      <c r="F93" s="5" t="s">
        <v>4279</v>
      </c>
      <c r="G93" s="5" t="s">
        <v>3855</v>
      </c>
      <c r="H93" s="45" t="s">
        <v>3906</v>
      </c>
      <c r="I93" s="4" t="s">
        <v>4280</v>
      </c>
      <c r="J93" s="110"/>
      <c r="K93" s="20" t="s">
        <v>4281</v>
      </c>
    </row>
    <row r="94" spans="1:11" ht="27.75" customHeight="1" x14ac:dyDescent="0.2">
      <c r="A94" s="4" t="s">
        <v>4282</v>
      </c>
      <c r="B94" s="4" t="s">
        <v>4283</v>
      </c>
      <c r="C94" s="5" t="s">
        <v>378</v>
      </c>
      <c r="D94" s="5" t="s">
        <v>4284</v>
      </c>
      <c r="E94" s="5" t="s">
        <v>4285</v>
      </c>
      <c r="F94" s="5" t="s">
        <v>4286</v>
      </c>
      <c r="G94" s="5" t="s">
        <v>4287</v>
      </c>
      <c r="H94" s="45" t="s">
        <v>3841</v>
      </c>
      <c r="I94" s="4"/>
      <c r="J94" s="110"/>
      <c r="K94" s="20" t="s">
        <v>383</v>
      </c>
    </row>
    <row r="95" spans="1:11" ht="53.25" customHeight="1" x14ac:dyDescent="0.2">
      <c r="A95" s="4" t="s">
        <v>1531</v>
      </c>
      <c r="B95" s="4" t="s">
        <v>4288</v>
      </c>
      <c r="C95" s="5" t="s">
        <v>4289</v>
      </c>
      <c r="D95" s="5" t="s">
        <v>4290</v>
      </c>
      <c r="E95" s="5" t="s">
        <v>4291</v>
      </c>
      <c r="F95" s="5" t="s">
        <v>4292</v>
      </c>
      <c r="G95" s="5" t="s">
        <v>4293</v>
      </c>
      <c r="H95" s="45" t="s">
        <v>3841</v>
      </c>
      <c r="I95" s="4" t="s">
        <v>4294</v>
      </c>
      <c r="J95" s="110"/>
      <c r="K95" s="20" t="s">
        <v>4295</v>
      </c>
    </row>
    <row r="96" spans="1:11" ht="66" customHeight="1" x14ac:dyDescent="0.2">
      <c r="A96" s="4" t="s">
        <v>684</v>
      </c>
      <c r="B96" s="4" t="s">
        <v>689</v>
      </c>
      <c r="C96" s="5" t="s">
        <v>4296</v>
      </c>
      <c r="D96" s="5" t="s">
        <v>4297</v>
      </c>
      <c r="E96" s="5" t="s">
        <v>4298</v>
      </c>
      <c r="F96" s="5" t="s">
        <v>4299</v>
      </c>
      <c r="G96" s="5" t="s">
        <v>4171</v>
      </c>
      <c r="H96" s="45" t="s">
        <v>3841</v>
      </c>
      <c r="I96" s="4" t="s">
        <v>4300</v>
      </c>
      <c r="J96" s="110"/>
      <c r="K96" s="20" t="s">
        <v>4301</v>
      </c>
    </row>
    <row r="97" spans="1:11" ht="53.25" customHeight="1" x14ac:dyDescent="0.2">
      <c r="A97" s="4" t="s">
        <v>684</v>
      </c>
      <c r="B97" s="4" t="s">
        <v>689</v>
      </c>
      <c r="C97" s="5" t="s">
        <v>4296</v>
      </c>
      <c r="D97" s="5" t="s">
        <v>4162</v>
      </c>
      <c r="E97" s="5" t="s">
        <v>4302</v>
      </c>
      <c r="F97" s="5" t="s">
        <v>4303</v>
      </c>
      <c r="G97" s="5" t="s">
        <v>3855</v>
      </c>
      <c r="H97" s="45" t="s">
        <v>3841</v>
      </c>
      <c r="I97" s="4" t="s">
        <v>4304</v>
      </c>
      <c r="J97" s="110"/>
      <c r="K97" s="20" t="s">
        <v>4301</v>
      </c>
    </row>
    <row r="98" spans="1:11" ht="53.25" customHeight="1" x14ac:dyDescent="0.2">
      <c r="A98" s="4" t="s">
        <v>4305</v>
      </c>
      <c r="B98" s="4" t="s">
        <v>4306</v>
      </c>
      <c r="C98" s="5" t="s">
        <v>347</v>
      </c>
      <c r="D98" s="5" t="s">
        <v>4307</v>
      </c>
      <c r="E98" s="5" t="s">
        <v>4308</v>
      </c>
      <c r="F98" s="5" t="s">
        <v>4309</v>
      </c>
      <c r="G98" s="5" t="s">
        <v>4310</v>
      </c>
      <c r="H98" s="45" t="s">
        <v>3841</v>
      </c>
      <c r="I98" s="4"/>
      <c r="J98" s="110"/>
      <c r="K98" s="20" t="s">
        <v>3893</v>
      </c>
    </row>
    <row r="99" spans="1:11" ht="40.5" customHeight="1" x14ac:dyDescent="0.2">
      <c r="A99" s="4" t="s">
        <v>565</v>
      </c>
      <c r="B99" s="4" t="s">
        <v>4311</v>
      </c>
      <c r="C99" s="5" t="s">
        <v>154</v>
      </c>
      <c r="D99" s="5" t="s">
        <v>3837</v>
      </c>
      <c r="E99" s="5" t="s">
        <v>3916</v>
      </c>
      <c r="F99" s="5" t="s">
        <v>4312</v>
      </c>
      <c r="G99" s="5" t="s">
        <v>4045</v>
      </c>
      <c r="H99" s="45" t="s">
        <v>3841</v>
      </c>
      <c r="I99" s="4" t="s">
        <v>4313</v>
      </c>
      <c r="J99" s="110"/>
      <c r="K99" s="20" t="s">
        <v>3843</v>
      </c>
    </row>
    <row r="100" spans="1:11" ht="53.25" customHeight="1" x14ac:dyDescent="0.2">
      <c r="A100" s="4" t="s">
        <v>4314</v>
      </c>
      <c r="B100" s="4" t="s">
        <v>4315</v>
      </c>
      <c r="C100" s="5" t="s">
        <v>154</v>
      </c>
      <c r="D100" s="5" t="s">
        <v>4316</v>
      </c>
      <c r="E100" s="5" t="s">
        <v>4317</v>
      </c>
      <c r="F100" s="5" t="s">
        <v>4318</v>
      </c>
      <c r="G100" s="5" t="s">
        <v>4171</v>
      </c>
      <c r="H100" s="45" t="s">
        <v>3841</v>
      </c>
      <c r="I100" s="4" t="s">
        <v>4319</v>
      </c>
      <c r="J100" s="110"/>
      <c r="K100" s="20" t="s">
        <v>4320</v>
      </c>
    </row>
    <row r="101" spans="1:11" ht="66" customHeight="1" x14ac:dyDescent="0.2">
      <c r="A101" s="4" t="s">
        <v>784</v>
      </c>
      <c r="B101" s="4" t="s">
        <v>4321</v>
      </c>
      <c r="C101" s="5" t="s">
        <v>787</v>
      </c>
      <c r="D101" s="5" t="s">
        <v>4322</v>
      </c>
      <c r="E101" s="5" t="s">
        <v>4323</v>
      </c>
      <c r="F101" s="5" t="s">
        <v>4324</v>
      </c>
      <c r="G101" s="5" t="s">
        <v>4325</v>
      </c>
      <c r="H101" s="45" t="s">
        <v>3841</v>
      </c>
      <c r="I101" s="4" t="s">
        <v>4326</v>
      </c>
      <c r="J101" s="110"/>
      <c r="K101" s="20" t="s">
        <v>3966</v>
      </c>
    </row>
    <row r="102" spans="1:11" ht="40.5" customHeight="1" x14ac:dyDescent="0.2">
      <c r="A102" s="4" t="s">
        <v>465</v>
      </c>
      <c r="B102" s="4" t="s">
        <v>4327</v>
      </c>
      <c r="C102" s="5" t="s">
        <v>4328</v>
      </c>
      <c r="D102" s="5" t="s">
        <v>4329</v>
      </c>
      <c r="E102" s="5" t="s">
        <v>4330</v>
      </c>
      <c r="F102" s="5" t="s">
        <v>4331</v>
      </c>
      <c r="G102" s="5" t="s">
        <v>4109</v>
      </c>
      <c r="H102" s="45" t="s">
        <v>3841</v>
      </c>
      <c r="I102" s="4" t="s">
        <v>4332</v>
      </c>
      <c r="J102" s="110"/>
      <c r="K102" s="20" t="s">
        <v>4333</v>
      </c>
    </row>
    <row r="103" spans="1:11" ht="27.75" customHeight="1" x14ac:dyDescent="0.2">
      <c r="A103" s="4" t="s">
        <v>375</v>
      </c>
      <c r="B103" s="4" t="s">
        <v>380</v>
      </c>
      <c r="C103" s="5" t="s">
        <v>378</v>
      </c>
      <c r="D103" s="5" t="s">
        <v>4334</v>
      </c>
      <c r="E103" s="5" t="s">
        <v>4335</v>
      </c>
      <c r="F103" s="5" t="s">
        <v>4336</v>
      </c>
      <c r="G103" s="5" t="s">
        <v>4287</v>
      </c>
      <c r="H103" s="45" t="s">
        <v>3841</v>
      </c>
      <c r="I103" s="4" t="s">
        <v>188</v>
      </c>
      <c r="J103" s="110"/>
      <c r="K103" s="20" t="s">
        <v>383</v>
      </c>
    </row>
    <row r="104" spans="1:11" ht="40.5" customHeight="1" x14ac:dyDescent="0.2">
      <c r="A104" s="4" t="s">
        <v>4337</v>
      </c>
      <c r="B104" s="4" t="s">
        <v>4338</v>
      </c>
      <c r="C104" s="5" t="s">
        <v>154</v>
      </c>
      <c r="D104" s="5" t="s">
        <v>4339</v>
      </c>
      <c r="E104" s="5" t="s">
        <v>4340</v>
      </c>
      <c r="F104" s="5" t="s">
        <v>4341</v>
      </c>
      <c r="G104" s="5" t="s">
        <v>4038</v>
      </c>
      <c r="H104" s="45" t="s">
        <v>3841</v>
      </c>
      <c r="I104" s="4" t="s">
        <v>4342</v>
      </c>
      <c r="J104" s="110"/>
      <c r="K104" s="20" t="s">
        <v>3843</v>
      </c>
    </row>
    <row r="105" spans="1:11" ht="53.25" customHeight="1" x14ac:dyDescent="0.2">
      <c r="A105" s="4" t="s">
        <v>201</v>
      </c>
      <c r="B105" s="4" t="s">
        <v>206</v>
      </c>
      <c r="C105" s="5" t="s">
        <v>4343</v>
      </c>
      <c r="D105" s="5" t="s">
        <v>4344</v>
      </c>
      <c r="E105" s="5" t="s">
        <v>4345</v>
      </c>
      <c r="F105" s="5" t="s">
        <v>4346</v>
      </c>
      <c r="G105" s="5" t="s">
        <v>4347</v>
      </c>
      <c r="H105" s="45" t="s">
        <v>3841</v>
      </c>
      <c r="I105" s="4" t="s">
        <v>4348</v>
      </c>
      <c r="J105" s="110"/>
      <c r="K105" s="20" t="s">
        <v>4349</v>
      </c>
    </row>
    <row r="106" spans="1:11" ht="53.25" customHeight="1" x14ac:dyDescent="0.2">
      <c r="A106" s="4" t="s">
        <v>201</v>
      </c>
      <c r="B106" s="4" t="s">
        <v>206</v>
      </c>
      <c r="C106" s="5" t="s">
        <v>4350</v>
      </c>
      <c r="D106" s="5" t="s">
        <v>4351</v>
      </c>
      <c r="E106" s="5" t="s">
        <v>4352</v>
      </c>
      <c r="F106" s="5" t="s">
        <v>4353</v>
      </c>
      <c r="G106" s="5" t="s">
        <v>3855</v>
      </c>
      <c r="H106" s="45" t="s">
        <v>3841</v>
      </c>
      <c r="I106" s="4" t="s">
        <v>4354</v>
      </c>
      <c r="J106" s="110"/>
      <c r="K106" s="20" t="s">
        <v>4349</v>
      </c>
    </row>
    <row r="107" spans="1:11" ht="66" customHeight="1" x14ac:dyDescent="0.2">
      <c r="A107" s="4" t="s">
        <v>201</v>
      </c>
      <c r="B107" s="4" t="s">
        <v>206</v>
      </c>
      <c r="C107" s="5" t="s">
        <v>4350</v>
      </c>
      <c r="D107" s="5" t="s">
        <v>4162</v>
      </c>
      <c r="E107" s="5" t="s">
        <v>4355</v>
      </c>
      <c r="F107" s="5" t="s">
        <v>4356</v>
      </c>
      <c r="G107" s="5" t="s">
        <v>3855</v>
      </c>
      <c r="H107" s="45" t="s">
        <v>3906</v>
      </c>
      <c r="I107" s="4" t="s">
        <v>4357</v>
      </c>
      <c r="J107" s="110"/>
      <c r="K107" s="20" t="s">
        <v>4349</v>
      </c>
    </row>
    <row r="108" spans="1:11" ht="40.5" customHeight="1" x14ac:dyDescent="0.2">
      <c r="A108" s="4" t="s">
        <v>192</v>
      </c>
      <c r="B108" s="4" t="s">
        <v>4358</v>
      </c>
      <c r="C108" s="5" t="s">
        <v>154</v>
      </c>
      <c r="D108" s="5" t="s">
        <v>4359</v>
      </c>
      <c r="E108" s="5" t="s">
        <v>4360</v>
      </c>
      <c r="F108" s="5" t="s">
        <v>4361</v>
      </c>
      <c r="G108" s="5" t="s">
        <v>4362</v>
      </c>
      <c r="H108" s="45" t="s">
        <v>3841</v>
      </c>
      <c r="I108" s="4" t="s">
        <v>4363</v>
      </c>
      <c r="J108" s="110"/>
      <c r="K108" s="20" t="s">
        <v>3893</v>
      </c>
    </row>
    <row r="109" spans="1:11" ht="40.5" customHeight="1" x14ac:dyDescent="0.2">
      <c r="A109" s="4" t="s">
        <v>4364</v>
      </c>
      <c r="B109" s="4" t="s">
        <v>4365</v>
      </c>
      <c r="C109" s="5" t="s">
        <v>154</v>
      </c>
      <c r="D109" s="5" t="s">
        <v>4032</v>
      </c>
      <c r="E109" s="5" t="s">
        <v>317</v>
      </c>
      <c r="F109" s="5" t="s">
        <v>4366</v>
      </c>
      <c r="G109" s="5" t="s">
        <v>4367</v>
      </c>
      <c r="H109" s="45" t="s">
        <v>3841</v>
      </c>
      <c r="I109" s="4" t="s">
        <v>188</v>
      </c>
      <c r="J109" s="110"/>
      <c r="K109" s="20" t="s">
        <v>3893</v>
      </c>
    </row>
    <row r="110" spans="1:11" ht="27.75" customHeight="1" x14ac:dyDescent="0.2">
      <c r="A110" s="4" t="s">
        <v>989</v>
      </c>
      <c r="B110" s="4" t="s">
        <v>994</v>
      </c>
      <c r="C110" s="5" t="s">
        <v>4014</v>
      </c>
      <c r="D110" s="5" t="s">
        <v>4368</v>
      </c>
      <c r="E110" s="5" t="s">
        <v>4369</v>
      </c>
      <c r="F110" s="5" t="s">
        <v>4370</v>
      </c>
      <c r="G110" s="5" t="s">
        <v>3855</v>
      </c>
      <c r="H110" s="45" t="s">
        <v>3841</v>
      </c>
      <c r="I110" s="4" t="s">
        <v>4371</v>
      </c>
      <c r="J110" s="110"/>
      <c r="K110" s="20" t="s">
        <v>996</v>
      </c>
    </row>
    <row r="111" spans="1:11" ht="66" customHeight="1" x14ac:dyDescent="0.2">
      <c r="A111" s="4" t="s">
        <v>1407</v>
      </c>
      <c r="B111" s="4" t="s">
        <v>1411</v>
      </c>
      <c r="C111" s="5" t="s">
        <v>3960</v>
      </c>
      <c r="D111" s="5" t="s">
        <v>4372</v>
      </c>
      <c r="E111" s="5" t="s">
        <v>4373</v>
      </c>
      <c r="F111" s="5" t="s">
        <v>4374</v>
      </c>
      <c r="G111" s="5" t="s">
        <v>4375</v>
      </c>
      <c r="H111" s="45" t="s">
        <v>3841</v>
      </c>
      <c r="I111" s="4" t="s">
        <v>4376</v>
      </c>
      <c r="J111" s="110"/>
      <c r="K111" s="20" t="s">
        <v>4377</v>
      </c>
    </row>
    <row r="112" spans="1:11" ht="53.25" customHeight="1" x14ac:dyDescent="0.2">
      <c r="A112" s="4" t="s">
        <v>1407</v>
      </c>
      <c r="B112" s="4" t="s">
        <v>1411</v>
      </c>
      <c r="C112" s="5" t="s">
        <v>787</v>
      </c>
      <c r="D112" s="5" t="s">
        <v>4378</v>
      </c>
      <c r="E112" s="5" t="s">
        <v>4379</v>
      </c>
      <c r="F112" s="5" t="s">
        <v>4380</v>
      </c>
      <c r="G112" s="5" t="s">
        <v>3855</v>
      </c>
      <c r="H112" s="45" t="s">
        <v>3906</v>
      </c>
      <c r="I112" s="4" t="s">
        <v>4381</v>
      </c>
      <c r="J112" s="110"/>
      <c r="K112" s="20" t="s">
        <v>4377</v>
      </c>
    </row>
    <row r="113" spans="1:11" ht="78.75" customHeight="1" x14ac:dyDescent="0.2">
      <c r="A113" s="4" t="s">
        <v>1417</v>
      </c>
      <c r="B113" s="4" t="s">
        <v>1422</v>
      </c>
      <c r="C113" s="5" t="s">
        <v>4382</v>
      </c>
      <c r="D113" s="5" t="s">
        <v>4383</v>
      </c>
      <c r="E113" s="5" t="s">
        <v>4384</v>
      </c>
      <c r="F113" s="5" t="s">
        <v>4385</v>
      </c>
      <c r="G113" s="5" t="s">
        <v>4386</v>
      </c>
      <c r="H113" s="45" t="s">
        <v>3841</v>
      </c>
      <c r="I113" s="4" t="s">
        <v>4387</v>
      </c>
      <c r="J113" s="110"/>
      <c r="K113" s="20" t="s">
        <v>4388</v>
      </c>
    </row>
    <row r="114" spans="1:11" ht="53.25" customHeight="1" x14ac:dyDescent="0.2">
      <c r="A114" s="4" t="s">
        <v>1417</v>
      </c>
      <c r="B114" s="4" t="s">
        <v>1422</v>
      </c>
      <c r="C114" s="5" t="s">
        <v>4389</v>
      </c>
      <c r="D114" s="5" t="s">
        <v>4102</v>
      </c>
      <c r="E114" s="5" t="s">
        <v>4390</v>
      </c>
      <c r="F114" s="5" t="s">
        <v>4391</v>
      </c>
      <c r="G114" s="5" t="s">
        <v>3855</v>
      </c>
      <c r="H114" s="45" t="s">
        <v>3906</v>
      </c>
      <c r="I114" s="4" t="s">
        <v>4392</v>
      </c>
      <c r="J114" s="110"/>
      <c r="K114" s="20" t="s">
        <v>4388</v>
      </c>
    </row>
    <row r="115" spans="1:11" ht="78.75" customHeight="1" x14ac:dyDescent="0.2">
      <c r="A115" s="4" t="s">
        <v>2493</v>
      </c>
      <c r="B115" s="4" t="s">
        <v>1116</v>
      </c>
      <c r="C115" s="5" t="s">
        <v>4174</v>
      </c>
      <c r="D115" s="5" t="s">
        <v>4393</v>
      </c>
      <c r="E115" s="5" t="s">
        <v>4394</v>
      </c>
      <c r="F115" s="5" t="s">
        <v>4395</v>
      </c>
      <c r="G115" s="5" t="s">
        <v>4396</v>
      </c>
      <c r="H115" s="45" t="s">
        <v>3841</v>
      </c>
      <c r="I115" s="4" t="s">
        <v>4397</v>
      </c>
      <c r="J115" s="110"/>
      <c r="K115" s="20" t="s">
        <v>4398</v>
      </c>
    </row>
    <row r="116" spans="1:11" ht="27.75" customHeight="1" x14ac:dyDescent="0.2">
      <c r="A116" s="4" t="s">
        <v>4399</v>
      </c>
      <c r="B116" s="4" t="s">
        <v>380</v>
      </c>
      <c r="C116" s="5" t="s">
        <v>378</v>
      </c>
      <c r="D116" s="5" t="s">
        <v>4400</v>
      </c>
      <c r="E116" s="5" t="s">
        <v>4401</v>
      </c>
      <c r="F116" s="5" t="s">
        <v>4402</v>
      </c>
      <c r="G116" s="5" t="s">
        <v>4287</v>
      </c>
      <c r="H116" s="45" t="s">
        <v>3841</v>
      </c>
      <c r="I116" s="4" t="s">
        <v>188</v>
      </c>
      <c r="J116" s="110"/>
      <c r="K116" s="20" t="s">
        <v>383</v>
      </c>
    </row>
    <row r="117" spans="1:11" ht="66" customHeight="1" x14ac:dyDescent="0.2">
      <c r="A117" s="4" t="s">
        <v>4403</v>
      </c>
      <c r="B117" s="4" t="s">
        <v>4404</v>
      </c>
      <c r="C117" s="5" t="s">
        <v>154</v>
      </c>
      <c r="D117" s="5" t="s">
        <v>4405</v>
      </c>
      <c r="E117" s="5" t="s">
        <v>4406</v>
      </c>
      <c r="F117" s="5" t="s">
        <v>4407</v>
      </c>
      <c r="G117" s="5" t="s">
        <v>3855</v>
      </c>
      <c r="H117" s="45" t="s">
        <v>3934</v>
      </c>
      <c r="I117" s="4" t="s">
        <v>4408</v>
      </c>
      <c r="J117" s="110"/>
      <c r="K117" s="20" t="s">
        <v>3928</v>
      </c>
    </row>
    <row r="118" spans="1:11" ht="78.75" customHeight="1" x14ac:dyDescent="0.2">
      <c r="A118" s="4" t="s">
        <v>684</v>
      </c>
      <c r="B118" s="4" t="s">
        <v>689</v>
      </c>
      <c r="C118" s="5" t="s">
        <v>4296</v>
      </c>
      <c r="D118" s="5" t="s">
        <v>4409</v>
      </c>
      <c r="E118" s="5" t="s">
        <v>4410</v>
      </c>
      <c r="F118" s="5" t="s">
        <v>4411</v>
      </c>
      <c r="G118" s="5" t="s">
        <v>4412</v>
      </c>
      <c r="H118" s="45" t="s">
        <v>3934</v>
      </c>
      <c r="I118" s="4" t="s">
        <v>4413</v>
      </c>
      <c r="J118" s="110"/>
      <c r="K118" s="20" t="s">
        <v>4301</v>
      </c>
    </row>
    <row r="119" spans="1:11" ht="40.5" customHeight="1" x14ac:dyDescent="0.2">
      <c r="A119" s="4" t="s">
        <v>663</v>
      </c>
      <c r="B119" s="4" t="s">
        <v>4414</v>
      </c>
      <c r="C119" s="5" t="s">
        <v>4415</v>
      </c>
      <c r="D119" s="5" t="s">
        <v>4416</v>
      </c>
      <c r="E119" s="5" t="s">
        <v>4417</v>
      </c>
      <c r="F119" s="5" t="s">
        <v>4418</v>
      </c>
      <c r="G119" s="5" t="s">
        <v>4419</v>
      </c>
      <c r="H119" s="45" t="s">
        <v>3841</v>
      </c>
      <c r="I119" s="4" t="s">
        <v>4420</v>
      </c>
      <c r="J119" s="110"/>
      <c r="K119" s="20" t="s">
        <v>4421</v>
      </c>
    </row>
    <row r="120" spans="1:11" ht="27.75" customHeight="1" x14ac:dyDescent="0.2">
      <c r="A120" s="4" t="s">
        <v>1186</v>
      </c>
      <c r="B120" s="4" t="s">
        <v>4422</v>
      </c>
      <c r="C120" s="5" t="s">
        <v>4423</v>
      </c>
      <c r="D120" s="5" t="s">
        <v>4424</v>
      </c>
      <c r="E120" s="5" t="s">
        <v>4425</v>
      </c>
      <c r="F120" s="5" t="s">
        <v>4426</v>
      </c>
      <c r="G120" s="5" t="s">
        <v>4045</v>
      </c>
      <c r="H120" s="45" t="s">
        <v>3841</v>
      </c>
      <c r="I120" s="4" t="s">
        <v>4427</v>
      </c>
      <c r="J120" s="110"/>
      <c r="K120" s="20" t="s">
        <v>3928</v>
      </c>
    </row>
    <row r="121" spans="1:11" ht="27.75" customHeight="1" x14ac:dyDescent="0.2">
      <c r="A121" s="4" t="s">
        <v>465</v>
      </c>
      <c r="B121" s="4" t="s">
        <v>4428</v>
      </c>
      <c r="C121" s="5" t="s">
        <v>4429</v>
      </c>
      <c r="D121" s="5" t="s">
        <v>4430</v>
      </c>
      <c r="E121" s="5" t="s">
        <v>4431</v>
      </c>
      <c r="F121" s="5" t="s">
        <v>4432</v>
      </c>
      <c r="G121" s="5" t="s">
        <v>3855</v>
      </c>
      <c r="H121" s="45" t="s">
        <v>3841</v>
      </c>
      <c r="I121" s="4" t="s">
        <v>4433</v>
      </c>
      <c r="J121" s="110"/>
      <c r="K121" s="20" t="s">
        <v>3928</v>
      </c>
    </row>
    <row r="122" spans="1:11" ht="40.5" customHeight="1" x14ac:dyDescent="0.2">
      <c r="A122" s="4" t="s">
        <v>4434</v>
      </c>
      <c r="B122" s="4" t="s">
        <v>4435</v>
      </c>
      <c r="C122" s="5" t="s">
        <v>154</v>
      </c>
      <c r="D122" s="5" t="s">
        <v>3837</v>
      </c>
      <c r="E122" s="5" t="s">
        <v>4425</v>
      </c>
      <c r="F122" s="5" t="s">
        <v>4436</v>
      </c>
      <c r="G122" s="5" t="s">
        <v>4045</v>
      </c>
      <c r="H122" s="45" t="s">
        <v>3841</v>
      </c>
      <c r="I122" s="4" t="s">
        <v>4437</v>
      </c>
      <c r="J122" s="110"/>
      <c r="K122" s="20" t="s">
        <v>3843</v>
      </c>
    </row>
    <row r="123" spans="1:11" ht="78.75" customHeight="1" x14ac:dyDescent="0.2">
      <c r="A123" s="4" t="s">
        <v>1112</v>
      </c>
      <c r="B123" s="4" t="s">
        <v>1116</v>
      </c>
      <c r="C123" s="5" t="s">
        <v>4174</v>
      </c>
      <c r="D123" s="5" t="s">
        <v>4438</v>
      </c>
      <c r="E123" s="5" t="s">
        <v>4439</v>
      </c>
      <c r="F123" s="5" t="s">
        <v>4440</v>
      </c>
      <c r="G123" s="5" t="s">
        <v>4396</v>
      </c>
      <c r="H123" s="45" t="s">
        <v>3841</v>
      </c>
      <c r="I123" s="4" t="s">
        <v>4427</v>
      </c>
      <c r="J123" s="110"/>
      <c r="K123" s="20" t="s">
        <v>4398</v>
      </c>
    </row>
    <row r="124" spans="1:11" ht="40.5" customHeight="1" x14ac:dyDescent="0.2">
      <c r="A124" s="4" t="s">
        <v>4441</v>
      </c>
      <c r="B124" s="4" t="s">
        <v>4442</v>
      </c>
      <c r="C124" s="5" t="s">
        <v>154</v>
      </c>
      <c r="D124" s="5" t="s">
        <v>4443</v>
      </c>
      <c r="E124" s="5" t="s">
        <v>4444</v>
      </c>
      <c r="F124" s="5" t="s">
        <v>4445</v>
      </c>
      <c r="G124" s="5" t="s">
        <v>4230</v>
      </c>
      <c r="H124" s="45" t="s">
        <v>3841</v>
      </c>
      <c r="I124" s="4" t="s">
        <v>4446</v>
      </c>
      <c r="J124" s="110"/>
      <c r="K124" s="20" t="s">
        <v>4447</v>
      </c>
    </row>
    <row r="125" spans="1:11" ht="53.25" customHeight="1" x14ac:dyDescent="0.2">
      <c r="A125" s="4" t="s">
        <v>4448</v>
      </c>
      <c r="B125" s="4" t="s">
        <v>4449</v>
      </c>
      <c r="C125" s="5" t="s">
        <v>4450</v>
      </c>
      <c r="D125" s="5" t="s">
        <v>4451</v>
      </c>
      <c r="E125" s="5" t="s">
        <v>4452</v>
      </c>
      <c r="F125" s="5" t="s">
        <v>4453</v>
      </c>
      <c r="G125" s="5" t="s">
        <v>4038</v>
      </c>
      <c r="H125" s="45" t="s">
        <v>3841</v>
      </c>
      <c r="I125" s="4" t="s">
        <v>4454</v>
      </c>
      <c r="J125" s="110"/>
      <c r="K125" s="20" t="s">
        <v>4455</v>
      </c>
    </row>
    <row r="126" spans="1:11" ht="66" customHeight="1" x14ac:dyDescent="0.2">
      <c r="A126" s="4" t="s">
        <v>4456</v>
      </c>
      <c r="B126" s="4" t="s">
        <v>4457</v>
      </c>
      <c r="C126" s="5" t="s">
        <v>162</v>
      </c>
      <c r="D126" s="5" t="s">
        <v>4458</v>
      </c>
      <c r="E126" s="5" t="s">
        <v>4459</v>
      </c>
      <c r="F126" s="5" t="s">
        <v>4460</v>
      </c>
      <c r="G126" s="5" t="s">
        <v>4461</v>
      </c>
      <c r="H126" s="45" t="s">
        <v>3934</v>
      </c>
      <c r="I126" s="4" t="s">
        <v>4462</v>
      </c>
      <c r="J126" s="110"/>
      <c r="K126" s="20" t="s">
        <v>3928</v>
      </c>
    </row>
    <row r="127" spans="1:11" ht="53.25" customHeight="1" x14ac:dyDescent="0.2">
      <c r="A127" s="4" t="s">
        <v>1048</v>
      </c>
      <c r="B127" s="4" t="s">
        <v>349</v>
      </c>
      <c r="C127" s="5" t="s">
        <v>347</v>
      </c>
      <c r="D127" s="5" t="s">
        <v>4463</v>
      </c>
      <c r="E127" s="5" t="s">
        <v>4464</v>
      </c>
      <c r="F127" s="5" t="s">
        <v>4465</v>
      </c>
      <c r="G127" s="5" t="s">
        <v>4160</v>
      </c>
      <c r="H127" s="45" t="s">
        <v>3841</v>
      </c>
      <c r="I127" s="4" t="s">
        <v>4466</v>
      </c>
      <c r="J127" s="110"/>
      <c r="K127" s="20" t="s">
        <v>351</v>
      </c>
    </row>
    <row r="128" spans="1:11" ht="66" customHeight="1" x14ac:dyDescent="0.2">
      <c r="A128" s="4" t="s">
        <v>4467</v>
      </c>
      <c r="B128" s="4" t="s">
        <v>4468</v>
      </c>
      <c r="C128" s="5" t="s">
        <v>4469</v>
      </c>
      <c r="D128" s="5" t="s">
        <v>4470</v>
      </c>
      <c r="E128" s="5" t="s">
        <v>4471</v>
      </c>
      <c r="F128" s="5" t="s">
        <v>4472</v>
      </c>
      <c r="G128" s="5" t="s">
        <v>4473</v>
      </c>
      <c r="H128" s="45" t="s">
        <v>3906</v>
      </c>
      <c r="I128" s="4" t="s">
        <v>4474</v>
      </c>
      <c r="J128" s="110"/>
      <c r="K128" s="20" t="s">
        <v>3928</v>
      </c>
    </row>
    <row r="129" spans="1:11" ht="40.5" customHeight="1" x14ac:dyDescent="0.2">
      <c r="A129" s="4" t="s">
        <v>4475</v>
      </c>
      <c r="B129" s="4" t="s">
        <v>4476</v>
      </c>
      <c r="C129" s="5" t="s">
        <v>4423</v>
      </c>
      <c r="D129" s="5" t="s">
        <v>4477</v>
      </c>
      <c r="E129" s="5" t="s">
        <v>4478</v>
      </c>
      <c r="F129" s="5" t="s">
        <v>4479</v>
      </c>
      <c r="G129" s="5" t="s">
        <v>4480</v>
      </c>
      <c r="H129" s="45" t="s">
        <v>3841</v>
      </c>
      <c r="I129" s="4" t="s">
        <v>4481</v>
      </c>
      <c r="J129" s="110"/>
      <c r="K129" s="20" t="s">
        <v>4482</v>
      </c>
    </row>
    <row r="130" spans="1:11" ht="40.5" customHeight="1" x14ac:dyDescent="0.2">
      <c r="A130" s="4" t="s">
        <v>999</v>
      </c>
      <c r="B130" s="4" t="s">
        <v>4483</v>
      </c>
      <c r="C130" s="5" t="s">
        <v>612</v>
      </c>
      <c r="D130" s="5" t="s">
        <v>4484</v>
      </c>
      <c r="E130" s="5" t="s">
        <v>4485</v>
      </c>
      <c r="F130" s="5" t="s">
        <v>4486</v>
      </c>
      <c r="G130" s="5" t="s">
        <v>4487</v>
      </c>
      <c r="H130" s="45" t="s">
        <v>3841</v>
      </c>
      <c r="I130" s="4" t="s">
        <v>4488</v>
      </c>
      <c r="J130" s="110"/>
      <c r="K130" s="20" t="s">
        <v>4489</v>
      </c>
    </row>
    <row r="131" spans="1:11" ht="78.75" customHeight="1" x14ac:dyDescent="0.2">
      <c r="A131" s="4" t="s">
        <v>999</v>
      </c>
      <c r="B131" s="4" t="s">
        <v>1003</v>
      </c>
      <c r="C131" s="5" t="s">
        <v>4111</v>
      </c>
      <c r="D131" s="5" t="s">
        <v>4490</v>
      </c>
      <c r="E131" s="5" t="s">
        <v>4491</v>
      </c>
      <c r="F131" s="5" t="s">
        <v>4492</v>
      </c>
      <c r="G131" s="5" t="s">
        <v>4493</v>
      </c>
      <c r="H131" s="45" t="s">
        <v>3934</v>
      </c>
      <c r="I131" s="4" t="s">
        <v>4494</v>
      </c>
      <c r="J131" s="110"/>
      <c r="K131" s="20" t="s">
        <v>1006</v>
      </c>
    </row>
    <row r="132" spans="1:11" ht="66" customHeight="1" x14ac:dyDescent="0.2">
      <c r="A132" s="4" t="s">
        <v>1236</v>
      </c>
      <c r="B132" s="4" t="s">
        <v>4495</v>
      </c>
      <c r="C132" s="5" t="s">
        <v>154</v>
      </c>
      <c r="D132" s="5" t="s">
        <v>4496</v>
      </c>
      <c r="E132" s="5" t="s">
        <v>4497</v>
      </c>
      <c r="F132" s="5" t="s">
        <v>4498</v>
      </c>
      <c r="G132" s="5" t="s">
        <v>4499</v>
      </c>
      <c r="H132" s="45" t="s">
        <v>3934</v>
      </c>
      <c r="I132" s="4" t="s">
        <v>4500</v>
      </c>
      <c r="J132" s="110"/>
      <c r="K132" s="20" t="s">
        <v>3928</v>
      </c>
    </row>
    <row r="133" spans="1:11" ht="40.5" customHeight="1" x14ac:dyDescent="0.2">
      <c r="A133" s="4" t="s">
        <v>4501</v>
      </c>
      <c r="B133" s="4" t="s">
        <v>4502</v>
      </c>
      <c r="C133" s="5" t="s">
        <v>347</v>
      </c>
      <c r="D133" s="5" t="s">
        <v>4503</v>
      </c>
      <c r="E133" s="5" t="s">
        <v>4504</v>
      </c>
      <c r="F133" s="5" t="s">
        <v>4505</v>
      </c>
      <c r="G133" s="5" t="s">
        <v>3958</v>
      </c>
      <c r="H133" s="45" t="s">
        <v>3906</v>
      </c>
      <c r="I133" s="4" t="s">
        <v>4506</v>
      </c>
      <c r="J133" s="110"/>
      <c r="K133" s="20" t="s">
        <v>909</v>
      </c>
    </row>
    <row r="134" spans="1:11" ht="40.5" customHeight="1" x14ac:dyDescent="0.2">
      <c r="A134" s="4" t="s">
        <v>4507</v>
      </c>
      <c r="B134" s="4" t="s">
        <v>4508</v>
      </c>
      <c r="C134" s="5" t="s">
        <v>787</v>
      </c>
      <c r="D134" s="5" t="s">
        <v>4509</v>
      </c>
      <c r="E134" s="5" t="s">
        <v>4510</v>
      </c>
      <c r="F134" s="5" t="s">
        <v>4511</v>
      </c>
      <c r="G134" s="5" t="s">
        <v>2068</v>
      </c>
      <c r="H134" s="45" t="s">
        <v>4178</v>
      </c>
      <c r="I134" s="4" t="s">
        <v>4512</v>
      </c>
      <c r="J134" s="110" t="s">
        <v>4513</v>
      </c>
      <c r="K134" s="20" t="s">
        <v>3928</v>
      </c>
    </row>
    <row r="135" spans="1:11" ht="53.25" customHeight="1" x14ac:dyDescent="0.2">
      <c r="A135" s="4" t="s">
        <v>4514</v>
      </c>
      <c r="B135" s="4" t="s">
        <v>4515</v>
      </c>
      <c r="C135" s="5" t="s">
        <v>347</v>
      </c>
      <c r="D135" s="5" t="s">
        <v>4516</v>
      </c>
      <c r="E135" s="5" t="s">
        <v>4517</v>
      </c>
      <c r="F135" s="5" t="s">
        <v>4518</v>
      </c>
      <c r="G135" s="5" t="s">
        <v>4519</v>
      </c>
      <c r="H135" s="45" t="s">
        <v>3841</v>
      </c>
      <c r="I135" s="4" t="s">
        <v>4520</v>
      </c>
      <c r="J135" s="110"/>
      <c r="K135" s="20" t="s">
        <v>3928</v>
      </c>
    </row>
    <row r="136" spans="1:11" ht="40.5" customHeight="1" x14ac:dyDescent="0.2">
      <c r="A136" s="4" t="s">
        <v>4521</v>
      </c>
      <c r="B136" s="4" t="s">
        <v>4522</v>
      </c>
      <c r="C136" s="5" t="s">
        <v>347</v>
      </c>
      <c r="D136" s="5" t="s">
        <v>4516</v>
      </c>
      <c r="E136" s="5" t="s">
        <v>4517</v>
      </c>
      <c r="F136" s="5" t="s">
        <v>4518</v>
      </c>
      <c r="G136" s="5" t="s">
        <v>4519</v>
      </c>
      <c r="H136" s="45" t="s">
        <v>3841</v>
      </c>
      <c r="I136" s="4" t="s">
        <v>4523</v>
      </c>
      <c r="J136" s="110"/>
      <c r="K136" s="20" t="s">
        <v>3928</v>
      </c>
    </row>
    <row r="137" spans="1:11" ht="53.25" customHeight="1" x14ac:dyDescent="0.2">
      <c r="A137" s="4" t="s">
        <v>4524</v>
      </c>
      <c r="B137" s="4" t="s">
        <v>4525</v>
      </c>
      <c r="C137" s="5" t="s">
        <v>154</v>
      </c>
      <c r="D137" s="5" t="s">
        <v>4516</v>
      </c>
      <c r="E137" s="5" t="s">
        <v>4526</v>
      </c>
      <c r="F137" s="5" t="s">
        <v>4518</v>
      </c>
      <c r="G137" s="5" t="s">
        <v>4160</v>
      </c>
      <c r="H137" s="45" t="s">
        <v>3841</v>
      </c>
      <c r="I137" s="4" t="s">
        <v>4527</v>
      </c>
      <c r="J137" s="110"/>
      <c r="K137" s="20" t="s">
        <v>3928</v>
      </c>
    </row>
    <row r="138" spans="1:11" ht="53.25" customHeight="1" x14ac:dyDescent="0.2">
      <c r="A138" s="4" t="s">
        <v>4528</v>
      </c>
      <c r="B138" s="4" t="s">
        <v>4529</v>
      </c>
      <c r="C138" s="5" t="s">
        <v>154</v>
      </c>
      <c r="D138" s="5" t="s">
        <v>4516</v>
      </c>
      <c r="E138" s="5" t="s">
        <v>4526</v>
      </c>
      <c r="F138" s="5" t="s">
        <v>4518</v>
      </c>
      <c r="G138" s="5" t="s">
        <v>4160</v>
      </c>
      <c r="H138" s="45" t="s">
        <v>3906</v>
      </c>
      <c r="I138" s="4" t="s">
        <v>4530</v>
      </c>
      <c r="J138" s="110"/>
      <c r="K138" s="20" t="s">
        <v>3928</v>
      </c>
    </row>
    <row r="139" spans="1:11" ht="53.25" customHeight="1" x14ac:dyDescent="0.2">
      <c r="A139" s="4" t="s">
        <v>4531</v>
      </c>
      <c r="B139" s="4" t="s">
        <v>1090</v>
      </c>
      <c r="C139" s="5" t="s">
        <v>4532</v>
      </c>
      <c r="D139" s="5" t="s">
        <v>4533</v>
      </c>
      <c r="E139" s="5" t="s">
        <v>4534</v>
      </c>
      <c r="F139" s="5" t="s">
        <v>4535</v>
      </c>
      <c r="G139" s="5" t="s">
        <v>4536</v>
      </c>
      <c r="H139" s="45" t="s">
        <v>3934</v>
      </c>
      <c r="I139" s="4" t="s">
        <v>4537</v>
      </c>
      <c r="J139" s="110"/>
      <c r="K139" s="20" t="s">
        <v>3928</v>
      </c>
    </row>
    <row r="140" spans="1:11" ht="27.75" customHeight="1" x14ac:dyDescent="0.2">
      <c r="A140" s="4" t="s">
        <v>4538</v>
      </c>
      <c r="B140" s="4" t="s">
        <v>1335</v>
      </c>
      <c r="C140" s="5" t="s">
        <v>347</v>
      </c>
      <c r="D140" s="5" t="s">
        <v>4516</v>
      </c>
      <c r="E140" s="5" t="s">
        <v>4517</v>
      </c>
      <c r="F140" s="5" t="s">
        <v>4539</v>
      </c>
      <c r="G140" s="5" t="s">
        <v>4519</v>
      </c>
      <c r="H140" s="45" t="s">
        <v>3841</v>
      </c>
      <c r="I140" s="4" t="s">
        <v>4540</v>
      </c>
      <c r="J140" s="110"/>
      <c r="K140" s="20" t="s">
        <v>3928</v>
      </c>
    </row>
    <row r="141" spans="1:11" ht="27.75" customHeight="1" x14ac:dyDescent="0.2">
      <c r="A141" s="4" t="s">
        <v>4541</v>
      </c>
      <c r="B141" s="4" t="s">
        <v>1343</v>
      </c>
      <c r="C141" s="5" t="s">
        <v>154</v>
      </c>
      <c r="D141" s="5" t="s">
        <v>4516</v>
      </c>
      <c r="E141" s="5" t="s">
        <v>4526</v>
      </c>
      <c r="F141" s="5" t="s">
        <v>4542</v>
      </c>
      <c r="G141" s="5" t="s">
        <v>4160</v>
      </c>
      <c r="H141" s="45" t="s">
        <v>3841</v>
      </c>
      <c r="I141" s="4" t="s">
        <v>4543</v>
      </c>
      <c r="J141" s="110"/>
      <c r="K141" s="20" t="s">
        <v>3928</v>
      </c>
    </row>
    <row r="142" spans="1:11" ht="27.75" customHeight="1" x14ac:dyDescent="0.2">
      <c r="A142" s="4" t="s">
        <v>4544</v>
      </c>
      <c r="B142" s="4" t="s">
        <v>1351</v>
      </c>
      <c r="C142" s="5" t="s">
        <v>154</v>
      </c>
      <c r="D142" s="5" t="s">
        <v>3904</v>
      </c>
      <c r="E142" s="5" t="s">
        <v>4526</v>
      </c>
      <c r="F142" s="5" t="s">
        <v>4545</v>
      </c>
      <c r="G142" s="5" t="s">
        <v>4160</v>
      </c>
      <c r="H142" s="45" t="s">
        <v>3906</v>
      </c>
      <c r="I142" s="4" t="s">
        <v>4546</v>
      </c>
      <c r="J142" s="110"/>
      <c r="K142" s="20" t="s">
        <v>3928</v>
      </c>
    </row>
    <row r="143" spans="1:11" ht="27.75" customHeight="1" x14ac:dyDescent="0.2">
      <c r="A143" s="4" t="s">
        <v>4547</v>
      </c>
      <c r="B143" s="4" t="s">
        <v>1213</v>
      </c>
      <c r="C143" s="5" t="s">
        <v>154</v>
      </c>
      <c r="D143" s="5" t="s">
        <v>3904</v>
      </c>
      <c r="E143" s="5" t="s">
        <v>4526</v>
      </c>
      <c r="F143" s="5" t="s">
        <v>4545</v>
      </c>
      <c r="G143" s="5" t="s">
        <v>4160</v>
      </c>
      <c r="H143" s="45" t="s">
        <v>3841</v>
      </c>
      <c r="I143" s="4" t="s">
        <v>4548</v>
      </c>
      <c r="J143" s="110"/>
      <c r="K143" s="20" t="s">
        <v>3928</v>
      </c>
    </row>
    <row r="144" spans="1:11" ht="27.75" customHeight="1" x14ac:dyDescent="0.2">
      <c r="A144" s="4" t="s">
        <v>4549</v>
      </c>
      <c r="B144" s="4" t="s">
        <v>1230</v>
      </c>
      <c r="C144" s="5" t="s">
        <v>154</v>
      </c>
      <c r="D144" s="5" t="s">
        <v>4550</v>
      </c>
      <c r="E144" s="5" t="s">
        <v>4551</v>
      </c>
      <c r="F144" s="5" t="s">
        <v>4545</v>
      </c>
      <c r="G144" s="5" t="s">
        <v>4160</v>
      </c>
      <c r="H144" s="45" t="s">
        <v>3841</v>
      </c>
      <c r="I144" s="4" t="s">
        <v>4552</v>
      </c>
      <c r="J144" s="110"/>
      <c r="K144" s="20" t="s">
        <v>3928</v>
      </c>
    </row>
    <row r="145" spans="1:11" ht="40.5" customHeight="1" x14ac:dyDescent="0.2">
      <c r="A145" s="4" t="s">
        <v>3021</v>
      </c>
      <c r="B145" s="4" t="s">
        <v>4553</v>
      </c>
      <c r="C145" s="5" t="s">
        <v>154</v>
      </c>
      <c r="D145" s="5" t="s">
        <v>4554</v>
      </c>
      <c r="E145" s="5" t="s">
        <v>4555</v>
      </c>
      <c r="F145" s="5" t="s">
        <v>4556</v>
      </c>
      <c r="G145" s="5" t="s">
        <v>4557</v>
      </c>
      <c r="H145" s="45" t="s">
        <v>3841</v>
      </c>
      <c r="I145" s="4" t="s">
        <v>4558</v>
      </c>
      <c r="J145" s="110"/>
      <c r="K145" s="20" t="s">
        <v>3928</v>
      </c>
    </row>
    <row r="146" spans="1:11" ht="40.5" customHeight="1" x14ac:dyDescent="0.2">
      <c r="A146" s="4" t="s">
        <v>4559</v>
      </c>
      <c r="B146" s="4" t="s">
        <v>4560</v>
      </c>
      <c r="C146" s="5" t="s">
        <v>162</v>
      </c>
      <c r="D146" s="5" t="s">
        <v>4561</v>
      </c>
      <c r="E146" s="5" t="s">
        <v>4562</v>
      </c>
      <c r="F146" s="5" t="s">
        <v>4563</v>
      </c>
      <c r="G146" s="5" t="s">
        <v>4564</v>
      </c>
      <c r="H146" s="45" t="s">
        <v>3841</v>
      </c>
      <c r="I146" s="4" t="s">
        <v>4565</v>
      </c>
      <c r="J146" s="110"/>
      <c r="K146" s="20" t="s">
        <v>3928</v>
      </c>
    </row>
    <row r="147" spans="1:11" ht="27.75" customHeight="1" x14ac:dyDescent="0.2">
      <c r="A147" s="4" t="s">
        <v>4566</v>
      </c>
      <c r="B147" s="4" t="s">
        <v>4567</v>
      </c>
      <c r="C147" s="5" t="s">
        <v>4532</v>
      </c>
      <c r="D147" s="5" t="s">
        <v>4568</v>
      </c>
      <c r="E147" s="5" t="s">
        <v>4569</v>
      </c>
      <c r="F147" s="5" t="s">
        <v>4570</v>
      </c>
      <c r="G147" s="5" t="s">
        <v>3885</v>
      </c>
      <c r="H147" s="45" t="s">
        <v>3841</v>
      </c>
      <c r="I147" s="4" t="s">
        <v>4571</v>
      </c>
      <c r="J147" s="110"/>
      <c r="K147" s="20" t="s">
        <v>3928</v>
      </c>
    </row>
    <row r="148" spans="1:11" ht="91.5" customHeight="1" x14ac:dyDescent="0.2">
      <c r="A148" s="4" t="s">
        <v>860</v>
      </c>
      <c r="B148" s="4" t="s">
        <v>4572</v>
      </c>
      <c r="C148" s="5" t="s">
        <v>378</v>
      </c>
      <c r="D148" s="5" t="s">
        <v>4573</v>
      </c>
      <c r="E148" s="5" t="s">
        <v>4574</v>
      </c>
      <c r="F148" s="5" t="s">
        <v>4575</v>
      </c>
      <c r="G148" s="5" t="s">
        <v>4576</v>
      </c>
      <c r="H148" s="45" t="s">
        <v>3841</v>
      </c>
      <c r="I148" s="4" t="s">
        <v>4577</v>
      </c>
      <c r="J148" s="110"/>
      <c r="K148" s="20" t="s">
        <v>4578</v>
      </c>
    </row>
    <row r="149" spans="1:11" ht="66" customHeight="1" x14ac:dyDescent="0.2">
      <c r="A149" s="4" t="s">
        <v>4579</v>
      </c>
      <c r="B149" s="4" t="s">
        <v>4580</v>
      </c>
      <c r="C149" s="5" t="s">
        <v>4581</v>
      </c>
      <c r="D149" s="5" t="s">
        <v>4582</v>
      </c>
      <c r="E149" s="5" t="s">
        <v>4583</v>
      </c>
      <c r="F149" s="5" t="s">
        <v>4584</v>
      </c>
      <c r="G149" s="5" t="s">
        <v>4585</v>
      </c>
      <c r="H149" s="45" t="s">
        <v>3841</v>
      </c>
      <c r="I149" s="4" t="s">
        <v>4586</v>
      </c>
      <c r="J149" s="110"/>
      <c r="K149" s="20" t="s">
        <v>3928</v>
      </c>
    </row>
    <row r="150" spans="1:11" ht="40.5" customHeight="1" x14ac:dyDescent="0.2">
      <c r="A150" s="4" t="s">
        <v>1427</v>
      </c>
      <c r="B150" s="4" t="s">
        <v>4587</v>
      </c>
      <c r="C150" s="5" t="s">
        <v>4588</v>
      </c>
      <c r="D150" s="5" t="s">
        <v>4589</v>
      </c>
      <c r="E150" s="5" t="s">
        <v>4590</v>
      </c>
      <c r="F150" s="5" t="s">
        <v>4591</v>
      </c>
      <c r="G150" s="5" t="s">
        <v>4109</v>
      </c>
      <c r="H150" s="45" t="s">
        <v>3841</v>
      </c>
      <c r="I150" s="4" t="s">
        <v>4592</v>
      </c>
      <c r="J150" s="110"/>
      <c r="K150" s="20" t="s">
        <v>3928</v>
      </c>
    </row>
    <row r="151" spans="1:11" ht="53.25" customHeight="1" x14ac:dyDescent="0.2">
      <c r="A151" s="4" t="s">
        <v>4593</v>
      </c>
      <c r="B151" s="4" t="s">
        <v>1391</v>
      </c>
      <c r="C151" s="5" t="s">
        <v>4594</v>
      </c>
      <c r="D151" s="5" t="s">
        <v>4595</v>
      </c>
      <c r="E151" s="5" t="s">
        <v>4596</v>
      </c>
      <c r="F151" s="5" t="s">
        <v>4597</v>
      </c>
      <c r="G151" s="5" t="s">
        <v>4598</v>
      </c>
      <c r="H151" s="45" t="s">
        <v>3906</v>
      </c>
      <c r="I151" s="4" t="s">
        <v>4599</v>
      </c>
      <c r="J151" s="110"/>
      <c r="K151" s="20" t="s">
        <v>3928</v>
      </c>
    </row>
    <row r="152" spans="1:11" ht="27.75" customHeight="1" x14ac:dyDescent="0.2">
      <c r="A152" s="4" t="s">
        <v>4600</v>
      </c>
      <c r="B152" s="4" t="s">
        <v>4601</v>
      </c>
      <c r="C152" s="5" t="s">
        <v>154</v>
      </c>
      <c r="D152" s="5" t="s">
        <v>4602</v>
      </c>
      <c r="E152" s="5" t="s">
        <v>4603</v>
      </c>
      <c r="F152" s="5" t="s">
        <v>4604</v>
      </c>
      <c r="G152" s="5" t="s">
        <v>4605</v>
      </c>
      <c r="H152" s="45" t="s">
        <v>3841</v>
      </c>
      <c r="I152" s="4" t="s">
        <v>4606</v>
      </c>
      <c r="J152" s="110"/>
      <c r="K152" s="20" t="s">
        <v>3928</v>
      </c>
    </row>
    <row r="153" spans="1:11" ht="66" customHeight="1" x14ac:dyDescent="0.2">
      <c r="A153" s="4" t="s">
        <v>2677</v>
      </c>
      <c r="B153" s="4" t="s">
        <v>4607</v>
      </c>
      <c r="C153" s="5" t="s">
        <v>378</v>
      </c>
      <c r="D153" s="5" t="s">
        <v>4608</v>
      </c>
      <c r="E153" s="5" t="s">
        <v>4609</v>
      </c>
      <c r="F153" s="5" t="s">
        <v>4610</v>
      </c>
      <c r="G153" s="5" t="s">
        <v>4611</v>
      </c>
      <c r="H153" s="45" t="s">
        <v>3841</v>
      </c>
      <c r="I153" s="4" t="s">
        <v>4612</v>
      </c>
      <c r="J153" s="110"/>
      <c r="K153" s="20" t="s">
        <v>3928</v>
      </c>
    </row>
    <row r="154" spans="1:11" ht="40.5" customHeight="1" x14ac:dyDescent="0.2">
      <c r="A154" s="4" t="s">
        <v>2681</v>
      </c>
      <c r="B154" s="4" t="s">
        <v>4613</v>
      </c>
      <c r="C154" s="5" t="s">
        <v>378</v>
      </c>
      <c r="D154" s="5" t="s">
        <v>4614</v>
      </c>
      <c r="E154" s="5" t="s">
        <v>4615</v>
      </c>
      <c r="F154" s="5" t="s">
        <v>4616</v>
      </c>
      <c r="G154" s="5" t="s">
        <v>4617</v>
      </c>
      <c r="H154" s="45" t="s">
        <v>3841</v>
      </c>
      <c r="I154" s="4" t="s">
        <v>4618</v>
      </c>
      <c r="J154" s="110"/>
      <c r="K154" s="20" t="s">
        <v>3928</v>
      </c>
    </row>
    <row r="155" spans="1:11" ht="53.25" customHeight="1" x14ac:dyDescent="0.2">
      <c r="A155" s="4" t="s">
        <v>4619</v>
      </c>
      <c r="B155" s="4" t="s">
        <v>4620</v>
      </c>
      <c r="C155" s="5" t="s">
        <v>154</v>
      </c>
      <c r="D155" s="5" t="s">
        <v>4621</v>
      </c>
      <c r="E155" s="5" t="s">
        <v>4622</v>
      </c>
      <c r="F155" s="5" t="s">
        <v>4623</v>
      </c>
      <c r="G155" s="5" t="s">
        <v>3958</v>
      </c>
      <c r="H155" s="45" t="s">
        <v>3841</v>
      </c>
      <c r="I155" s="4" t="s">
        <v>4624</v>
      </c>
      <c r="J155" s="110"/>
      <c r="K155" s="20" t="s">
        <v>3928</v>
      </c>
    </row>
    <row r="156" spans="1:11" ht="91.5" customHeight="1" x14ac:dyDescent="0.2">
      <c r="A156" s="4" t="s">
        <v>3514</v>
      </c>
      <c r="B156" s="4" t="s">
        <v>1391</v>
      </c>
      <c r="C156" s="5" t="s">
        <v>4594</v>
      </c>
      <c r="D156" s="5" t="s">
        <v>4625</v>
      </c>
      <c r="E156" s="5" t="s">
        <v>4626</v>
      </c>
      <c r="F156" s="5" t="s">
        <v>4627</v>
      </c>
      <c r="G156" s="5" t="s">
        <v>4598</v>
      </c>
      <c r="H156" s="45" t="s">
        <v>3841</v>
      </c>
      <c r="I156" s="4" t="s">
        <v>4628</v>
      </c>
      <c r="J156" s="110"/>
      <c r="K156" s="20" t="s">
        <v>1394</v>
      </c>
    </row>
    <row r="157" spans="1:11" ht="78.75" customHeight="1" x14ac:dyDescent="0.2">
      <c r="A157" s="4" t="s">
        <v>4629</v>
      </c>
      <c r="B157" s="4" t="s">
        <v>1391</v>
      </c>
      <c r="C157" s="5" t="s">
        <v>4594</v>
      </c>
      <c r="D157" s="5" t="s">
        <v>4625</v>
      </c>
      <c r="E157" s="5" t="s">
        <v>4630</v>
      </c>
      <c r="F157" s="5" t="s">
        <v>4631</v>
      </c>
      <c r="G157" s="5" t="s">
        <v>4598</v>
      </c>
      <c r="H157" s="45" t="s">
        <v>3841</v>
      </c>
      <c r="I157" s="4" t="s">
        <v>4632</v>
      </c>
      <c r="J157" s="110"/>
      <c r="K157" s="20" t="s">
        <v>4633</v>
      </c>
    </row>
    <row r="158" spans="1:11" ht="91.5" customHeight="1" x14ac:dyDescent="0.2">
      <c r="A158" s="4" t="s">
        <v>4634</v>
      </c>
      <c r="B158" s="4" t="s">
        <v>1442</v>
      </c>
      <c r="C158" s="5" t="s">
        <v>4635</v>
      </c>
      <c r="D158" s="5" t="s">
        <v>4625</v>
      </c>
      <c r="E158" s="5" t="s">
        <v>4636</v>
      </c>
      <c r="F158" s="5" t="s">
        <v>4637</v>
      </c>
      <c r="G158" s="5" t="s">
        <v>4638</v>
      </c>
      <c r="H158" s="45" t="s">
        <v>3841</v>
      </c>
      <c r="I158" s="4" t="s">
        <v>4639</v>
      </c>
      <c r="J158" s="110"/>
      <c r="K158" s="20" t="s">
        <v>4640</v>
      </c>
    </row>
    <row r="159" spans="1:11" ht="53.25" customHeight="1" x14ac:dyDescent="0.2">
      <c r="A159" s="4" t="s">
        <v>4641</v>
      </c>
      <c r="B159" s="4" t="s">
        <v>1442</v>
      </c>
      <c r="C159" s="5" t="s">
        <v>4642</v>
      </c>
      <c r="D159" s="5" t="s">
        <v>4643</v>
      </c>
      <c r="E159" s="5" t="s">
        <v>4644</v>
      </c>
      <c r="F159" s="5" t="s">
        <v>4645</v>
      </c>
      <c r="G159" s="5" t="s">
        <v>3855</v>
      </c>
      <c r="H159" s="45" t="s">
        <v>3841</v>
      </c>
      <c r="I159" s="4" t="s">
        <v>4646</v>
      </c>
      <c r="J159" s="110"/>
      <c r="K159" s="20" t="s">
        <v>4640</v>
      </c>
    </row>
    <row r="160" spans="1:11" ht="66" customHeight="1" x14ac:dyDescent="0.2">
      <c r="A160" s="4" t="s">
        <v>4647</v>
      </c>
      <c r="B160" s="4" t="s">
        <v>1442</v>
      </c>
      <c r="C160" s="5" t="s">
        <v>4642</v>
      </c>
      <c r="D160" s="5" t="s">
        <v>4648</v>
      </c>
      <c r="E160" s="5" t="s">
        <v>4649</v>
      </c>
      <c r="F160" s="5" t="s">
        <v>4650</v>
      </c>
      <c r="G160" s="5" t="s">
        <v>4651</v>
      </c>
      <c r="H160" s="45" t="s">
        <v>3906</v>
      </c>
      <c r="I160" s="4" t="s">
        <v>4652</v>
      </c>
      <c r="J160" s="110"/>
      <c r="K160" s="20" t="s">
        <v>4653</v>
      </c>
    </row>
    <row r="161" spans="1:11" ht="53.25" customHeight="1" x14ac:dyDescent="0.2">
      <c r="A161" s="4" t="s">
        <v>4654</v>
      </c>
      <c r="B161" s="4" t="s">
        <v>1391</v>
      </c>
      <c r="C161" s="5" t="s">
        <v>4655</v>
      </c>
      <c r="D161" s="5" t="s">
        <v>4102</v>
      </c>
      <c r="E161" s="5" t="s">
        <v>4656</v>
      </c>
      <c r="F161" s="5" t="s">
        <v>4657</v>
      </c>
      <c r="G161" s="5" t="s">
        <v>4658</v>
      </c>
      <c r="H161" s="45" t="s">
        <v>3906</v>
      </c>
      <c r="I161" s="4" t="s">
        <v>4659</v>
      </c>
      <c r="J161" s="110"/>
      <c r="K161" s="20" t="s">
        <v>4660</v>
      </c>
    </row>
    <row r="162" spans="1:11" ht="66" customHeight="1" x14ac:dyDescent="0.2">
      <c r="A162" s="4" t="s">
        <v>4661</v>
      </c>
      <c r="B162" s="4" t="s">
        <v>4662</v>
      </c>
      <c r="C162" s="5" t="s">
        <v>4663</v>
      </c>
      <c r="D162" s="5" t="s">
        <v>4664</v>
      </c>
      <c r="E162" s="5" t="s">
        <v>4665</v>
      </c>
      <c r="F162" s="5" t="s">
        <v>4666</v>
      </c>
      <c r="G162" s="5" t="s">
        <v>4667</v>
      </c>
      <c r="H162" s="45" t="s">
        <v>3841</v>
      </c>
      <c r="I162" s="4" t="s">
        <v>4668</v>
      </c>
      <c r="J162" s="110"/>
      <c r="K162" s="20" t="s">
        <v>3928</v>
      </c>
    </row>
    <row r="163" spans="1:11" ht="27.75" customHeight="1" x14ac:dyDescent="0.2">
      <c r="A163" s="4" t="s">
        <v>4669</v>
      </c>
      <c r="B163" s="4" t="s">
        <v>4670</v>
      </c>
      <c r="C163" s="5" t="s">
        <v>154</v>
      </c>
      <c r="D163" s="5" t="s">
        <v>4621</v>
      </c>
      <c r="E163" s="5" t="s">
        <v>4622</v>
      </c>
      <c r="F163" s="5" t="s">
        <v>4671</v>
      </c>
      <c r="G163" s="5" t="s">
        <v>3958</v>
      </c>
      <c r="H163" s="45" t="s">
        <v>3841</v>
      </c>
      <c r="I163" s="4" t="s">
        <v>4672</v>
      </c>
      <c r="J163" s="110"/>
      <c r="K163" s="20" t="s">
        <v>3928</v>
      </c>
    </row>
    <row r="164" spans="1:11" ht="27.75" customHeight="1" x14ac:dyDescent="0.2">
      <c r="A164" s="4" t="s">
        <v>4673</v>
      </c>
      <c r="B164" s="4" t="s">
        <v>4674</v>
      </c>
      <c r="C164" s="5" t="s">
        <v>154</v>
      </c>
      <c r="D164" s="5" t="s">
        <v>4621</v>
      </c>
      <c r="E164" s="5" t="s">
        <v>4622</v>
      </c>
      <c r="F164" s="5" t="s">
        <v>4675</v>
      </c>
      <c r="G164" s="5" t="s">
        <v>3958</v>
      </c>
      <c r="H164" s="45" t="s">
        <v>3841</v>
      </c>
      <c r="I164" s="4" t="s">
        <v>4676</v>
      </c>
      <c r="J164" s="110"/>
      <c r="K164" s="20" t="s">
        <v>3928</v>
      </c>
    </row>
    <row r="165" spans="1:11" ht="53.25" customHeight="1" x14ac:dyDescent="0.2">
      <c r="A165" s="4" t="s">
        <v>4677</v>
      </c>
      <c r="B165" s="4" t="s">
        <v>4678</v>
      </c>
      <c r="C165" s="5" t="s">
        <v>154</v>
      </c>
      <c r="D165" s="5" t="s">
        <v>4621</v>
      </c>
      <c r="E165" s="5" t="s">
        <v>4622</v>
      </c>
      <c r="F165" s="5" t="s">
        <v>4679</v>
      </c>
      <c r="G165" s="5" t="s">
        <v>3958</v>
      </c>
      <c r="H165" s="45" t="s">
        <v>3841</v>
      </c>
      <c r="I165" s="4" t="s">
        <v>4680</v>
      </c>
      <c r="J165" s="110"/>
      <c r="K165" s="20" t="s">
        <v>3928</v>
      </c>
    </row>
    <row r="166" spans="1:11" ht="27.75" customHeight="1" x14ac:dyDescent="0.2">
      <c r="A166" s="4" t="s">
        <v>4681</v>
      </c>
      <c r="B166" s="4" t="s">
        <v>4682</v>
      </c>
      <c r="C166" s="5" t="s">
        <v>154</v>
      </c>
      <c r="D166" s="5" t="s">
        <v>4683</v>
      </c>
      <c r="E166" s="5" t="s">
        <v>4622</v>
      </c>
      <c r="F166" s="5" t="s">
        <v>4684</v>
      </c>
      <c r="G166" s="5" t="s">
        <v>3958</v>
      </c>
      <c r="H166" s="45" t="s">
        <v>3841</v>
      </c>
      <c r="I166" s="4" t="s">
        <v>4685</v>
      </c>
      <c r="J166" s="110"/>
      <c r="K166" s="20" t="s">
        <v>4686</v>
      </c>
    </row>
    <row r="167" spans="1:11" ht="27.75" customHeight="1" x14ac:dyDescent="0.2">
      <c r="A167" s="4" t="s">
        <v>4687</v>
      </c>
      <c r="B167" s="4" t="s">
        <v>4688</v>
      </c>
      <c r="C167" s="5" t="s">
        <v>154</v>
      </c>
      <c r="D167" s="5" t="s">
        <v>3882</v>
      </c>
      <c r="E167" s="5" t="s">
        <v>4689</v>
      </c>
      <c r="F167" s="5" t="s">
        <v>4690</v>
      </c>
      <c r="G167" s="5" t="s">
        <v>4691</v>
      </c>
      <c r="H167" s="45" t="s">
        <v>3841</v>
      </c>
      <c r="I167" s="4" t="s">
        <v>4692</v>
      </c>
      <c r="J167" s="110"/>
      <c r="K167" s="20" t="s">
        <v>3928</v>
      </c>
    </row>
    <row r="168" spans="1:11" ht="27.75" customHeight="1" x14ac:dyDescent="0.2">
      <c r="A168" s="4" t="s">
        <v>4693</v>
      </c>
      <c r="B168" s="4" t="s">
        <v>4694</v>
      </c>
      <c r="C168" s="5" t="s">
        <v>154</v>
      </c>
      <c r="D168" s="5" t="s">
        <v>3882</v>
      </c>
      <c r="E168" s="5" t="s">
        <v>4695</v>
      </c>
      <c r="F168" s="5" t="s">
        <v>4696</v>
      </c>
      <c r="G168" s="5" t="s">
        <v>4697</v>
      </c>
      <c r="H168" s="45" t="s">
        <v>3841</v>
      </c>
      <c r="I168" s="4" t="s">
        <v>4698</v>
      </c>
      <c r="J168" s="110"/>
      <c r="K168" s="20" t="s">
        <v>3928</v>
      </c>
    </row>
    <row r="169" spans="1:11" ht="40.5" customHeight="1" x14ac:dyDescent="0.2">
      <c r="A169" s="4" t="s">
        <v>4699</v>
      </c>
      <c r="B169" s="4" t="s">
        <v>4694</v>
      </c>
      <c r="C169" s="5" t="s">
        <v>154</v>
      </c>
      <c r="D169" s="5" t="s">
        <v>4700</v>
      </c>
      <c r="E169" s="5" t="s">
        <v>4695</v>
      </c>
      <c r="F169" s="5" t="s">
        <v>4701</v>
      </c>
      <c r="G169" s="5" t="s">
        <v>4702</v>
      </c>
      <c r="H169" s="45" t="s">
        <v>3841</v>
      </c>
      <c r="I169" s="4" t="s">
        <v>4703</v>
      </c>
      <c r="J169" s="110"/>
      <c r="K169" s="20" t="s">
        <v>3928</v>
      </c>
    </row>
    <row r="170" spans="1:11" ht="66" customHeight="1" x14ac:dyDescent="0.2">
      <c r="A170" s="4" t="s">
        <v>4704</v>
      </c>
      <c r="B170" s="4" t="s">
        <v>4705</v>
      </c>
      <c r="C170" s="5" t="s">
        <v>162</v>
      </c>
      <c r="D170" s="5" t="s">
        <v>4706</v>
      </c>
      <c r="E170" s="5" t="s">
        <v>4707</v>
      </c>
      <c r="F170" s="5" t="s">
        <v>4708</v>
      </c>
      <c r="G170" s="5" t="s">
        <v>4709</v>
      </c>
      <c r="H170" s="45" t="s">
        <v>3934</v>
      </c>
      <c r="I170" s="4" t="s">
        <v>4710</v>
      </c>
      <c r="J170" s="110"/>
      <c r="K170" s="20" t="s">
        <v>3928</v>
      </c>
    </row>
    <row r="171" spans="1:11" ht="53.25" customHeight="1" x14ac:dyDescent="0.2">
      <c r="A171" s="4" t="s">
        <v>4711</v>
      </c>
      <c r="B171" s="4" t="s">
        <v>4712</v>
      </c>
      <c r="C171" s="5" t="s">
        <v>4713</v>
      </c>
      <c r="D171" s="5" t="s">
        <v>4714</v>
      </c>
      <c r="E171" s="5" t="s">
        <v>4715</v>
      </c>
      <c r="F171" s="5" t="s">
        <v>4716</v>
      </c>
      <c r="G171" s="5" t="s">
        <v>4691</v>
      </c>
      <c r="H171" s="45" t="s">
        <v>3841</v>
      </c>
      <c r="I171" s="4" t="s">
        <v>4717</v>
      </c>
      <c r="J171" s="110"/>
      <c r="K171" s="20" t="s">
        <v>4718</v>
      </c>
    </row>
    <row r="172" spans="1:11" ht="53.25" customHeight="1" x14ac:dyDescent="0.2">
      <c r="A172" s="4" t="s">
        <v>4719</v>
      </c>
      <c r="B172" s="4" t="s">
        <v>4720</v>
      </c>
      <c r="C172" s="5" t="s">
        <v>1105</v>
      </c>
      <c r="D172" s="5" t="s">
        <v>4714</v>
      </c>
      <c r="E172" s="5" t="s">
        <v>4721</v>
      </c>
      <c r="F172" s="5" t="s">
        <v>4722</v>
      </c>
      <c r="G172" s="5" t="s">
        <v>4691</v>
      </c>
      <c r="H172" s="45" t="s">
        <v>3841</v>
      </c>
      <c r="I172" s="4" t="s">
        <v>4723</v>
      </c>
      <c r="J172" s="110"/>
      <c r="K172" s="20" t="s">
        <v>4724</v>
      </c>
    </row>
    <row r="173" spans="1:11" ht="53.25" customHeight="1" x14ac:dyDescent="0.2">
      <c r="A173" s="4" t="s">
        <v>4725</v>
      </c>
      <c r="B173" s="4" t="s">
        <v>4726</v>
      </c>
      <c r="C173" s="5" t="s">
        <v>4727</v>
      </c>
      <c r="D173" s="5" t="s">
        <v>3904</v>
      </c>
      <c r="E173" s="5" t="s">
        <v>162</v>
      </c>
      <c r="F173" s="5" t="s">
        <v>4728</v>
      </c>
      <c r="G173" s="5" t="s">
        <v>4729</v>
      </c>
      <c r="H173" s="45" t="s">
        <v>3841</v>
      </c>
      <c r="I173" s="4" t="s">
        <v>4730</v>
      </c>
      <c r="J173" s="110"/>
      <c r="K173" s="20" t="s">
        <v>4731</v>
      </c>
    </row>
    <row r="174" spans="1:11" ht="66" customHeight="1" x14ac:dyDescent="0.2">
      <c r="A174" s="4" t="s">
        <v>4732</v>
      </c>
      <c r="B174" s="4" t="s">
        <v>4733</v>
      </c>
      <c r="C174" s="5" t="s">
        <v>162</v>
      </c>
      <c r="D174" s="5" t="s">
        <v>4734</v>
      </c>
      <c r="E174" s="5" t="s">
        <v>4735</v>
      </c>
      <c r="F174" s="5" t="s">
        <v>4736</v>
      </c>
      <c r="G174" s="5" t="s">
        <v>4737</v>
      </c>
      <c r="H174" s="45" t="s">
        <v>3934</v>
      </c>
      <c r="I174" s="4" t="s">
        <v>4738</v>
      </c>
      <c r="J174" s="110"/>
      <c r="K174" s="20" t="s">
        <v>3928</v>
      </c>
    </row>
    <row r="175" spans="1:11" ht="53.25" customHeight="1" x14ac:dyDescent="0.2">
      <c r="A175" s="4" t="s">
        <v>4739</v>
      </c>
      <c r="B175" s="4" t="s">
        <v>4740</v>
      </c>
      <c r="C175" s="5" t="s">
        <v>154</v>
      </c>
      <c r="D175" s="5" t="s">
        <v>3904</v>
      </c>
      <c r="E175" s="5" t="s">
        <v>162</v>
      </c>
      <c r="F175" s="5" t="s">
        <v>4741</v>
      </c>
      <c r="G175" s="5" t="s">
        <v>4742</v>
      </c>
      <c r="H175" s="45" t="s">
        <v>3841</v>
      </c>
      <c r="I175" s="4" t="s">
        <v>4743</v>
      </c>
      <c r="J175" s="110"/>
      <c r="K175" s="20" t="s">
        <v>4744</v>
      </c>
    </row>
    <row r="176" spans="1:11" ht="66" customHeight="1" x14ac:dyDescent="0.2">
      <c r="A176" s="4" t="s">
        <v>4745</v>
      </c>
      <c r="B176" s="4" t="s">
        <v>1156</v>
      </c>
      <c r="C176" s="5" t="s">
        <v>4746</v>
      </c>
      <c r="D176" s="5" t="s">
        <v>4747</v>
      </c>
      <c r="E176" s="5" t="s">
        <v>4748</v>
      </c>
      <c r="F176" s="5" t="s">
        <v>4749</v>
      </c>
      <c r="G176" s="5" t="s">
        <v>4750</v>
      </c>
      <c r="H176" s="45" t="s">
        <v>3841</v>
      </c>
      <c r="I176" s="4" t="s">
        <v>4751</v>
      </c>
      <c r="J176" s="110"/>
      <c r="K176" s="20" t="s">
        <v>4752</v>
      </c>
    </row>
    <row r="177" spans="1:11" ht="78.75" customHeight="1" x14ac:dyDescent="0.2">
      <c r="A177" s="4" t="s">
        <v>4753</v>
      </c>
      <c r="B177" s="4" t="s">
        <v>1156</v>
      </c>
      <c r="C177" s="5" t="s">
        <v>378</v>
      </c>
      <c r="D177" s="5" t="s">
        <v>4754</v>
      </c>
      <c r="E177" s="5" t="s">
        <v>4755</v>
      </c>
      <c r="F177" s="5" t="s">
        <v>4756</v>
      </c>
      <c r="G177" s="5" t="s">
        <v>4757</v>
      </c>
      <c r="H177" s="45" t="s">
        <v>3841</v>
      </c>
      <c r="I177" s="4" t="s">
        <v>4758</v>
      </c>
      <c r="J177" s="110"/>
      <c r="K177" s="20" t="s">
        <v>4752</v>
      </c>
    </row>
    <row r="178" spans="1:11" ht="66" customHeight="1" x14ac:dyDescent="0.2">
      <c r="A178" s="4" t="s">
        <v>4759</v>
      </c>
      <c r="B178" s="4" t="s">
        <v>1156</v>
      </c>
      <c r="C178" s="5" t="s">
        <v>378</v>
      </c>
      <c r="D178" s="5" t="s">
        <v>4760</v>
      </c>
      <c r="E178" s="5" t="s">
        <v>4761</v>
      </c>
      <c r="F178" s="5" t="s">
        <v>4762</v>
      </c>
      <c r="G178" s="5" t="s">
        <v>4763</v>
      </c>
      <c r="H178" s="45" t="s">
        <v>3841</v>
      </c>
      <c r="I178" s="4" t="s">
        <v>4764</v>
      </c>
      <c r="J178" s="110"/>
      <c r="K178" s="20" t="s">
        <v>4752</v>
      </c>
    </row>
    <row r="179" spans="1:11" ht="40.5" customHeight="1" x14ac:dyDescent="0.2">
      <c r="A179" s="4" t="s">
        <v>4765</v>
      </c>
      <c r="B179" s="4" t="s">
        <v>1480</v>
      </c>
      <c r="C179" s="5" t="s">
        <v>4766</v>
      </c>
      <c r="D179" s="5" t="s">
        <v>4767</v>
      </c>
      <c r="E179" s="5" t="s">
        <v>4768</v>
      </c>
      <c r="F179" s="5" t="s">
        <v>4769</v>
      </c>
      <c r="G179" s="5" t="s">
        <v>4770</v>
      </c>
      <c r="H179" s="45" t="s">
        <v>3841</v>
      </c>
      <c r="I179" s="4" t="s">
        <v>4771</v>
      </c>
      <c r="J179" s="110"/>
      <c r="K179" s="20" t="s">
        <v>1484</v>
      </c>
    </row>
    <row r="180" spans="1:11" ht="78.75" customHeight="1" x14ac:dyDescent="0.2">
      <c r="A180" s="4" t="s">
        <v>4772</v>
      </c>
      <c r="B180" s="4" t="s">
        <v>1480</v>
      </c>
      <c r="C180" s="5" t="s">
        <v>4773</v>
      </c>
      <c r="D180" s="5" t="s">
        <v>4774</v>
      </c>
      <c r="E180" s="5" t="s">
        <v>4775</v>
      </c>
      <c r="F180" s="5" t="s">
        <v>4776</v>
      </c>
      <c r="G180" s="5" t="s">
        <v>3855</v>
      </c>
      <c r="H180" s="45" t="s">
        <v>3841</v>
      </c>
      <c r="I180" s="4" t="s">
        <v>4777</v>
      </c>
      <c r="J180" s="110"/>
      <c r="K180" s="20" t="s">
        <v>1484</v>
      </c>
    </row>
    <row r="181" spans="1:11" ht="78.75" customHeight="1" x14ac:dyDescent="0.2">
      <c r="A181" s="4" t="s">
        <v>4778</v>
      </c>
      <c r="B181" s="4" t="s">
        <v>1491</v>
      </c>
      <c r="C181" s="5" t="s">
        <v>4779</v>
      </c>
      <c r="D181" s="5" t="s">
        <v>4767</v>
      </c>
      <c r="E181" s="5" t="s">
        <v>4780</v>
      </c>
      <c r="F181" s="5" t="s">
        <v>4781</v>
      </c>
      <c r="G181" s="5" t="s">
        <v>3996</v>
      </c>
      <c r="H181" s="45" t="s">
        <v>3841</v>
      </c>
      <c r="I181" s="4" t="s">
        <v>4782</v>
      </c>
      <c r="J181" s="110"/>
      <c r="K181" s="20" t="s">
        <v>1494</v>
      </c>
    </row>
    <row r="182" spans="1:11" ht="91.5" customHeight="1" x14ac:dyDescent="0.2">
      <c r="A182" s="4" t="s">
        <v>4783</v>
      </c>
      <c r="B182" s="4" t="s">
        <v>1491</v>
      </c>
      <c r="C182" s="5" t="s">
        <v>4784</v>
      </c>
      <c r="D182" s="5" t="s">
        <v>4785</v>
      </c>
      <c r="E182" s="5" t="s">
        <v>4786</v>
      </c>
      <c r="F182" s="5" t="s">
        <v>4787</v>
      </c>
      <c r="G182" s="5" t="s">
        <v>4788</v>
      </c>
      <c r="H182" s="45" t="s">
        <v>3934</v>
      </c>
      <c r="I182" s="4" t="s">
        <v>4789</v>
      </c>
      <c r="J182" s="110"/>
      <c r="K182" s="20" t="s">
        <v>1494</v>
      </c>
    </row>
    <row r="183" spans="1:11" ht="53.25" customHeight="1" x14ac:dyDescent="0.2">
      <c r="A183" s="4" t="s">
        <v>4790</v>
      </c>
      <c r="B183" s="4" t="s">
        <v>218</v>
      </c>
      <c r="C183" s="5" t="s">
        <v>4791</v>
      </c>
      <c r="D183" s="5" t="s">
        <v>4792</v>
      </c>
      <c r="E183" s="5" t="s">
        <v>4793</v>
      </c>
      <c r="F183" s="5" t="s">
        <v>4794</v>
      </c>
      <c r="G183" s="5" t="s">
        <v>4795</v>
      </c>
      <c r="H183" s="45" t="s">
        <v>3934</v>
      </c>
      <c r="I183" s="4" t="s">
        <v>4796</v>
      </c>
      <c r="J183" s="110"/>
      <c r="K183" s="20" t="s">
        <v>4061</v>
      </c>
    </row>
    <row r="184" spans="1:11" ht="104.25" customHeight="1" x14ac:dyDescent="0.2">
      <c r="A184" s="4" t="s">
        <v>4797</v>
      </c>
      <c r="B184" s="4" t="s">
        <v>218</v>
      </c>
      <c r="C184" s="5" t="s">
        <v>4798</v>
      </c>
      <c r="D184" s="5" t="s">
        <v>4799</v>
      </c>
      <c r="E184" s="5" t="s">
        <v>4800</v>
      </c>
      <c r="F184" s="5" t="s">
        <v>4801</v>
      </c>
      <c r="G184" s="5" t="s">
        <v>4802</v>
      </c>
      <c r="H184" s="45" t="s">
        <v>3934</v>
      </c>
      <c r="I184" s="4" t="s">
        <v>4803</v>
      </c>
      <c r="J184" s="110"/>
      <c r="K184" s="20" t="s">
        <v>4061</v>
      </c>
    </row>
    <row r="185" spans="1:11" x14ac:dyDescent="0.2">
      <c r="A185" s="1"/>
      <c r="B185" s="1"/>
      <c r="C185" s="1"/>
      <c r="D185" s="1"/>
      <c r="E185" s="1"/>
      <c r="F185" s="1"/>
      <c r="G185" s="1"/>
      <c r="H185" s="1"/>
      <c r="I185" s="1"/>
      <c r="J185" s="1"/>
      <c r="K185" s="1"/>
    </row>
    <row r="186" spans="1:11" x14ac:dyDescent="0.2">
      <c r="A186" s="2" t="s">
        <v>4804</v>
      </c>
      <c r="B186" s="2" t="s">
        <v>4805</v>
      </c>
      <c r="C186" s="2" t="s">
        <v>2154</v>
      </c>
      <c r="D186" s="2" t="s">
        <v>2155</v>
      </c>
      <c r="E186" s="1"/>
      <c r="F186" s="1"/>
      <c r="G186" s="1"/>
      <c r="H186" s="1"/>
      <c r="I186" s="1"/>
      <c r="J186" s="1"/>
      <c r="K186" s="1"/>
    </row>
    <row r="187" spans="1:11" x14ac:dyDescent="0.2">
      <c r="A187" s="38" t="s">
        <v>3841</v>
      </c>
      <c r="B187" s="39">
        <f>COUNTIF($H$4:$H$184,"OK")</f>
        <v>146</v>
      </c>
      <c r="C187" s="39">
        <v>146</v>
      </c>
      <c r="D187" s="111" t="str">
        <f t="shared" ref="D187:D192" si="0">IF(B187=C187,"OK","CHECK")</f>
        <v>OK</v>
      </c>
      <c r="E187" s="1"/>
      <c r="F187" s="1"/>
      <c r="G187" s="1"/>
      <c r="H187" s="1"/>
      <c r="I187" s="1"/>
      <c r="J187" s="1"/>
      <c r="K187" s="1"/>
    </row>
    <row r="188" spans="1:11" x14ac:dyDescent="0.2">
      <c r="A188" s="38" t="s">
        <v>3934</v>
      </c>
      <c r="B188" s="39">
        <f>COUNTIF($H$4:$H$184,"THIN")</f>
        <v>17</v>
      </c>
      <c r="C188" s="39">
        <v>17</v>
      </c>
      <c r="D188" s="111" t="str">
        <f t="shared" si="0"/>
        <v>OK</v>
      </c>
      <c r="E188" s="1"/>
      <c r="F188" s="1"/>
      <c r="G188" s="1"/>
      <c r="H188" s="1"/>
      <c r="I188" s="1"/>
      <c r="J188" s="1"/>
      <c r="K188" s="1"/>
    </row>
    <row r="189" spans="1:11" x14ac:dyDescent="0.2">
      <c r="A189" s="38" t="s">
        <v>3906</v>
      </c>
      <c r="B189" s="39">
        <f>COUNTIF($H$4:$H$184,"AVAIL")</f>
        <v>14</v>
      </c>
      <c r="C189" s="39">
        <v>14</v>
      </c>
      <c r="D189" s="111" t="str">
        <f t="shared" si="0"/>
        <v>OK</v>
      </c>
      <c r="E189" s="1"/>
      <c r="F189" s="1"/>
      <c r="G189" s="1"/>
      <c r="H189" s="1"/>
      <c r="I189" s="1"/>
      <c r="J189" s="1"/>
      <c r="K189" s="1"/>
    </row>
    <row r="190" spans="1:11" x14ac:dyDescent="0.2">
      <c r="A190" s="38" t="s">
        <v>4178</v>
      </c>
      <c r="B190" s="39">
        <f>COUNTIF($H$4:$H$184,"DATA-GAP")</f>
        <v>4</v>
      </c>
      <c r="C190" s="39">
        <v>4</v>
      </c>
      <c r="D190" s="111" t="str">
        <f t="shared" si="0"/>
        <v>OK</v>
      </c>
      <c r="E190" s="1"/>
      <c r="F190" s="1"/>
      <c r="G190" s="1"/>
      <c r="H190" s="1"/>
      <c r="I190" s="1"/>
      <c r="J190" s="1"/>
      <c r="K190" s="1"/>
    </row>
    <row r="191" spans="1:11" x14ac:dyDescent="0.2">
      <c r="A191" s="38" t="s">
        <v>4806</v>
      </c>
      <c r="B191" s="39">
        <f>COUNTIF($H$4:$H$184,"FAIL")</f>
        <v>0</v>
      </c>
      <c r="C191" s="39">
        <v>0</v>
      </c>
      <c r="D191" s="111" t="str">
        <f t="shared" si="0"/>
        <v>OK</v>
      </c>
      <c r="E191" s="1"/>
      <c r="F191" s="1"/>
      <c r="G191" s="1"/>
      <c r="H191" s="1"/>
      <c r="I191" s="1"/>
      <c r="J191" s="1"/>
      <c r="K191" s="1"/>
    </row>
    <row r="192" spans="1:11" x14ac:dyDescent="0.2">
      <c r="A192" s="38" t="s">
        <v>4807</v>
      </c>
      <c r="B192" s="39">
        <f>COUNTA($H$4:$H$184)</f>
        <v>181</v>
      </c>
      <c r="C192" s="39">
        <v>181</v>
      </c>
      <c r="D192" s="111" t="str">
        <f t="shared" si="0"/>
        <v>OK</v>
      </c>
      <c r="E192" s="1"/>
      <c r="F192" s="1"/>
      <c r="G192" s="1"/>
      <c r="H192" s="1"/>
      <c r="I192" s="1"/>
      <c r="J192" s="1"/>
      <c r="K192" s="1"/>
    </row>
    <row r="193" spans="1:11" x14ac:dyDescent="0.2">
      <c r="A193" s="38" t="s">
        <v>4808</v>
      </c>
      <c r="B193" s="39">
        <f>B192-B187</f>
        <v>35</v>
      </c>
      <c r="C193" s="39"/>
      <c r="D193" s="39"/>
      <c r="E193" s="1"/>
      <c r="F193" s="1"/>
      <c r="G193" s="1"/>
      <c r="H193" s="1"/>
      <c r="I193" s="1"/>
      <c r="J193" s="1"/>
      <c r="K193" s="1"/>
    </row>
  </sheetData>
  <mergeCells count="2">
    <mergeCell ref="A1:K1"/>
    <mergeCell ref="A2:K2"/>
  </mergeCells>
  <conditionalFormatting sqref="H4:H184">
    <cfRule type="containsText" dxfId="8" priority="1" operator="containsText" text="THIN">
      <formula>NOT(ISERROR(SEARCH("THIN",H4)))</formula>
    </cfRule>
    <cfRule type="containsText" dxfId="7" priority="2" operator="containsText" text="AVAIL">
      <formula>NOT(ISERROR(SEARCH("AVAIL",H4)))</formula>
    </cfRule>
    <cfRule type="containsText" dxfId="6" priority="3" operator="containsText" text="DATA-GAP">
      <formula>NOT(ISERROR(SEARCH("DATA-GAP",H4)))</formula>
    </cfRule>
    <cfRule type="containsText" dxfId="5" priority="4" operator="containsText" text="FAIL">
      <formula>NOT(ISERROR(SEARCH("FAIL",H4)))</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C179-00F8-41E5-ADC3-931BE87DF79E}">
  <dimension ref="A1:H130"/>
  <sheetViews>
    <sheetView workbookViewId="0">
      <pane xSplit="2" ySplit="3" topLeftCell="C4" activePane="bottomRight" state="frozen"/>
      <selection pane="topRight"/>
      <selection pane="bottomLeft"/>
      <selection pane="bottomRight" sqref="A1:H1"/>
    </sheetView>
  </sheetViews>
  <sheetFormatPr baseColWidth="10" defaultColWidth="8.83203125" defaultRowHeight="15" x14ac:dyDescent="0.2"/>
  <cols>
    <col min="1" max="1" width="8.6640625" customWidth="1"/>
    <col min="2" max="2" width="44.6640625" customWidth="1"/>
    <col min="3" max="3" width="40.6640625" customWidth="1"/>
    <col min="4" max="4" width="7.6640625" customWidth="1"/>
    <col min="5" max="5" width="70.6640625" customWidth="1"/>
    <col min="6" max="6" width="40.6640625" customWidth="1"/>
    <col min="7" max="7" width="44.6640625" customWidth="1"/>
    <col min="8" max="8" width="28.6640625" customWidth="1"/>
  </cols>
  <sheetData>
    <row r="1" spans="1:8" ht="21.75" customHeight="1" x14ac:dyDescent="0.2">
      <c r="A1" s="156" t="s">
        <v>4809</v>
      </c>
      <c r="B1" s="157"/>
      <c r="C1" s="157"/>
      <c r="D1" s="157"/>
      <c r="E1" s="157"/>
      <c r="F1" s="157"/>
      <c r="G1" s="157"/>
      <c r="H1" s="157"/>
    </row>
    <row r="2" spans="1:8" ht="44.25" customHeight="1" x14ac:dyDescent="0.2">
      <c r="A2" s="155" t="s">
        <v>4810</v>
      </c>
      <c r="B2" s="157"/>
      <c r="C2" s="157"/>
      <c r="D2" s="157"/>
      <c r="E2" s="157"/>
      <c r="F2" s="157"/>
      <c r="G2" s="157"/>
      <c r="H2" s="157"/>
    </row>
    <row r="3" spans="1:8" ht="30" customHeight="1" x14ac:dyDescent="0.2">
      <c r="A3" s="3" t="s">
        <v>4811</v>
      </c>
      <c r="B3" s="3" t="s">
        <v>4812</v>
      </c>
      <c r="C3" s="3" t="s">
        <v>21</v>
      </c>
      <c r="D3" s="3" t="s">
        <v>3576</v>
      </c>
      <c r="E3" s="3" t="s">
        <v>4813</v>
      </c>
      <c r="F3" s="3" t="s">
        <v>4814</v>
      </c>
      <c r="G3" s="3" t="s">
        <v>4815</v>
      </c>
      <c r="H3" s="3" t="s">
        <v>4816</v>
      </c>
    </row>
    <row r="4" spans="1:8" ht="40.5" customHeight="1" x14ac:dyDescent="0.2">
      <c r="A4" s="44" t="s">
        <v>4817</v>
      </c>
      <c r="B4" s="4" t="s">
        <v>4818</v>
      </c>
      <c r="C4" s="5" t="s">
        <v>4819</v>
      </c>
      <c r="D4" s="45" t="s">
        <v>2621</v>
      </c>
      <c r="E4" s="4" t="s">
        <v>4820</v>
      </c>
      <c r="F4" s="4" t="s">
        <v>4821</v>
      </c>
      <c r="G4" s="4" t="s">
        <v>4822</v>
      </c>
      <c r="H4" s="4" t="s">
        <v>4823</v>
      </c>
    </row>
    <row r="5" spans="1:8" ht="66" customHeight="1" x14ac:dyDescent="0.2">
      <c r="A5" s="44" t="s">
        <v>4824</v>
      </c>
      <c r="B5" s="4" t="s">
        <v>4825</v>
      </c>
      <c r="C5" s="5" t="s">
        <v>4826</v>
      </c>
      <c r="D5" s="45" t="s">
        <v>3526</v>
      </c>
      <c r="E5" s="4" t="s">
        <v>4827</v>
      </c>
      <c r="F5" s="4" t="s">
        <v>4828</v>
      </c>
      <c r="G5" s="4" t="s">
        <v>4829</v>
      </c>
      <c r="H5" s="4" t="s">
        <v>4830</v>
      </c>
    </row>
    <row r="6" spans="1:8" ht="53.25" customHeight="1" x14ac:dyDescent="0.2">
      <c r="A6" s="44" t="s">
        <v>4831</v>
      </c>
      <c r="B6" s="4" t="s">
        <v>4832</v>
      </c>
      <c r="C6" s="5" t="s">
        <v>4833</v>
      </c>
      <c r="D6" s="45" t="s">
        <v>2648</v>
      </c>
      <c r="E6" s="4" t="s">
        <v>4834</v>
      </c>
      <c r="F6" s="4" t="s">
        <v>4835</v>
      </c>
      <c r="G6" s="4" t="s">
        <v>4836</v>
      </c>
      <c r="H6" s="4" t="s">
        <v>4837</v>
      </c>
    </row>
    <row r="7" spans="1:8" ht="53.25" customHeight="1" x14ac:dyDescent="0.2">
      <c r="A7" s="44" t="s">
        <v>4838</v>
      </c>
      <c r="B7" s="4" t="s">
        <v>4839</v>
      </c>
      <c r="C7" s="5" t="s">
        <v>4840</v>
      </c>
      <c r="D7" s="45" t="s">
        <v>3526</v>
      </c>
      <c r="E7" s="4" t="s">
        <v>4841</v>
      </c>
      <c r="F7" s="4" t="s">
        <v>4842</v>
      </c>
      <c r="G7" s="4" t="s">
        <v>4843</v>
      </c>
      <c r="H7" s="4" t="s">
        <v>4844</v>
      </c>
    </row>
    <row r="8" spans="1:8" ht="53.25" customHeight="1" x14ac:dyDescent="0.2">
      <c r="A8" s="44" t="s">
        <v>4845</v>
      </c>
      <c r="B8" s="4" t="s">
        <v>4846</v>
      </c>
      <c r="C8" s="5" t="s">
        <v>4847</v>
      </c>
      <c r="D8" s="45" t="s">
        <v>2648</v>
      </c>
      <c r="E8" s="4" t="s">
        <v>4848</v>
      </c>
      <c r="F8" s="4" t="s">
        <v>4849</v>
      </c>
      <c r="G8" s="4" t="s">
        <v>4850</v>
      </c>
      <c r="H8" s="4" t="s">
        <v>4851</v>
      </c>
    </row>
    <row r="9" spans="1:8" ht="53.25" customHeight="1" x14ac:dyDescent="0.2">
      <c r="A9" s="44" t="s">
        <v>4852</v>
      </c>
      <c r="B9" s="4" t="s">
        <v>4853</v>
      </c>
      <c r="C9" s="5" t="s">
        <v>4854</v>
      </c>
      <c r="D9" s="45" t="s">
        <v>2648</v>
      </c>
      <c r="E9" s="4" t="s">
        <v>4855</v>
      </c>
      <c r="F9" s="4" t="s">
        <v>4856</v>
      </c>
      <c r="G9" s="4" t="s">
        <v>4857</v>
      </c>
      <c r="H9" s="4" t="s">
        <v>4851</v>
      </c>
    </row>
    <row r="10" spans="1:8" ht="66" customHeight="1" x14ac:dyDescent="0.2">
      <c r="A10" s="44" t="s">
        <v>4858</v>
      </c>
      <c r="B10" s="4" t="s">
        <v>4859</v>
      </c>
      <c r="C10" s="5" t="s">
        <v>4860</v>
      </c>
      <c r="D10" s="45" t="s">
        <v>3526</v>
      </c>
      <c r="E10" s="4" t="s">
        <v>4861</v>
      </c>
      <c r="F10" s="4" t="s">
        <v>4862</v>
      </c>
      <c r="G10" s="4" t="s">
        <v>4863</v>
      </c>
      <c r="H10" s="4" t="s">
        <v>4864</v>
      </c>
    </row>
    <row r="11" spans="1:8" ht="53.25" customHeight="1" x14ac:dyDescent="0.2">
      <c r="A11" s="44" t="s">
        <v>4865</v>
      </c>
      <c r="B11" s="4" t="s">
        <v>4866</v>
      </c>
      <c r="C11" s="5" t="s">
        <v>4867</v>
      </c>
      <c r="D11" s="45" t="s">
        <v>2648</v>
      </c>
      <c r="E11" s="4" t="s">
        <v>4868</v>
      </c>
      <c r="F11" s="4" t="s">
        <v>4869</v>
      </c>
      <c r="G11" s="4" t="s">
        <v>4870</v>
      </c>
      <c r="H11" s="4" t="s">
        <v>4837</v>
      </c>
    </row>
    <row r="12" spans="1:8" ht="78.75" customHeight="1" x14ac:dyDescent="0.2">
      <c r="A12" s="44" t="s">
        <v>4871</v>
      </c>
      <c r="B12" s="4" t="s">
        <v>4872</v>
      </c>
      <c r="C12" s="5" t="s">
        <v>4873</v>
      </c>
      <c r="D12" s="45" t="s">
        <v>2648</v>
      </c>
      <c r="E12" s="4" t="s">
        <v>4874</v>
      </c>
      <c r="F12" s="4" t="s">
        <v>4875</v>
      </c>
      <c r="G12" s="4" t="s">
        <v>4876</v>
      </c>
      <c r="H12" s="4" t="s">
        <v>4837</v>
      </c>
    </row>
    <row r="13" spans="1:8" ht="53.25" customHeight="1" x14ac:dyDescent="0.2">
      <c r="A13" s="44" t="s">
        <v>4877</v>
      </c>
      <c r="B13" s="4" t="s">
        <v>4878</v>
      </c>
      <c r="C13" s="5" t="s">
        <v>4879</v>
      </c>
      <c r="D13" s="45" t="s">
        <v>2648</v>
      </c>
      <c r="E13" s="4" t="s">
        <v>4880</v>
      </c>
      <c r="F13" s="4" t="s">
        <v>4881</v>
      </c>
      <c r="G13" s="4" t="s">
        <v>4882</v>
      </c>
      <c r="H13" s="4" t="s">
        <v>4837</v>
      </c>
    </row>
    <row r="14" spans="1:8" ht="66" customHeight="1" x14ac:dyDescent="0.2">
      <c r="A14" s="44" t="s">
        <v>4883</v>
      </c>
      <c r="B14" s="4" t="s">
        <v>4884</v>
      </c>
      <c r="C14" s="5" t="s">
        <v>4885</v>
      </c>
      <c r="D14" s="45" t="s">
        <v>2648</v>
      </c>
      <c r="E14" s="4" t="s">
        <v>4886</v>
      </c>
      <c r="F14" s="4" t="s">
        <v>4887</v>
      </c>
      <c r="G14" s="4" t="s">
        <v>4888</v>
      </c>
      <c r="H14" s="4" t="s">
        <v>4837</v>
      </c>
    </row>
    <row r="15" spans="1:8" ht="66" customHeight="1" x14ac:dyDescent="0.2">
      <c r="A15" s="44" t="s">
        <v>4889</v>
      </c>
      <c r="B15" s="4" t="s">
        <v>4890</v>
      </c>
      <c r="C15" s="5" t="s">
        <v>4891</v>
      </c>
      <c r="D15" s="45" t="s">
        <v>3526</v>
      </c>
      <c r="E15" s="4" t="s">
        <v>4892</v>
      </c>
      <c r="F15" s="4" t="s">
        <v>4893</v>
      </c>
      <c r="G15" s="4" t="s">
        <v>4894</v>
      </c>
      <c r="H15" s="4" t="s">
        <v>4864</v>
      </c>
    </row>
    <row r="16" spans="1:8" ht="78.75" customHeight="1" x14ac:dyDescent="0.2">
      <c r="A16" s="44" t="s">
        <v>4895</v>
      </c>
      <c r="B16" s="4" t="s">
        <v>4896</v>
      </c>
      <c r="C16" s="5" t="s">
        <v>4897</v>
      </c>
      <c r="D16" s="45" t="s">
        <v>2648</v>
      </c>
      <c r="E16" s="4" t="s">
        <v>4898</v>
      </c>
      <c r="F16" s="4" t="s">
        <v>4899</v>
      </c>
      <c r="G16" s="4" t="s">
        <v>4900</v>
      </c>
      <c r="H16" s="4" t="s">
        <v>4837</v>
      </c>
    </row>
    <row r="17" spans="1:8" ht="66" customHeight="1" x14ac:dyDescent="0.2">
      <c r="A17" s="44" t="s">
        <v>4901</v>
      </c>
      <c r="B17" s="4" t="s">
        <v>4902</v>
      </c>
      <c r="C17" s="5" t="s">
        <v>4903</v>
      </c>
      <c r="D17" s="45" t="s">
        <v>3526</v>
      </c>
      <c r="E17" s="4" t="s">
        <v>4904</v>
      </c>
      <c r="F17" s="4" t="s">
        <v>4905</v>
      </c>
      <c r="G17" s="4" t="s">
        <v>4906</v>
      </c>
      <c r="H17" s="4" t="s">
        <v>4864</v>
      </c>
    </row>
    <row r="18" spans="1:8" ht="78.75" customHeight="1" x14ac:dyDescent="0.2">
      <c r="A18" s="44" t="s">
        <v>4907</v>
      </c>
      <c r="B18" s="4" t="s">
        <v>4908</v>
      </c>
      <c r="C18" s="5" t="s">
        <v>4909</v>
      </c>
      <c r="D18" s="45" t="s">
        <v>2648</v>
      </c>
      <c r="E18" s="4" t="s">
        <v>4910</v>
      </c>
      <c r="F18" s="4" t="s">
        <v>4911</v>
      </c>
      <c r="G18" s="4" t="s">
        <v>4912</v>
      </c>
      <c r="H18" s="4" t="s">
        <v>4851</v>
      </c>
    </row>
    <row r="19" spans="1:8" ht="66" customHeight="1" x14ac:dyDescent="0.2">
      <c r="A19" s="44" t="s">
        <v>4913</v>
      </c>
      <c r="B19" s="4" t="s">
        <v>4914</v>
      </c>
      <c r="C19" s="5" t="s">
        <v>4915</v>
      </c>
      <c r="D19" s="45" t="s">
        <v>2648</v>
      </c>
      <c r="E19" s="4" t="s">
        <v>4916</v>
      </c>
      <c r="F19" s="4" t="s">
        <v>4917</v>
      </c>
      <c r="G19" s="4" t="s">
        <v>4918</v>
      </c>
      <c r="H19" s="4" t="s">
        <v>4837</v>
      </c>
    </row>
    <row r="20" spans="1:8" ht="53.25" customHeight="1" x14ac:dyDescent="0.2">
      <c r="A20" s="44" t="s">
        <v>4919</v>
      </c>
      <c r="B20" s="4" t="s">
        <v>4920</v>
      </c>
      <c r="C20" s="5" t="s">
        <v>4921</v>
      </c>
      <c r="D20" s="45" t="s">
        <v>2648</v>
      </c>
      <c r="E20" s="4" t="s">
        <v>4922</v>
      </c>
      <c r="F20" s="4" t="s">
        <v>4923</v>
      </c>
      <c r="G20" s="4" t="s">
        <v>4924</v>
      </c>
      <c r="H20" s="4" t="s">
        <v>4851</v>
      </c>
    </row>
    <row r="21" spans="1:8" ht="66" customHeight="1" x14ac:dyDescent="0.2">
      <c r="A21" s="44" t="s">
        <v>4925</v>
      </c>
      <c r="B21" s="4" t="s">
        <v>4926</v>
      </c>
      <c r="C21" s="5" t="s">
        <v>4927</v>
      </c>
      <c r="D21" s="45" t="s">
        <v>3526</v>
      </c>
      <c r="E21" s="4" t="s">
        <v>4928</v>
      </c>
      <c r="F21" s="4" t="s">
        <v>4929</v>
      </c>
      <c r="G21" s="4" t="s">
        <v>4930</v>
      </c>
      <c r="H21" s="4" t="s">
        <v>4864</v>
      </c>
    </row>
    <row r="22" spans="1:8" ht="66" customHeight="1" x14ac:dyDescent="0.2">
      <c r="A22" s="44" t="s">
        <v>4931</v>
      </c>
      <c r="B22" s="4" t="s">
        <v>4932</v>
      </c>
      <c r="C22" s="5" t="s">
        <v>4933</v>
      </c>
      <c r="D22" s="45" t="s">
        <v>3526</v>
      </c>
      <c r="E22" s="4" t="s">
        <v>4934</v>
      </c>
      <c r="F22" s="4" t="s">
        <v>4935</v>
      </c>
      <c r="G22" s="4" t="s">
        <v>4936</v>
      </c>
      <c r="H22" s="4" t="s">
        <v>4864</v>
      </c>
    </row>
    <row r="23" spans="1:8" ht="91.5" customHeight="1" x14ac:dyDescent="0.2">
      <c r="A23" s="44" t="s">
        <v>4937</v>
      </c>
      <c r="B23" s="4" t="s">
        <v>4938</v>
      </c>
      <c r="C23" s="5" t="s">
        <v>4939</v>
      </c>
      <c r="D23" s="45" t="s">
        <v>2648</v>
      </c>
      <c r="E23" s="4" t="s">
        <v>4940</v>
      </c>
      <c r="F23" s="4" t="s">
        <v>4941</v>
      </c>
      <c r="G23" s="4" t="s">
        <v>4942</v>
      </c>
      <c r="H23" s="4" t="s">
        <v>4837</v>
      </c>
    </row>
    <row r="24" spans="1:8" ht="66" customHeight="1" x14ac:dyDescent="0.2">
      <c r="A24" s="44" t="s">
        <v>4943</v>
      </c>
      <c r="B24" s="4" t="s">
        <v>4944</v>
      </c>
      <c r="C24" s="5" t="s">
        <v>4945</v>
      </c>
      <c r="D24" s="45" t="s">
        <v>2648</v>
      </c>
      <c r="E24" s="4" t="s">
        <v>4946</v>
      </c>
      <c r="F24" s="4" t="s">
        <v>4947</v>
      </c>
      <c r="G24" s="4" t="s">
        <v>4948</v>
      </c>
      <c r="H24" s="4" t="s">
        <v>4837</v>
      </c>
    </row>
    <row r="25" spans="1:8" ht="129.75" customHeight="1" x14ac:dyDescent="0.2">
      <c r="A25" s="44" t="s">
        <v>4949</v>
      </c>
      <c r="B25" s="4" t="s">
        <v>4950</v>
      </c>
      <c r="C25" s="5" t="s">
        <v>4951</v>
      </c>
      <c r="D25" s="45" t="s">
        <v>2648</v>
      </c>
      <c r="E25" s="4" t="s">
        <v>4952</v>
      </c>
      <c r="F25" s="4" t="s">
        <v>4953</v>
      </c>
      <c r="G25" s="4" t="s">
        <v>4954</v>
      </c>
      <c r="H25" s="4" t="s">
        <v>4837</v>
      </c>
    </row>
    <row r="26" spans="1:8" ht="104.25" customHeight="1" x14ac:dyDescent="0.2">
      <c r="A26" s="44" t="s">
        <v>4955</v>
      </c>
      <c r="B26" s="4" t="s">
        <v>4956</v>
      </c>
      <c r="C26" s="5" t="s">
        <v>4957</v>
      </c>
      <c r="D26" s="45" t="s">
        <v>2648</v>
      </c>
      <c r="E26" s="4" t="s">
        <v>4958</v>
      </c>
      <c r="F26" s="4" t="s">
        <v>4959</v>
      </c>
      <c r="G26" s="4" t="s">
        <v>4960</v>
      </c>
      <c r="H26" s="4" t="s">
        <v>4851</v>
      </c>
    </row>
    <row r="27" spans="1:8" ht="104.25" customHeight="1" x14ac:dyDescent="0.2">
      <c r="A27" s="44" t="s">
        <v>4961</v>
      </c>
      <c r="B27" s="4" t="s">
        <v>4962</v>
      </c>
      <c r="C27" s="5" t="s">
        <v>4963</v>
      </c>
      <c r="D27" s="45" t="s">
        <v>2648</v>
      </c>
      <c r="E27" s="4" t="s">
        <v>4964</v>
      </c>
      <c r="F27" s="4" t="s">
        <v>4965</v>
      </c>
      <c r="G27" s="4" t="s">
        <v>4966</v>
      </c>
      <c r="H27" s="4" t="s">
        <v>4837</v>
      </c>
    </row>
    <row r="28" spans="1:8" ht="53.25" customHeight="1" x14ac:dyDescent="0.2">
      <c r="A28" s="44" t="s">
        <v>4967</v>
      </c>
      <c r="B28" s="4" t="s">
        <v>4968</v>
      </c>
      <c r="C28" s="5" t="s">
        <v>4969</v>
      </c>
      <c r="D28" s="45" t="s">
        <v>2648</v>
      </c>
      <c r="E28" s="4" t="s">
        <v>4970</v>
      </c>
      <c r="F28" s="4" t="s">
        <v>162</v>
      </c>
      <c r="G28" s="4" t="s">
        <v>4971</v>
      </c>
      <c r="H28" s="4" t="s">
        <v>4837</v>
      </c>
    </row>
    <row r="29" spans="1:8" ht="129.75" customHeight="1" x14ac:dyDescent="0.2">
      <c r="A29" s="44" t="s">
        <v>4972</v>
      </c>
      <c r="B29" s="4" t="s">
        <v>4973</v>
      </c>
      <c r="C29" s="5" t="s">
        <v>4974</v>
      </c>
      <c r="D29" s="45" t="s">
        <v>2648</v>
      </c>
      <c r="E29" s="4" t="s">
        <v>4975</v>
      </c>
      <c r="F29" s="4" t="s">
        <v>4976</v>
      </c>
      <c r="G29" s="4" t="s">
        <v>4977</v>
      </c>
      <c r="H29" s="4" t="s">
        <v>4837</v>
      </c>
    </row>
    <row r="30" spans="1:8" ht="53.25" customHeight="1" x14ac:dyDescent="0.2">
      <c r="A30" s="44" t="s">
        <v>4978</v>
      </c>
      <c r="B30" s="4" t="s">
        <v>4979</v>
      </c>
      <c r="C30" s="5" t="s">
        <v>4980</v>
      </c>
      <c r="D30" s="45" t="s">
        <v>2621</v>
      </c>
      <c r="E30" s="4" t="s">
        <v>4981</v>
      </c>
      <c r="F30" s="4" t="s">
        <v>4982</v>
      </c>
      <c r="G30" s="4" t="s">
        <v>4822</v>
      </c>
      <c r="H30" s="4" t="s">
        <v>4823</v>
      </c>
    </row>
    <row r="31" spans="1:8" ht="53.25" customHeight="1" x14ac:dyDescent="0.2">
      <c r="A31" s="44" t="s">
        <v>4983</v>
      </c>
      <c r="B31" s="4" t="s">
        <v>4984</v>
      </c>
      <c r="C31" s="5" t="s">
        <v>4985</v>
      </c>
      <c r="D31" s="45" t="s">
        <v>2648</v>
      </c>
      <c r="E31" s="4" t="s">
        <v>4986</v>
      </c>
      <c r="F31" s="4" t="s">
        <v>4987</v>
      </c>
      <c r="G31" s="4" t="s">
        <v>4988</v>
      </c>
      <c r="H31" s="4" t="s">
        <v>4837</v>
      </c>
    </row>
    <row r="32" spans="1:8" ht="53.25" customHeight="1" x14ac:dyDescent="0.2">
      <c r="A32" s="44" t="s">
        <v>4989</v>
      </c>
      <c r="B32" s="4" t="s">
        <v>4990</v>
      </c>
      <c r="C32" s="5" t="s">
        <v>4991</v>
      </c>
      <c r="D32" s="45" t="s">
        <v>2648</v>
      </c>
      <c r="E32" s="4" t="s">
        <v>4992</v>
      </c>
      <c r="F32" s="4" t="s">
        <v>4993</v>
      </c>
      <c r="G32" s="4" t="s">
        <v>4994</v>
      </c>
      <c r="H32" s="4" t="s">
        <v>4837</v>
      </c>
    </row>
    <row r="33" spans="1:8" ht="53.25" customHeight="1" x14ac:dyDescent="0.2">
      <c r="A33" s="44" t="s">
        <v>4995</v>
      </c>
      <c r="B33" s="4" t="s">
        <v>4996</v>
      </c>
      <c r="C33" s="5" t="s">
        <v>4997</v>
      </c>
      <c r="D33" s="45" t="s">
        <v>2648</v>
      </c>
      <c r="E33" s="4" t="s">
        <v>4998</v>
      </c>
      <c r="F33" s="4" t="s">
        <v>4999</v>
      </c>
      <c r="G33" s="4" t="s">
        <v>5000</v>
      </c>
      <c r="H33" s="4" t="s">
        <v>4851</v>
      </c>
    </row>
    <row r="34" spans="1:8" ht="66" customHeight="1" x14ac:dyDescent="0.2">
      <c r="A34" s="44" t="s">
        <v>5001</v>
      </c>
      <c r="B34" s="4" t="s">
        <v>5002</v>
      </c>
      <c r="C34" s="5" t="s">
        <v>5003</v>
      </c>
      <c r="D34" s="45" t="s">
        <v>3526</v>
      </c>
      <c r="E34" s="4" t="s">
        <v>5004</v>
      </c>
      <c r="F34" s="4" t="s">
        <v>5005</v>
      </c>
      <c r="G34" s="4" t="s">
        <v>5006</v>
      </c>
      <c r="H34" s="4" t="s">
        <v>4830</v>
      </c>
    </row>
    <row r="35" spans="1:8" ht="66" customHeight="1" x14ac:dyDescent="0.2">
      <c r="A35" s="44" t="s">
        <v>5007</v>
      </c>
      <c r="B35" s="4" t="s">
        <v>5008</v>
      </c>
      <c r="C35" s="5" t="s">
        <v>5009</v>
      </c>
      <c r="D35" s="45" t="s">
        <v>3526</v>
      </c>
      <c r="E35" s="4" t="s">
        <v>5010</v>
      </c>
      <c r="F35" s="4" t="s">
        <v>5011</v>
      </c>
      <c r="G35" s="4" t="s">
        <v>5012</v>
      </c>
      <c r="H35" s="4" t="s">
        <v>4830</v>
      </c>
    </row>
    <row r="36" spans="1:8" ht="78.75" customHeight="1" x14ac:dyDescent="0.2">
      <c r="A36" s="44" t="s">
        <v>5013</v>
      </c>
      <c r="B36" s="4" t="s">
        <v>5014</v>
      </c>
      <c r="C36" s="5" t="s">
        <v>5015</v>
      </c>
      <c r="D36" s="45" t="s">
        <v>3526</v>
      </c>
      <c r="E36" s="4" t="s">
        <v>5016</v>
      </c>
      <c r="F36" s="4" t="s">
        <v>5017</v>
      </c>
      <c r="G36" s="4" t="s">
        <v>5018</v>
      </c>
      <c r="H36" s="4" t="s">
        <v>4830</v>
      </c>
    </row>
    <row r="37" spans="1:8" ht="40.5" customHeight="1" x14ac:dyDescent="0.2">
      <c r="A37" s="44" t="s">
        <v>5019</v>
      </c>
      <c r="B37" s="4" t="s">
        <v>5020</v>
      </c>
      <c r="C37" s="5" t="s">
        <v>5021</v>
      </c>
      <c r="D37" s="45" t="s">
        <v>2621</v>
      </c>
      <c r="E37" s="4" t="s">
        <v>5022</v>
      </c>
      <c r="F37" s="4" t="s">
        <v>5023</v>
      </c>
      <c r="G37" s="4" t="s">
        <v>4822</v>
      </c>
      <c r="H37" s="4" t="s">
        <v>4823</v>
      </c>
    </row>
    <row r="38" spans="1:8" ht="53.25" customHeight="1" x14ac:dyDescent="0.2">
      <c r="A38" s="44" t="s">
        <v>5024</v>
      </c>
      <c r="B38" s="4" t="s">
        <v>5025</v>
      </c>
      <c r="C38" s="5" t="s">
        <v>5026</v>
      </c>
      <c r="D38" s="45" t="s">
        <v>2648</v>
      </c>
      <c r="E38" s="4" t="s">
        <v>5027</v>
      </c>
      <c r="F38" s="4" t="s">
        <v>5028</v>
      </c>
      <c r="G38" s="4" t="s">
        <v>5029</v>
      </c>
      <c r="H38" s="4" t="s">
        <v>4837</v>
      </c>
    </row>
    <row r="39" spans="1:8" ht="66" customHeight="1" x14ac:dyDescent="0.2">
      <c r="A39" s="44" t="s">
        <v>5030</v>
      </c>
      <c r="B39" s="4" t="s">
        <v>5031</v>
      </c>
      <c r="C39" s="5" t="s">
        <v>5032</v>
      </c>
      <c r="D39" s="45" t="s">
        <v>3526</v>
      </c>
      <c r="E39" s="4" t="s">
        <v>5033</v>
      </c>
      <c r="F39" s="4" t="s">
        <v>5034</v>
      </c>
      <c r="G39" s="4" t="s">
        <v>5035</v>
      </c>
      <c r="H39" s="4" t="s">
        <v>4830</v>
      </c>
    </row>
    <row r="40" spans="1:8" ht="91.5" customHeight="1" x14ac:dyDescent="0.2">
      <c r="A40" s="44" t="s">
        <v>5036</v>
      </c>
      <c r="B40" s="4" t="s">
        <v>5037</v>
      </c>
      <c r="C40" s="5" t="s">
        <v>5038</v>
      </c>
      <c r="D40" s="45" t="s">
        <v>2648</v>
      </c>
      <c r="E40" s="4" t="s">
        <v>5039</v>
      </c>
      <c r="F40" s="4" t="s">
        <v>5040</v>
      </c>
      <c r="G40" s="4" t="s">
        <v>5041</v>
      </c>
      <c r="H40" s="4" t="s">
        <v>4851</v>
      </c>
    </row>
    <row r="41" spans="1:8" ht="66" customHeight="1" x14ac:dyDescent="0.2">
      <c r="A41" s="44" t="s">
        <v>5042</v>
      </c>
      <c r="B41" s="4" t="s">
        <v>5043</v>
      </c>
      <c r="C41" s="5" t="s">
        <v>5044</v>
      </c>
      <c r="D41" s="45" t="s">
        <v>2648</v>
      </c>
      <c r="E41" s="4" t="s">
        <v>5045</v>
      </c>
      <c r="F41" s="4" t="s">
        <v>5046</v>
      </c>
      <c r="G41" s="4" t="s">
        <v>5047</v>
      </c>
      <c r="H41" s="4" t="s">
        <v>4837</v>
      </c>
    </row>
    <row r="42" spans="1:8" ht="66" customHeight="1" x14ac:dyDescent="0.2">
      <c r="A42" s="44" t="s">
        <v>5048</v>
      </c>
      <c r="B42" s="4" t="s">
        <v>5049</v>
      </c>
      <c r="C42" s="5" t="s">
        <v>5050</v>
      </c>
      <c r="D42" s="45" t="s">
        <v>2648</v>
      </c>
      <c r="E42" s="4" t="s">
        <v>5051</v>
      </c>
      <c r="F42" s="4" t="s">
        <v>5052</v>
      </c>
      <c r="G42" s="4" t="s">
        <v>5053</v>
      </c>
      <c r="H42" s="4" t="s">
        <v>4837</v>
      </c>
    </row>
    <row r="43" spans="1:8" ht="53.25" customHeight="1" x14ac:dyDescent="0.2">
      <c r="A43" s="44" t="s">
        <v>5054</v>
      </c>
      <c r="B43" s="4" t="s">
        <v>5055</v>
      </c>
      <c r="C43" s="5" t="s">
        <v>5056</v>
      </c>
      <c r="D43" s="45" t="s">
        <v>2648</v>
      </c>
      <c r="E43" s="4" t="s">
        <v>5057</v>
      </c>
      <c r="F43" s="4" t="s">
        <v>5058</v>
      </c>
      <c r="G43" s="4" t="s">
        <v>5059</v>
      </c>
      <c r="H43" s="4" t="s">
        <v>4837</v>
      </c>
    </row>
    <row r="44" spans="1:8" ht="53.25" customHeight="1" x14ac:dyDescent="0.2">
      <c r="A44" s="44" t="s">
        <v>5060</v>
      </c>
      <c r="B44" s="4" t="s">
        <v>5061</v>
      </c>
      <c r="C44" s="5" t="s">
        <v>5062</v>
      </c>
      <c r="D44" s="45" t="s">
        <v>2648</v>
      </c>
      <c r="E44" s="4" t="s">
        <v>5063</v>
      </c>
      <c r="F44" s="4" t="s">
        <v>5064</v>
      </c>
      <c r="G44" s="4" t="s">
        <v>5065</v>
      </c>
      <c r="H44" s="4" t="s">
        <v>4837</v>
      </c>
    </row>
    <row r="45" spans="1:8" ht="53.25" customHeight="1" x14ac:dyDescent="0.2">
      <c r="A45" s="44" t="s">
        <v>5066</v>
      </c>
      <c r="B45" s="4" t="s">
        <v>5067</v>
      </c>
      <c r="C45" s="5" t="s">
        <v>5068</v>
      </c>
      <c r="D45" s="45" t="s">
        <v>2648</v>
      </c>
      <c r="E45" s="4" t="s">
        <v>5069</v>
      </c>
      <c r="F45" s="4" t="s">
        <v>5070</v>
      </c>
      <c r="G45" s="4" t="s">
        <v>5071</v>
      </c>
      <c r="H45" s="4" t="s">
        <v>4837</v>
      </c>
    </row>
    <row r="46" spans="1:8" ht="53.25" customHeight="1" x14ac:dyDescent="0.2">
      <c r="A46" s="44" t="s">
        <v>5072</v>
      </c>
      <c r="B46" s="4" t="s">
        <v>5073</v>
      </c>
      <c r="C46" s="5" t="s">
        <v>5074</v>
      </c>
      <c r="D46" s="45" t="s">
        <v>2648</v>
      </c>
      <c r="E46" s="4" t="s">
        <v>5075</v>
      </c>
      <c r="F46" s="4" t="s">
        <v>5076</v>
      </c>
      <c r="G46" s="4" t="s">
        <v>5077</v>
      </c>
      <c r="H46" s="4" t="s">
        <v>4851</v>
      </c>
    </row>
    <row r="47" spans="1:8" ht="53.25" customHeight="1" x14ac:dyDescent="0.2">
      <c r="A47" s="44" t="s">
        <v>5078</v>
      </c>
      <c r="B47" s="4" t="s">
        <v>5079</v>
      </c>
      <c r="C47" s="5" t="s">
        <v>5080</v>
      </c>
      <c r="D47" s="45" t="s">
        <v>2648</v>
      </c>
      <c r="E47" s="4" t="s">
        <v>5081</v>
      </c>
      <c r="F47" s="4" t="s">
        <v>5082</v>
      </c>
      <c r="G47" s="4" t="s">
        <v>5083</v>
      </c>
      <c r="H47" s="4" t="s">
        <v>4851</v>
      </c>
    </row>
    <row r="48" spans="1:8" ht="53.25" customHeight="1" x14ac:dyDescent="0.2">
      <c r="A48" s="44" t="s">
        <v>5084</v>
      </c>
      <c r="B48" s="4" t="s">
        <v>5085</v>
      </c>
      <c r="C48" s="5" t="s">
        <v>5086</v>
      </c>
      <c r="D48" s="45" t="s">
        <v>2648</v>
      </c>
      <c r="E48" s="4" t="s">
        <v>5087</v>
      </c>
      <c r="F48" s="4" t="s">
        <v>5088</v>
      </c>
      <c r="G48" s="4" t="s">
        <v>5089</v>
      </c>
      <c r="H48" s="4" t="s">
        <v>4851</v>
      </c>
    </row>
    <row r="49" spans="1:8" ht="53.25" customHeight="1" x14ac:dyDescent="0.2">
      <c r="A49" s="44" t="s">
        <v>5090</v>
      </c>
      <c r="B49" s="4" t="s">
        <v>5091</v>
      </c>
      <c r="C49" s="5" t="s">
        <v>5092</v>
      </c>
      <c r="D49" s="45" t="s">
        <v>2648</v>
      </c>
      <c r="E49" s="4" t="s">
        <v>5093</v>
      </c>
      <c r="F49" s="4" t="s">
        <v>5094</v>
      </c>
      <c r="G49" s="4" t="s">
        <v>5095</v>
      </c>
      <c r="H49" s="4" t="s">
        <v>4851</v>
      </c>
    </row>
    <row r="50" spans="1:8" ht="150" customHeight="1" x14ac:dyDescent="0.2">
      <c r="A50" s="44" t="s">
        <v>5096</v>
      </c>
      <c r="B50" s="4" t="s">
        <v>5097</v>
      </c>
      <c r="C50" s="5" t="s">
        <v>5098</v>
      </c>
      <c r="D50" s="45" t="s">
        <v>3526</v>
      </c>
      <c r="E50" s="4" t="s">
        <v>5099</v>
      </c>
      <c r="F50" s="4" t="s">
        <v>5100</v>
      </c>
      <c r="G50" s="4" t="s">
        <v>5101</v>
      </c>
      <c r="H50" s="4" t="s">
        <v>4844</v>
      </c>
    </row>
    <row r="51" spans="1:8" ht="66" customHeight="1" x14ac:dyDescent="0.2">
      <c r="A51" s="44" t="s">
        <v>5102</v>
      </c>
      <c r="B51" s="4" t="s">
        <v>5103</v>
      </c>
      <c r="C51" s="5" t="s">
        <v>5104</v>
      </c>
      <c r="D51" s="45" t="s">
        <v>2621</v>
      </c>
      <c r="E51" s="4" t="s">
        <v>5105</v>
      </c>
      <c r="F51" s="4" t="s">
        <v>5106</v>
      </c>
      <c r="G51" s="4" t="s">
        <v>4822</v>
      </c>
      <c r="H51" s="4" t="s">
        <v>4823</v>
      </c>
    </row>
    <row r="52" spans="1:8" ht="53.25" customHeight="1" x14ac:dyDescent="0.2">
      <c r="A52" s="44" t="s">
        <v>5107</v>
      </c>
      <c r="B52" s="4" t="s">
        <v>5108</v>
      </c>
      <c r="C52" s="5" t="s">
        <v>5109</v>
      </c>
      <c r="D52" s="45" t="s">
        <v>2648</v>
      </c>
      <c r="E52" s="4" t="s">
        <v>5110</v>
      </c>
      <c r="F52" s="4" t="s">
        <v>5111</v>
      </c>
      <c r="G52" s="4" t="s">
        <v>5112</v>
      </c>
      <c r="H52" s="4" t="s">
        <v>4837</v>
      </c>
    </row>
    <row r="53" spans="1:8" ht="53.25" customHeight="1" x14ac:dyDescent="0.2">
      <c r="A53" s="44" t="s">
        <v>5113</v>
      </c>
      <c r="B53" s="4" t="s">
        <v>5114</v>
      </c>
      <c r="C53" s="5" t="s">
        <v>5115</v>
      </c>
      <c r="D53" s="45" t="s">
        <v>2648</v>
      </c>
      <c r="E53" s="4" t="s">
        <v>5116</v>
      </c>
      <c r="F53" s="4" t="s">
        <v>5117</v>
      </c>
      <c r="G53" s="4" t="s">
        <v>5118</v>
      </c>
      <c r="H53" s="4" t="s">
        <v>4837</v>
      </c>
    </row>
    <row r="54" spans="1:8" ht="40.5" customHeight="1" x14ac:dyDescent="0.2">
      <c r="A54" s="44" t="s">
        <v>5119</v>
      </c>
      <c r="B54" s="4" t="s">
        <v>5120</v>
      </c>
      <c r="C54" s="5" t="s">
        <v>5121</v>
      </c>
      <c r="D54" s="45" t="s">
        <v>2621</v>
      </c>
      <c r="E54" s="4" t="s">
        <v>5122</v>
      </c>
      <c r="F54" s="4" t="s">
        <v>162</v>
      </c>
      <c r="G54" s="4" t="s">
        <v>4822</v>
      </c>
      <c r="H54" s="4" t="s">
        <v>4823</v>
      </c>
    </row>
    <row r="55" spans="1:8" ht="53.25" customHeight="1" x14ac:dyDescent="0.2">
      <c r="A55" s="44" t="s">
        <v>5123</v>
      </c>
      <c r="B55" s="4" t="s">
        <v>5124</v>
      </c>
      <c r="C55" s="5" t="s">
        <v>5125</v>
      </c>
      <c r="D55" s="45" t="s">
        <v>2648</v>
      </c>
      <c r="E55" s="4" t="s">
        <v>5126</v>
      </c>
      <c r="F55" s="4" t="s">
        <v>5127</v>
      </c>
      <c r="G55" s="4" t="s">
        <v>5128</v>
      </c>
      <c r="H55" s="4" t="s">
        <v>4851</v>
      </c>
    </row>
    <row r="56" spans="1:8" ht="53.25" customHeight="1" x14ac:dyDescent="0.2">
      <c r="A56" s="44" t="s">
        <v>5129</v>
      </c>
      <c r="B56" s="4" t="s">
        <v>5130</v>
      </c>
      <c r="C56" s="5" t="s">
        <v>5131</v>
      </c>
      <c r="D56" s="45" t="s">
        <v>2648</v>
      </c>
      <c r="E56" s="4" t="s">
        <v>5132</v>
      </c>
      <c r="F56" s="4" t="s">
        <v>5133</v>
      </c>
      <c r="G56" s="4" t="s">
        <v>5134</v>
      </c>
      <c r="H56" s="4" t="s">
        <v>4851</v>
      </c>
    </row>
    <row r="57" spans="1:8" ht="53.25" customHeight="1" x14ac:dyDescent="0.2">
      <c r="A57" s="44" t="s">
        <v>5135</v>
      </c>
      <c r="B57" s="4" t="s">
        <v>5136</v>
      </c>
      <c r="C57" s="5" t="s">
        <v>5137</v>
      </c>
      <c r="D57" s="45" t="s">
        <v>2621</v>
      </c>
      <c r="E57" s="4" t="s">
        <v>5138</v>
      </c>
      <c r="F57" s="4" t="s">
        <v>5139</v>
      </c>
      <c r="G57" s="4" t="s">
        <v>4822</v>
      </c>
      <c r="H57" s="4" t="s">
        <v>4823</v>
      </c>
    </row>
    <row r="58" spans="1:8" ht="78.75" customHeight="1" x14ac:dyDescent="0.2">
      <c r="A58" s="44" t="s">
        <v>5140</v>
      </c>
      <c r="B58" s="4" t="s">
        <v>5141</v>
      </c>
      <c r="C58" s="5" t="s">
        <v>5142</v>
      </c>
      <c r="D58" s="45" t="s">
        <v>2621</v>
      </c>
      <c r="E58" s="4" t="s">
        <v>5143</v>
      </c>
      <c r="F58" s="4" t="s">
        <v>5144</v>
      </c>
      <c r="G58" s="4" t="s">
        <v>4822</v>
      </c>
      <c r="H58" s="4" t="s">
        <v>4823</v>
      </c>
    </row>
    <row r="59" spans="1:8" ht="66" customHeight="1" x14ac:dyDescent="0.2">
      <c r="A59" s="44" t="s">
        <v>5145</v>
      </c>
      <c r="B59" s="4" t="s">
        <v>5146</v>
      </c>
      <c r="C59" s="5" t="s">
        <v>5147</v>
      </c>
      <c r="D59" s="45" t="s">
        <v>2648</v>
      </c>
      <c r="E59" s="4" t="s">
        <v>5148</v>
      </c>
      <c r="F59" s="4" t="s">
        <v>5149</v>
      </c>
      <c r="G59" s="4" t="s">
        <v>5150</v>
      </c>
      <c r="H59" s="4" t="s">
        <v>4837</v>
      </c>
    </row>
    <row r="60" spans="1:8" ht="91.5" customHeight="1" x14ac:dyDescent="0.2">
      <c r="A60" s="44" t="s">
        <v>5151</v>
      </c>
      <c r="B60" s="4" t="s">
        <v>5152</v>
      </c>
      <c r="C60" s="5" t="s">
        <v>5153</v>
      </c>
      <c r="D60" s="45" t="s">
        <v>3526</v>
      </c>
      <c r="E60" s="4" t="s">
        <v>5154</v>
      </c>
      <c r="F60" s="4" t="s">
        <v>5155</v>
      </c>
      <c r="G60" s="4" t="s">
        <v>5156</v>
      </c>
      <c r="H60" s="4" t="s">
        <v>4864</v>
      </c>
    </row>
    <row r="61" spans="1:8" ht="40.5" customHeight="1" x14ac:dyDescent="0.2">
      <c r="A61" s="44" t="s">
        <v>5157</v>
      </c>
      <c r="B61" s="4" t="s">
        <v>5158</v>
      </c>
      <c r="C61" s="5" t="s">
        <v>5159</v>
      </c>
      <c r="D61" s="45" t="s">
        <v>2621</v>
      </c>
      <c r="E61" s="4" t="s">
        <v>5160</v>
      </c>
      <c r="F61" s="4" t="s">
        <v>5161</v>
      </c>
      <c r="G61" s="4" t="s">
        <v>4822</v>
      </c>
      <c r="H61" s="4" t="s">
        <v>4823</v>
      </c>
    </row>
    <row r="62" spans="1:8" ht="53.25" customHeight="1" x14ac:dyDescent="0.2">
      <c r="A62" s="44" t="s">
        <v>5162</v>
      </c>
      <c r="B62" s="4" t="s">
        <v>5163</v>
      </c>
      <c r="C62" s="5" t="s">
        <v>5164</v>
      </c>
      <c r="D62" s="45" t="s">
        <v>2648</v>
      </c>
      <c r="E62" s="4" t="s">
        <v>5165</v>
      </c>
      <c r="F62" s="4" t="s">
        <v>5166</v>
      </c>
      <c r="G62" s="4" t="s">
        <v>5167</v>
      </c>
      <c r="H62" s="4" t="s">
        <v>4851</v>
      </c>
    </row>
    <row r="63" spans="1:8" ht="91.5" customHeight="1" x14ac:dyDescent="0.2">
      <c r="A63" s="44" t="s">
        <v>5168</v>
      </c>
      <c r="B63" s="4" t="s">
        <v>5169</v>
      </c>
      <c r="C63" s="5" t="s">
        <v>5170</v>
      </c>
      <c r="D63" s="45" t="s">
        <v>162</v>
      </c>
      <c r="E63" s="4" t="s">
        <v>5171</v>
      </c>
      <c r="F63" s="4" t="s">
        <v>162</v>
      </c>
      <c r="G63" s="4" t="s">
        <v>162</v>
      </c>
      <c r="H63" s="4" t="s">
        <v>5172</v>
      </c>
    </row>
    <row r="64" spans="1:8" ht="117" customHeight="1" x14ac:dyDescent="0.2">
      <c r="A64" s="44" t="s">
        <v>5173</v>
      </c>
      <c r="B64" s="4" t="s">
        <v>5174</v>
      </c>
      <c r="C64" s="5" t="s">
        <v>5175</v>
      </c>
      <c r="D64" s="45" t="s">
        <v>2648</v>
      </c>
      <c r="E64" s="4" t="s">
        <v>5176</v>
      </c>
      <c r="F64" s="4" t="s">
        <v>5177</v>
      </c>
      <c r="G64" s="4" t="s">
        <v>4960</v>
      </c>
      <c r="H64" s="4" t="s">
        <v>4851</v>
      </c>
    </row>
    <row r="65" spans="1:8" ht="53.25" customHeight="1" x14ac:dyDescent="0.2">
      <c r="A65" s="44" t="s">
        <v>5178</v>
      </c>
      <c r="B65" s="4" t="s">
        <v>5179</v>
      </c>
      <c r="C65" s="5" t="s">
        <v>5180</v>
      </c>
      <c r="D65" s="45" t="s">
        <v>2621</v>
      </c>
      <c r="E65" s="4" t="s">
        <v>5181</v>
      </c>
      <c r="F65" s="4" t="s">
        <v>5182</v>
      </c>
      <c r="G65" s="4" t="s">
        <v>4822</v>
      </c>
      <c r="H65" s="4" t="s">
        <v>4823</v>
      </c>
    </row>
    <row r="66" spans="1:8" ht="53.25" customHeight="1" x14ac:dyDescent="0.2">
      <c r="A66" s="44" t="s">
        <v>5183</v>
      </c>
      <c r="B66" s="4" t="s">
        <v>5184</v>
      </c>
      <c r="C66" s="5" t="s">
        <v>5185</v>
      </c>
      <c r="D66" s="45" t="s">
        <v>2648</v>
      </c>
      <c r="E66" s="4" t="s">
        <v>5186</v>
      </c>
      <c r="F66" s="4" t="s">
        <v>5187</v>
      </c>
      <c r="G66" s="4" t="s">
        <v>5188</v>
      </c>
      <c r="H66" s="4" t="s">
        <v>4851</v>
      </c>
    </row>
    <row r="67" spans="1:8" ht="53.25" customHeight="1" x14ac:dyDescent="0.2">
      <c r="A67" s="44" t="s">
        <v>5189</v>
      </c>
      <c r="B67" s="4" t="s">
        <v>5190</v>
      </c>
      <c r="C67" s="5" t="s">
        <v>5191</v>
      </c>
      <c r="D67" s="45" t="s">
        <v>3526</v>
      </c>
      <c r="E67" s="4" t="s">
        <v>5192</v>
      </c>
      <c r="F67" s="4" t="s">
        <v>5193</v>
      </c>
      <c r="G67" s="4" t="s">
        <v>5194</v>
      </c>
      <c r="H67" s="4" t="s">
        <v>4844</v>
      </c>
    </row>
    <row r="68" spans="1:8" ht="40.5" customHeight="1" x14ac:dyDescent="0.2">
      <c r="A68" s="44" t="s">
        <v>5195</v>
      </c>
      <c r="B68" s="4" t="s">
        <v>5196</v>
      </c>
      <c r="C68" s="5" t="s">
        <v>5197</v>
      </c>
      <c r="D68" s="45" t="s">
        <v>2621</v>
      </c>
      <c r="E68" s="4" t="s">
        <v>5198</v>
      </c>
      <c r="F68" s="4" t="s">
        <v>162</v>
      </c>
      <c r="G68" s="4" t="s">
        <v>4822</v>
      </c>
      <c r="H68" s="4" t="s">
        <v>4823</v>
      </c>
    </row>
    <row r="69" spans="1:8" ht="66" customHeight="1" x14ac:dyDescent="0.2">
      <c r="A69" s="44" t="s">
        <v>5199</v>
      </c>
      <c r="B69" s="4" t="s">
        <v>5200</v>
      </c>
      <c r="C69" s="5" t="s">
        <v>5201</v>
      </c>
      <c r="D69" s="45" t="s">
        <v>3526</v>
      </c>
      <c r="E69" s="4" t="s">
        <v>5202</v>
      </c>
      <c r="F69" s="4" t="s">
        <v>5203</v>
      </c>
      <c r="G69" s="4" t="s">
        <v>5204</v>
      </c>
      <c r="H69" s="4" t="s">
        <v>4830</v>
      </c>
    </row>
    <row r="70" spans="1:8" ht="53.25" customHeight="1" x14ac:dyDescent="0.2">
      <c r="A70" s="44" t="s">
        <v>5205</v>
      </c>
      <c r="B70" s="4" t="s">
        <v>5206</v>
      </c>
      <c r="C70" s="5" t="s">
        <v>5207</v>
      </c>
      <c r="D70" s="45" t="s">
        <v>2648</v>
      </c>
      <c r="E70" s="4" t="s">
        <v>5208</v>
      </c>
      <c r="F70" s="4" t="s">
        <v>5209</v>
      </c>
      <c r="G70" s="4" t="s">
        <v>5210</v>
      </c>
      <c r="H70" s="4" t="s">
        <v>4851</v>
      </c>
    </row>
    <row r="71" spans="1:8" ht="66" customHeight="1" x14ac:dyDescent="0.2">
      <c r="A71" s="44" t="s">
        <v>5211</v>
      </c>
      <c r="B71" s="4" t="s">
        <v>5212</v>
      </c>
      <c r="C71" s="5" t="s">
        <v>5213</v>
      </c>
      <c r="D71" s="45" t="s">
        <v>2648</v>
      </c>
      <c r="E71" s="4" t="s">
        <v>5214</v>
      </c>
      <c r="F71" s="4" t="s">
        <v>5215</v>
      </c>
      <c r="G71" s="4" t="s">
        <v>5216</v>
      </c>
      <c r="H71" s="4" t="s">
        <v>4851</v>
      </c>
    </row>
    <row r="72" spans="1:8" ht="27.75" customHeight="1" x14ac:dyDescent="0.2">
      <c r="A72" s="44" t="s">
        <v>5217</v>
      </c>
      <c r="B72" s="4" t="s">
        <v>5218</v>
      </c>
      <c r="C72" s="5" t="s">
        <v>5219</v>
      </c>
      <c r="D72" s="45" t="s">
        <v>162</v>
      </c>
      <c r="E72" s="4" t="s">
        <v>5220</v>
      </c>
      <c r="F72" s="4" t="s">
        <v>5221</v>
      </c>
      <c r="G72" s="4" t="s">
        <v>162</v>
      </c>
      <c r="H72" s="4" t="s">
        <v>5172</v>
      </c>
    </row>
    <row r="73" spans="1:8" ht="150" customHeight="1" x14ac:dyDescent="0.2">
      <c r="A73" s="44" t="s">
        <v>5222</v>
      </c>
      <c r="B73" s="4" t="s">
        <v>5223</v>
      </c>
      <c r="C73" s="5" t="s">
        <v>5224</v>
      </c>
      <c r="D73" s="45" t="s">
        <v>162</v>
      </c>
      <c r="E73" s="4" t="s">
        <v>5225</v>
      </c>
      <c r="F73" s="4" t="s">
        <v>5226</v>
      </c>
      <c r="G73" s="4" t="s">
        <v>162</v>
      </c>
      <c r="H73" s="4" t="s">
        <v>5227</v>
      </c>
    </row>
    <row r="74" spans="1:8" ht="53.25" customHeight="1" x14ac:dyDescent="0.2">
      <c r="A74" s="44" t="s">
        <v>5228</v>
      </c>
      <c r="B74" s="4" t="s">
        <v>5229</v>
      </c>
      <c r="C74" s="5" t="s">
        <v>5230</v>
      </c>
      <c r="D74" s="45" t="s">
        <v>2648</v>
      </c>
      <c r="E74" s="4" t="s">
        <v>5231</v>
      </c>
      <c r="F74" s="4" t="s">
        <v>5232</v>
      </c>
      <c r="G74" s="4" t="s">
        <v>5233</v>
      </c>
      <c r="H74" s="4" t="s">
        <v>4851</v>
      </c>
    </row>
    <row r="75" spans="1:8" ht="91.5" customHeight="1" x14ac:dyDescent="0.2">
      <c r="A75" s="44" t="s">
        <v>5234</v>
      </c>
      <c r="B75" s="4" t="s">
        <v>5235</v>
      </c>
      <c r="C75" s="5" t="s">
        <v>5236</v>
      </c>
      <c r="D75" s="45" t="s">
        <v>2648</v>
      </c>
      <c r="E75" s="4" t="s">
        <v>5237</v>
      </c>
      <c r="F75" s="4" t="s">
        <v>5238</v>
      </c>
      <c r="G75" s="4" t="s">
        <v>5239</v>
      </c>
      <c r="H75" s="4" t="s">
        <v>4837</v>
      </c>
    </row>
    <row r="76" spans="1:8" ht="66" customHeight="1" x14ac:dyDescent="0.2">
      <c r="A76" s="44" t="s">
        <v>5240</v>
      </c>
      <c r="B76" s="4" t="s">
        <v>5241</v>
      </c>
      <c r="C76" s="5" t="s">
        <v>5242</v>
      </c>
      <c r="D76" s="45" t="s">
        <v>3526</v>
      </c>
      <c r="E76" s="4" t="s">
        <v>5243</v>
      </c>
      <c r="F76" s="4" t="s">
        <v>5244</v>
      </c>
      <c r="G76" s="4" t="s">
        <v>5245</v>
      </c>
      <c r="H76" s="4" t="s">
        <v>4830</v>
      </c>
    </row>
    <row r="77" spans="1:8" ht="117" customHeight="1" x14ac:dyDescent="0.2">
      <c r="A77" s="44" t="s">
        <v>5246</v>
      </c>
      <c r="B77" s="4" t="s">
        <v>5247</v>
      </c>
      <c r="C77" s="5" t="s">
        <v>5248</v>
      </c>
      <c r="D77" s="45" t="s">
        <v>2648</v>
      </c>
      <c r="E77" s="4" t="s">
        <v>5249</v>
      </c>
      <c r="F77" s="4" t="s">
        <v>5250</v>
      </c>
      <c r="G77" s="4" t="s">
        <v>5251</v>
      </c>
      <c r="H77" s="4" t="s">
        <v>5252</v>
      </c>
    </row>
    <row r="78" spans="1:8" ht="53.25" customHeight="1" x14ac:dyDescent="0.2">
      <c r="A78" s="44" t="s">
        <v>5253</v>
      </c>
      <c r="B78" s="4" t="s">
        <v>5254</v>
      </c>
      <c r="C78" s="5" t="s">
        <v>5255</v>
      </c>
      <c r="D78" s="45" t="s">
        <v>2648</v>
      </c>
      <c r="E78" s="4" t="s">
        <v>5256</v>
      </c>
      <c r="F78" s="4" t="s">
        <v>5257</v>
      </c>
      <c r="G78" s="4" t="s">
        <v>5258</v>
      </c>
      <c r="H78" s="4" t="s">
        <v>4851</v>
      </c>
    </row>
    <row r="79" spans="1:8" ht="53.25" customHeight="1" x14ac:dyDescent="0.2">
      <c r="A79" s="44" t="s">
        <v>5259</v>
      </c>
      <c r="B79" s="4" t="s">
        <v>5260</v>
      </c>
      <c r="C79" s="5" t="s">
        <v>5261</v>
      </c>
      <c r="D79" s="45" t="s">
        <v>2648</v>
      </c>
      <c r="E79" s="4" t="s">
        <v>5262</v>
      </c>
      <c r="F79" s="4" t="s">
        <v>5263</v>
      </c>
      <c r="G79" s="4" t="s">
        <v>5264</v>
      </c>
      <c r="H79" s="4" t="s">
        <v>4851</v>
      </c>
    </row>
    <row r="80" spans="1:8" ht="53.25" customHeight="1" x14ac:dyDescent="0.2">
      <c r="A80" s="44" t="s">
        <v>5265</v>
      </c>
      <c r="B80" s="4" t="s">
        <v>5266</v>
      </c>
      <c r="C80" s="5" t="s">
        <v>5267</v>
      </c>
      <c r="D80" s="45" t="s">
        <v>2648</v>
      </c>
      <c r="E80" s="4" t="s">
        <v>5268</v>
      </c>
      <c r="F80" s="4" t="s">
        <v>5269</v>
      </c>
      <c r="G80" s="4" t="s">
        <v>5270</v>
      </c>
      <c r="H80" s="4" t="s">
        <v>4851</v>
      </c>
    </row>
    <row r="81" spans="1:8" ht="53.25" customHeight="1" x14ac:dyDescent="0.2">
      <c r="A81" s="44" t="s">
        <v>5271</v>
      </c>
      <c r="B81" s="4" t="s">
        <v>5272</v>
      </c>
      <c r="C81" s="5" t="s">
        <v>5273</v>
      </c>
      <c r="D81" s="45" t="s">
        <v>2648</v>
      </c>
      <c r="E81" s="4" t="s">
        <v>5274</v>
      </c>
      <c r="F81" s="4" t="s">
        <v>5275</v>
      </c>
      <c r="G81" s="4" t="s">
        <v>5276</v>
      </c>
      <c r="H81" s="4" t="s">
        <v>4851</v>
      </c>
    </row>
    <row r="82" spans="1:8" ht="53.25" customHeight="1" x14ac:dyDescent="0.2">
      <c r="A82" s="44" t="s">
        <v>5277</v>
      </c>
      <c r="B82" s="4" t="s">
        <v>5278</v>
      </c>
      <c r="C82" s="5" t="s">
        <v>5279</v>
      </c>
      <c r="D82" s="45" t="s">
        <v>2648</v>
      </c>
      <c r="E82" s="4" t="s">
        <v>5280</v>
      </c>
      <c r="F82" s="4" t="s">
        <v>5281</v>
      </c>
      <c r="G82" s="4" t="s">
        <v>5282</v>
      </c>
      <c r="H82" s="4" t="s">
        <v>4851</v>
      </c>
    </row>
    <row r="83" spans="1:8" ht="40.5" customHeight="1" x14ac:dyDescent="0.2">
      <c r="A83" s="44" t="s">
        <v>5283</v>
      </c>
      <c r="B83" s="4" t="s">
        <v>5284</v>
      </c>
      <c r="C83" s="5" t="s">
        <v>5285</v>
      </c>
      <c r="D83" s="45" t="s">
        <v>2621</v>
      </c>
      <c r="E83" s="4" t="s">
        <v>5286</v>
      </c>
      <c r="F83" s="4" t="s">
        <v>5287</v>
      </c>
      <c r="G83" s="4" t="s">
        <v>4822</v>
      </c>
      <c r="H83" s="4" t="s">
        <v>4823</v>
      </c>
    </row>
    <row r="84" spans="1:8" ht="53.25" customHeight="1" x14ac:dyDescent="0.2">
      <c r="A84" s="44" t="s">
        <v>5288</v>
      </c>
      <c r="B84" s="4" t="s">
        <v>5289</v>
      </c>
      <c r="C84" s="5" t="s">
        <v>5290</v>
      </c>
      <c r="D84" s="45" t="s">
        <v>2648</v>
      </c>
      <c r="E84" s="4" t="s">
        <v>5291</v>
      </c>
      <c r="F84" s="4" t="s">
        <v>5292</v>
      </c>
      <c r="G84" s="4" t="s">
        <v>5293</v>
      </c>
      <c r="H84" s="4" t="s">
        <v>4851</v>
      </c>
    </row>
    <row r="85" spans="1:8" ht="53.25" customHeight="1" x14ac:dyDescent="0.2">
      <c r="A85" s="44" t="s">
        <v>5294</v>
      </c>
      <c r="B85" s="4" t="s">
        <v>5295</v>
      </c>
      <c r="C85" s="5" t="s">
        <v>5296</v>
      </c>
      <c r="D85" s="45" t="s">
        <v>2648</v>
      </c>
      <c r="E85" s="4" t="s">
        <v>5297</v>
      </c>
      <c r="F85" s="4" t="s">
        <v>5298</v>
      </c>
      <c r="G85" s="4" t="s">
        <v>5299</v>
      </c>
      <c r="H85" s="4" t="s">
        <v>4851</v>
      </c>
    </row>
    <row r="86" spans="1:8" ht="53.25" customHeight="1" x14ac:dyDescent="0.2">
      <c r="A86" s="44" t="s">
        <v>5300</v>
      </c>
      <c r="B86" s="4" t="s">
        <v>5301</v>
      </c>
      <c r="C86" s="5" t="s">
        <v>5302</v>
      </c>
      <c r="D86" s="45" t="s">
        <v>2648</v>
      </c>
      <c r="E86" s="4" t="s">
        <v>5303</v>
      </c>
      <c r="F86" s="4" t="s">
        <v>5304</v>
      </c>
      <c r="G86" s="4" t="s">
        <v>5305</v>
      </c>
      <c r="H86" s="4" t="s">
        <v>4851</v>
      </c>
    </row>
    <row r="87" spans="1:8" ht="53.25" customHeight="1" x14ac:dyDescent="0.2">
      <c r="A87" s="44" t="s">
        <v>5306</v>
      </c>
      <c r="B87" s="4" t="s">
        <v>5307</v>
      </c>
      <c r="C87" s="5" t="s">
        <v>5308</v>
      </c>
      <c r="D87" s="45" t="s">
        <v>3526</v>
      </c>
      <c r="E87" s="4" t="s">
        <v>5309</v>
      </c>
      <c r="F87" s="4" t="s">
        <v>5310</v>
      </c>
      <c r="G87" s="4" t="s">
        <v>5311</v>
      </c>
      <c r="H87" s="4" t="s">
        <v>4844</v>
      </c>
    </row>
    <row r="88" spans="1:8" ht="53.25" customHeight="1" x14ac:dyDescent="0.2">
      <c r="A88" s="44" t="s">
        <v>5312</v>
      </c>
      <c r="B88" s="4" t="s">
        <v>5313</v>
      </c>
      <c r="C88" s="5" t="s">
        <v>5314</v>
      </c>
      <c r="D88" s="45" t="s">
        <v>2648</v>
      </c>
      <c r="E88" s="4" t="s">
        <v>5315</v>
      </c>
      <c r="F88" s="4" t="s">
        <v>5316</v>
      </c>
      <c r="G88" s="4" t="s">
        <v>5317</v>
      </c>
      <c r="H88" s="4" t="s">
        <v>4851</v>
      </c>
    </row>
    <row r="89" spans="1:8" ht="53.25" customHeight="1" x14ac:dyDescent="0.2">
      <c r="A89" s="44" t="s">
        <v>5318</v>
      </c>
      <c r="B89" s="4" t="s">
        <v>5319</v>
      </c>
      <c r="C89" s="5" t="s">
        <v>5320</v>
      </c>
      <c r="D89" s="45" t="s">
        <v>2648</v>
      </c>
      <c r="E89" s="4" t="s">
        <v>5321</v>
      </c>
      <c r="F89" s="4" t="s">
        <v>5322</v>
      </c>
      <c r="G89" s="4" t="s">
        <v>5323</v>
      </c>
      <c r="H89" s="4" t="s">
        <v>4851</v>
      </c>
    </row>
    <row r="90" spans="1:8" ht="53.25" customHeight="1" x14ac:dyDescent="0.2">
      <c r="A90" s="44" t="s">
        <v>5324</v>
      </c>
      <c r="B90" s="4" t="s">
        <v>5325</v>
      </c>
      <c r="C90" s="5" t="s">
        <v>5326</v>
      </c>
      <c r="D90" s="45" t="s">
        <v>2648</v>
      </c>
      <c r="E90" s="4" t="s">
        <v>5327</v>
      </c>
      <c r="F90" s="4" t="s">
        <v>5328</v>
      </c>
      <c r="G90" s="4" t="s">
        <v>5329</v>
      </c>
      <c r="H90" s="4" t="s">
        <v>4851</v>
      </c>
    </row>
    <row r="91" spans="1:8" ht="53.25" customHeight="1" x14ac:dyDescent="0.2">
      <c r="A91" s="44" t="s">
        <v>5330</v>
      </c>
      <c r="B91" s="4" t="s">
        <v>5331</v>
      </c>
      <c r="C91" s="5" t="s">
        <v>5332</v>
      </c>
      <c r="D91" s="45" t="s">
        <v>3526</v>
      </c>
      <c r="E91" s="4" t="s">
        <v>5333</v>
      </c>
      <c r="F91" s="4" t="s">
        <v>5334</v>
      </c>
      <c r="G91" s="4" t="s">
        <v>5335</v>
      </c>
      <c r="H91" s="4" t="s">
        <v>4844</v>
      </c>
    </row>
    <row r="92" spans="1:8" ht="53.25" customHeight="1" x14ac:dyDescent="0.2">
      <c r="A92" s="44" t="s">
        <v>5336</v>
      </c>
      <c r="B92" s="4" t="s">
        <v>5337</v>
      </c>
      <c r="C92" s="5" t="s">
        <v>5338</v>
      </c>
      <c r="D92" s="45" t="s">
        <v>2648</v>
      </c>
      <c r="E92" s="4" t="s">
        <v>5339</v>
      </c>
      <c r="F92" s="4" t="s">
        <v>5340</v>
      </c>
      <c r="G92" s="4" t="s">
        <v>5341</v>
      </c>
      <c r="H92" s="4" t="s">
        <v>4837</v>
      </c>
    </row>
    <row r="93" spans="1:8" ht="53.25" customHeight="1" x14ac:dyDescent="0.2">
      <c r="A93" s="44" t="s">
        <v>5342</v>
      </c>
      <c r="B93" s="4" t="s">
        <v>5343</v>
      </c>
      <c r="C93" s="5" t="s">
        <v>5344</v>
      </c>
      <c r="D93" s="45" t="s">
        <v>2648</v>
      </c>
      <c r="E93" s="4" t="s">
        <v>5345</v>
      </c>
      <c r="F93" s="4" t="s">
        <v>5346</v>
      </c>
      <c r="G93" s="4" t="s">
        <v>5347</v>
      </c>
      <c r="H93" s="4" t="s">
        <v>4851</v>
      </c>
    </row>
    <row r="94" spans="1:8" ht="53.25" customHeight="1" x14ac:dyDescent="0.2">
      <c r="A94" s="44" t="s">
        <v>5348</v>
      </c>
      <c r="B94" s="4" t="s">
        <v>5349</v>
      </c>
      <c r="C94" s="5" t="s">
        <v>5350</v>
      </c>
      <c r="D94" s="45" t="s">
        <v>2648</v>
      </c>
      <c r="E94" s="4" t="s">
        <v>5351</v>
      </c>
      <c r="F94" s="4" t="s">
        <v>5352</v>
      </c>
      <c r="G94" s="4" t="s">
        <v>5353</v>
      </c>
      <c r="H94" s="4" t="s">
        <v>4851</v>
      </c>
    </row>
    <row r="95" spans="1:8" ht="40.5" customHeight="1" x14ac:dyDescent="0.2">
      <c r="A95" s="44" t="s">
        <v>5354</v>
      </c>
      <c r="B95" s="4" t="s">
        <v>5355</v>
      </c>
      <c r="C95" s="5" t="s">
        <v>5356</v>
      </c>
      <c r="D95" s="45" t="s">
        <v>162</v>
      </c>
      <c r="E95" s="4" t="s">
        <v>5357</v>
      </c>
      <c r="F95" s="4" t="s">
        <v>5358</v>
      </c>
      <c r="G95" s="4" t="s">
        <v>162</v>
      </c>
      <c r="H95" s="4" t="s">
        <v>5359</v>
      </c>
    </row>
    <row r="96" spans="1:8" ht="53.25" customHeight="1" x14ac:dyDescent="0.2">
      <c r="A96" s="44" t="s">
        <v>5360</v>
      </c>
      <c r="B96" s="4" t="s">
        <v>5361</v>
      </c>
      <c r="C96" s="5" t="s">
        <v>5362</v>
      </c>
      <c r="D96" s="45" t="s">
        <v>2648</v>
      </c>
      <c r="E96" s="4" t="s">
        <v>5363</v>
      </c>
      <c r="F96" s="4" t="s">
        <v>5364</v>
      </c>
      <c r="G96" s="4" t="s">
        <v>5365</v>
      </c>
      <c r="H96" s="4" t="s">
        <v>4851</v>
      </c>
    </row>
    <row r="97" spans="1:8" ht="53.25" customHeight="1" x14ac:dyDescent="0.2">
      <c r="A97" s="44" t="s">
        <v>5366</v>
      </c>
      <c r="B97" s="4" t="s">
        <v>5367</v>
      </c>
      <c r="C97" s="5" t="s">
        <v>5368</v>
      </c>
      <c r="D97" s="45" t="s">
        <v>2648</v>
      </c>
      <c r="E97" s="4" t="s">
        <v>5369</v>
      </c>
      <c r="F97" s="4" t="s">
        <v>5370</v>
      </c>
      <c r="G97" s="4" t="s">
        <v>5371</v>
      </c>
      <c r="H97" s="4" t="s">
        <v>4851</v>
      </c>
    </row>
    <row r="98" spans="1:8" ht="40.5" customHeight="1" x14ac:dyDescent="0.2">
      <c r="A98" s="44" t="s">
        <v>5372</v>
      </c>
      <c r="B98" s="4" t="s">
        <v>5373</v>
      </c>
      <c r="C98" s="5" t="s">
        <v>5374</v>
      </c>
      <c r="D98" s="45" t="s">
        <v>2621</v>
      </c>
      <c r="E98" s="4" t="s">
        <v>5351</v>
      </c>
      <c r="F98" s="4" t="s">
        <v>5375</v>
      </c>
      <c r="G98" s="4" t="s">
        <v>4822</v>
      </c>
      <c r="H98" s="4" t="s">
        <v>4823</v>
      </c>
    </row>
    <row r="99" spans="1:8" ht="53.25" customHeight="1" x14ac:dyDescent="0.2">
      <c r="A99" s="44" t="s">
        <v>5376</v>
      </c>
      <c r="B99" s="4" t="s">
        <v>5377</v>
      </c>
      <c r="C99" s="5" t="s">
        <v>5378</v>
      </c>
      <c r="D99" s="45" t="s">
        <v>2648</v>
      </c>
      <c r="E99" s="4" t="s">
        <v>5379</v>
      </c>
      <c r="F99" s="4" t="s">
        <v>5380</v>
      </c>
      <c r="G99" s="4" t="s">
        <v>5381</v>
      </c>
      <c r="H99" s="4" t="s">
        <v>4851</v>
      </c>
    </row>
    <row r="100" spans="1:8" ht="40.5" customHeight="1" x14ac:dyDescent="0.2">
      <c r="A100" s="44" t="s">
        <v>5382</v>
      </c>
      <c r="B100" s="4" t="s">
        <v>5383</v>
      </c>
      <c r="C100" s="5" t="s">
        <v>5384</v>
      </c>
      <c r="D100" s="45" t="s">
        <v>162</v>
      </c>
      <c r="E100" s="4" t="s">
        <v>5385</v>
      </c>
      <c r="F100" s="4" t="s">
        <v>5386</v>
      </c>
      <c r="G100" s="4" t="s">
        <v>162</v>
      </c>
      <c r="H100" s="4" t="s">
        <v>5387</v>
      </c>
    </row>
    <row r="101" spans="1:8" ht="53.25" customHeight="1" x14ac:dyDescent="0.2">
      <c r="A101" s="44" t="s">
        <v>5388</v>
      </c>
      <c r="B101" s="4" t="s">
        <v>5389</v>
      </c>
      <c r="C101" s="5" t="s">
        <v>5390</v>
      </c>
      <c r="D101" s="45" t="s">
        <v>2648</v>
      </c>
      <c r="E101" s="4" t="s">
        <v>5351</v>
      </c>
      <c r="F101" s="4" t="s">
        <v>5391</v>
      </c>
      <c r="G101" s="4" t="s">
        <v>5392</v>
      </c>
      <c r="H101" s="4" t="s">
        <v>4851</v>
      </c>
    </row>
    <row r="102" spans="1:8" ht="53.25" customHeight="1" x14ac:dyDescent="0.2">
      <c r="A102" s="44" t="s">
        <v>5393</v>
      </c>
      <c r="B102" s="4" t="s">
        <v>5394</v>
      </c>
      <c r="C102" s="5" t="s">
        <v>5395</v>
      </c>
      <c r="D102" s="45" t="s">
        <v>2648</v>
      </c>
      <c r="E102" s="4" t="s">
        <v>5396</v>
      </c>
      <c r="F102" s="4" t="s">
        <v>5397</v>
      </c>
      <c r="G102" s="4" t="s">
        <v>5398</v>
      </c>
      <c r="H102" s="4" t="s">
        <v>4851</v>
      </c>
    </row>
    <row r="103" spans="1:8" ht="66" customHeight="1" x14ac:dyDescent="0.2">
      <c r="A103" s="44" t="s">
        <v>5399</v>
      </c>
      <c r="B103" s="4" t="s">
        <v>5400</v>
      </c>
      <c r="C103" s="5" t="s">
        <v>5395</v>
      </c>
      <c r="D103" s="45" t="s">
        <v>3526</v>
      </c>
      <c r="E103" s="4" t="s">
        <v>5401</v>
      </c>
      <c r="F103" s="4" t="s">
        <v>5203</v>
      </c>
      <c r="G103" s="4" t="s">
        <v>5402</v>
      </c>
      <c r="H103" s="4" t="s">
        <v>4830</v>
      </c>
    </row>
    <row r="104" spans="1:8" ht="40.5" customHeight="1" x14ac:dyDescent="0.2">
      <c r="A104" s="44" t="s">
        <v>5403</v>
      </c>
      <c r="B104" s="4" t="s">
        <v>5404</v>
      </c>
      <c r="C104" s="5" t="s">
        <v>5405</v>
      </c>
      <c r="D104" s="45" t="s">
        <v>2621</v>
      </c>
      <c r="E104" s="4" t="s">
        <v>5406</v>
      </c>
      <c r="F104" s="4" t="s">
        <v>5407</v>
      </c>
      <c r="G104" s="4" t="s">
        <v>4822</v>
      </c>
      <c r="H104" s="4" t="s">
        <v>4823</v>
      </c>
    </row>
    <row r="105" spans="1:8" ht="53.25" customHeight="1" x14ac:dyDescent="0.2">
      <c r="A105" s="44" t="s">
        <v>5408</v>
      </c>
      <c r="B105" s="4" t="s">
        <v>5409</v>
      </c>
      <c r="C105" s="5" t="s">
        <v>5410</v>
      </c>
      <c r="D105" s="45" t="s">
        <v>2648</v>
      </c>
      <c r="E105" s="4" t="s">
        <v>5411</v>
      </c>
      <c r="F105" s="4" t="s">
        <v>5412</v>
      </c>
      <c r="G105" s="4" t="s">
        <v>5413</v>
      </c>
      <c r="H105" s="4" t="s">
        <v>4851</v>
      </c>
    </row>
    <row r="106" spans="1:8" ht="53.25" customHeight="1" x14ac:dyDescent="0.2">
      <c r="A106" s="44" t="s">
        <v>5414</v>
      </c>
      <c r="B106" s="4" t="s">
        <v>5415</v>
      </c>
      <c r="C106" s="5" t="s">
        <v>5416</v>
      </c>
      <c r="D106" s="45" t="s">
        <v>3526</v>
      </c>
      <c r="E106" s="4" t="s">
        <v>5417</v>
      </c>
      <c r="F106" s="4" t="s">
        <v>5418</v>
      </c>
      <c r="G106" s="4" t="s">
        <v>5419</v>
      </c>
      <c r="H106" s="4" t="s">
        <v>4844</v>
      </c>
    </row>
    <row r="107" spans="1:8" ht="53.25" customHeight="1" x14ac:dyDescent="0.2">
      <c r="A107" s="44" t="s">
        <v>5420</v>
      </c>
      <c r="B107" s="4" t="s">
        <v>5421</v>
      </c>
      <c r="C107" s="5" t="s">
        <v>5422</v>
      </c>
      <c r="D107" s="45" t="s">
        <v>2648</v>
      </c>
      <c r="E107" s="4" t="s">
        <v>5423</v>
      </c>
      <c r="F107" s="4" t="s">
        <v>5424</v>
      </c>
      <c r="G107" s="4" t="s">
        <v>5425</v>
      </c>
      <c r="H107" s="4" t="s">
        <v>4837</v>
      </c>
    </row>
    <row r="108" spans="1:8" ht="104.25" customHeight="1" x14ac:dyDescent="0.2">
      <c r="A108" s="44" t="s">
        <v>5426</v>
      </c>
      <c r="B108" s="4" t="s">
        <v>5427</v>
      </c>
      <c r="C108" s="5" t="s">
        <v>5428</v>
      </c>
      <c r="D108" s="45" t="s">
        <v>2648</v>
      </c>
      <c r="E108" s="4" t="s">
        <v>5429</v>
      </c>
      <c r="F108" s="4" t="s">
        <v>5430</v>
      </c>
      <c r="G108" s="4" t="s">
        <v>5431</v>
      </c>
      <c r="H108" s="4" t="s">
        <v>4837</v>
      </c>
    </row>
    <row r="109" spans="1:8" ht="53.25" customHeight="1" x14ac:dyDescent="0.2">
      <c r="A109" s="44" t="s">
        <v>5432</v>
      </c>
      <c r="B109" s="4" t="s">
        <v>5433</v>
      </c>
      <c r="C109" s="5" t="s">
        <v>5434</v>
      </c>
      <c r="D109" s="45" t="s">
        <v>2648</v>
      </c>
      <c r="E109" s="4" t="s">
        <v>5435</v>
      </c>
      <c r="F109" s="4" t="s">
        <v>5436</v>
      </c>
      <c r="G109" s="4" t="s">
        <v>5437</v>
      </c>
      <c r="H109" s="4" t="s">
        <v>4851</v>
      </c>
    </row>
    <row r="110" spans="1:8" ht="53.25" customHeight="1" x14ac:dyDescent="0.2">
      <c r="A110" s="44" t="s">
        <v>5438</v>
      </c>
      <c r="B110" s="4" t="s">
        <v>5439</v>
      </c>
      <c r="C110" s="5" t="s">
        <v>5440</v>
      </c>
      <c r="D110" s="45" t="s">
        <v>3526</v>
      </c>
      <c r="E110" s="4" t="s">
        <v>5351</v>
      </c>
      <c r="F110" s="4" t="s">
        <v>5441</v>
      </c>
      <c r="G110" s="4" t="s">
        <v>5442</v>
      </c>
      <c r="H110" s="4" t="s">
        <v>4844</v>
      </c>
    </row>
    <row r="111" spans="1:8" ht="53.25" customHeight="1" x14ac:dyDescent="0.2">
      <c r="A111" s="44" t="s">
        <v>5443</v>
      </c>
      <c r="B111" s="4" t="s">
        <v>5444</v>
      </c>
      <c r="C111" s="5" t="s">
        <v>5445</v>
      </c>
      <c r="D111" s="45" t="s">
        <v>2648</v>
      </c>
      <c r="E111" s="4" t="s">
        <v>5446</v>
      </c>
      <c r="F111" s="4" t="s">
        <v>5447</v>
      </c>
      <c r="G111" s="4" t="s">
        <v>5448</v>
      </c>
      <c r="H111" s="4" t="s">
        <v>4851</v>
      </c>
    </row>
    <row r="112" spans="1:8" ht="129.75" customHeight="1" x14ac:dyDescent="0.2">
      <c r="A112" s="44" t="s">
        <v>5449</v>
      </c>
      <c r="B112" s="4" t="s">
        <v>5450</v>
      </c>
      <c r="C112" s="5" t="s">
        <v>5451</v>
      </c>
      <c r="D112" s="45" t="s">
        <v>2648</v>
      </c>
      <c r="E112" s="4" t="s">
        <v>5452</v>
      </c>
      <c r="F112" s="4" t="s">
        <v>4899</v>
      </c>
      <c r="G112" s="4" t="s">
        <v>5453</v>
      </c>
      <c r="H112" s="4" t="s">
        <v>5252</v>
      </c>
    </row>
    <row r="113" spans="1:8" ht="78.75" customHeight="1" x14ac:dyDescent="0.2">
      <c r="A113" s="44" t="s">
        <v>5454</v>
      </c>
      <c r="B113" s="4" t="s">
        <v>5455</v>
      </c>
      <c r="C113" s="5" t="s">
        <v>5456</v>
      </c>
      <c r="D113" s="45" t="s">
        <v>2648</v>
      </c>
      <c r="E113" s="4" t="s">
        <v>5457</v>
      </c>
      <c r="F113" s="4" t="s">
        <v>5458</v>
      </c>
      <c r="G113" s="4" t="s">
        <v>5459</v>
      </c>
      <c r="H113" s="4" t="s">
        <v>5252</v>
      </c>
    </row>
    <row r="114" spans="1:8" ht="53.25" customHeight="1" x14ac:dyDescent="0.2">
      <c r="A114" s="44" t="s">
        <v>5460</v>
      </c>
      <c r="B114" s="4" t="s">
        <v>5461</v>
      </c>
      <c r="C114" s="5" t="s">
        <v>5462</v>
      </c>
      <c r="D114" s="45" t="s">
        <v>2648</v>
      </c>
      <c r="E114" s="4" t="s">
        <v>5351</v>
      </c>
      <c r="F114" s="4" t="s">
        <v>5463</v>
      </c>
      <c r="G114" s="4" t="s">
        <v>5464</v>
      </c>
      <c r="H114" s="4" t="s">
        <v>5252</v>
      </c>
    </row>
    <row r="115" spans="1:8" ht="53.25" customHeight="1" x14ac:dyDescent="0.2">
      <c r="A115" s="44" t="s">
        <v>5465</v>
      </c>
      <c r="B115" s="4" t="s">
        <v>5466</v>
      </c>
      <c r="C115" s="5" t="s">
        <v>5467</v>
      </c>
      <c r="D115" s="45" t="s">
        <v>2648</v>
      </c>
      <c r="E115" s="4" t="s">
        <v>5468</v>
      </c>
      <c r="F115" s="4" t="s">
        <v>5469</v>
      </c>
      <c r="G115" s="4" t="s">
        <v>5470</v>
      </c>
      <c r="H115" s="4" t="s">
        <v>5252</v>
      </c>
    </row>
    <row r="116" spans="1:8" ht="53.25" customHeight="1" x14ac:dyDescent="0.2">
      <c r="A116" s="44" t="s">
        <v>5471</v>
      </c>
      <c r="B116" s="4" t="s">
        <v>5472</v>
      </c>
      <c r="C116" s="5" t="s">
        <v>5473</v>
      </c>
      <c r="D116" s="45" t="s">
        <v>2648</v>
      </c>
      <c r="E116" s="4" t="s">
        <v>5351</v>
      </c>
      <c r="F116" s="4" t="s">
        <v>5474</v>
      </c>
      <c r="G116" s="4" t="s">
        <v>5475</v>
      </c>
      <c r="H116" s="4" t="s">
        <v>5252</v>
      </c>
    </row>
    <row r="117" spans="1:8" ht="78.75" customHeight="1" x14ac:dyDescent="0.2">
      <c r="A117" s="44" t="s">
        <v>5476</v>
      </c>
      <c r="B117" s="4" t="s">
        <v>5477</v>
      </c>
      <c r="C117" s="5" t="s">
        <v>5478</v>
      </c>
      <c r="D117" s="45" t="s">
        <v>2648</v>
      </c>
      <c r="E117" s="4" t="s">
        <v>5351</v>
      </c>
      <c r="F117" s="4" t="s">
        <v>5479</v>
      </c>
      <c r="G117" s="4" t="s">
        <v>5480</v>
      </c>
      <c r="H117" s="4" t="s">
        <v>5252</v>
      </c>
    </row>
    <row r="118" spans="1:8" ht="78.75" customHeight="1" x14ac:dyDescent="0.2">
      <c r="A118" s="44" t="s">
        <v>5481</v>
      </c>
      <c r="B118" s="4" t="s">
        <v>5482</v>
      </c>
      <c r="C118" s="5" t="s">
        <v>5483</v>
      </c>
      <c r="D118" s="45" t="s">
        <v>2648</v>
      </c>
      <c r="E118" s="4" t="s">
        <v>5484</v>
      </c>
      <c r="F118" s="4" t="s">
        <v>5485</v>
      </c>
      <c r="G118" s="4" t="s">
        <v>5486</v>
      </c>
      <c r="H118" s="4" t="s">
        <v>5252</v>
      </c>
    </row>
    <row r="119" spans="1:8" ht="78.75" customHeight="1" x14ac:dyDescent="0.2">
      <c r="A119" s="44" t="s">
        <v>5487</v>
      </c>
      <c r="B119" s="4" t="s">
        <v>5488</v>
      </c>
      <c r="C119" s="5" t="s">
        <v>5489</v>
      </c>
      <c r="D119" s="45" t="s">
        <v>3526</v>
      </c>
      <c r="E119" s="4" t="s">
        <v>5490</v>
      </c>
      <c r="F119" s="4" t="s">
        <v>5491</v>
      </c>
      <c r="G119" s="4" t="s">
        <v>5492</v>
      </c>
      <c r="H119" s="4" t="s">
        <v>5493</v>
      </c>
    </row>
    <row r="120" spans="1:8" ht="78.75" customHeight="1" x14ac:dyDescent="0.2">
      <c r="A120" s="44" t="s">
        <v>5494</v>
      </c>
      <c r="B120" s="4" t="s">
        <v>5495</v>
      </c>
      <c r="C120" s="5" t="s">
        <v>5496</v>
      </c>
      <c r="D120" s="45" t="s">
        <v>2648</v>
      </c>
      <c r="E120" s="4" t="s">
        <v>5497</v>
      </c>
      <c r="F120" s="4" t="s">
        <v>5498</v>
      </c>
      <c r="G120" s="4" t="s">
        <v>5499</v>
      </c>
      <c r="H120" s="4" t="s">
        <v>5252</v>
      </c>
    </row>
    <row r="121" spans="1:8" ht="78.75" customHeight="1" x14ac:dyDescent="0.2">
      <c r="A121" s="44" t="s">
        <v>5500</v>
      </c>
      <c r="B121" s="4" t="s">
        <v>5501</v>
      </c>
      <c r="C121" s="5" t="s">
        <v>5502</v>
      </c>
      <c r="D121" s="45" t="s">
        <v>2648</v>
      </c>
      <c r="E121" s="4" t="s">
        <v>5503</v>
      </c>
      <c r="F121" s="4" t="s">
        <v>5504</v>
      </c>
      <c r="G121" s="4" t="s">
        <v>5505</v>
      </c>
      <c r="H121" s="4" t="s">
        <v>5252</v>
      </c>
    </row>
    <row r="122" spans="1:8" ht="150" customHeight="1" x14ac:dyDescent="0.2">
      <c r="A122" s="44" t="s">
        <v>5506</v>
      </c>
      <c r="B122" s="4" t="s">
        <v>5507</v>
      </c>
      <c r="C122" s="5" t="s">
        <v>5508</v>
      </c>
      <c r="D122" s="45" t="s">
        <v>2648</v>
      </c>
      <c r="E122" s="4" t="s">
        <v>5509</v>
      </c>
      <c r="F122" s="4" t="s">
        <v>5510</v>
      </c>
      <c r="G122" s="4" t="s">
        <v>5511</v>
      </c>
      <c r="H122" s="4" t="s">
        <v>5252</v>
      </c>
    </row>
    <row r="123" spans="1:8" ht="150" customHeight="1" x14ac:dyDescent="0.2">
      <c r="A123" s="44" t="s">
        <v>5512</v>
      </c>
      <c r="B123" s="4" t="s">
        <v>5513</v>
      </c>
      <c r="C123" s="5" t="s">
        <v>5514</v>
      </c>
      <c r="D123" s="45" t="s">
        <v>2648</v>
      </c>
      <c r="E123" s="4" t="s">
        <v>5515</v>
      </c>
      <c r="F123" s="4" t="s">
        <v>5516</v>
      </c>
      <c r="G123" s="4" t="s">
        <v>5517</v>
      </c>
      <c r="H123" s="4" t="s">
        <v>5252</v>
      </c>
    </row>
    <row r="124" spans="1:8" x14ac:dyDescent="0.2">
      <c r="A124" s="1"/>
      <c r="B124" s="1"/>
      <c r="C124" s="1"/>
      <c r="D124" s="1"/>
      <c r="E124" s="1"/>
      <c r="F124" s="1"/>
      <c r="G124" s="1"/>
      <c r="H124" s="1"/>
    </row>
    <row r="125" spans="1:8" x14ac:dyDescent="0.2">
      <c r="A125" s="2" t="s">
        <v>3576</v>
      </c>
      <c r="B125" s="2" t="s">
        <v>5518</v>
      </c>
      <c r="C125" s="2" t="s">
        <v>4805</v>
      </c>
      <c r="D125" s="2" t="s">
        <v>2154</v>
      </c>
      <c r="E125" s="2" t="s">
        <v>2155</v>
      </c>
      <c r="F125" s="1"/>
      <c r="G125" s="1"/>
      <c r="H125" s="1"/>
    </row>
    <row r="126" spans="1:8" x14ac:dyDescent="0.2">
      <c r="A126" s="42" t="s">
        <v>2621</v>
      </c>
      <c r="B126" s="38" t="s">
        <v>5519</v>
      </c>
      <c r="C126" s="39">
        <f>COUNTIF($D$4:$D$123,"G")</f>
        <v>13</v>
      </c>
      <c r="D126" s="39">
        <v>13</v>
      </c>
      <c r="E126" s="111" t="str">
        <f>IF(C126=D126,"OK","CHECK")</f>
        <v>OK</v>
      </c>
      <c r="F126" s="1"/>
      <c r="G126" s="1"/>
      <c r="H126" s="1"/>
    </row>
    <row r="127" spans="1:8" x14ac:dyDescent="0.2">
      <c r="A127" s="42" t="s">
        <v>2648</v>
      </c>
      <c r="B127" s="38" t="s">
        <v>5520</v>
      </c>
      <c r="C127" s="39">
        <f>COUNTIF($D$4:$D$123,"E")</f>
        <v>80</v>
      </c>
      <c r="D127" s="39">
        <v>80</v>
      </c>
      <c r="E127" s="111" t="str">
        <f>IF(C127=D127,"OK","CHECK")</f>
        <v>OK</v>
      </c>
      <c r="F127" s="1"/>
      <c r="G127" s="1"/>
      <c r="H127" s="1"/>
    </row>
    <row r="128" spans="1:8" x14ac:dyDescent="0.2">
      <c r="A128" s="42" t="s">
        <v>3526</v>
      </c>
      <c r="B128" s="38" t="s">
        <v>5521</v>
      </c>
      <c r="C128" s="39">
        <f>COUNTIF($D$4:$D$123,"Q")</f>
        <v>22</v>
      </c>
      <c r="D128" s="39">
        <v>22</v>
      </c>
      <c r="E128" s="111" t="str">
        <f>IF(C128=D128,"OK","CHECK")</f>
        <v>OK</v>
      </c>
      <c r="F128" s="1"/>
      <c r="G128" s="1"/>
      <c r="H128" s="1"/>
    </row>
    <row r="129" spans="1:8" x14ac:dyDescent="0.2">
      <c r="A129" s="42" t="s">
        <v>162</v>
      </c>
      <c r="B129" s="38" t="s">
        <v>5522</v>
      </c>
      <c r="C129" s="39">
        <f>COUNTIF($D$4:$D$123,"—")</f>
        <v>5</v>
      </c>
      <c r="D129" s="39">
        <v>5</v>
      </c>
      <c r="E129" s="111" t="str">
        <f>IF(C129=D129,"OK","CHECK")</f>
        <v>OK</v>
      </c>
      <c r="F129" s="1"/>
      <c r="G129" s="1"/>
      <c r="H129" s="1"/>
    </row>
    <row r="130" spans="1:8" x14ac:dyDescent="0.2">
      <c r="A130" s="42" t="s">
        <v>5523</v>
      </c>
      <c r="B130" s="38" t="s">
        <v>5524</v>
      </c>
      <c r="C130" s="39">
        <f>COUNTA($A$4:$A$123)</f>
        <v>120</v>
      </c>
      <c r="D130" s="39">
        <v>120</v>
      </c>
      <c r="E130" s="111" t="str">
        <f>IF(C130=D130,"OK","CHECK")</f>
        <v>OK</v>
      </c>
      <c r="F130" s="1"/>
      <c r="G130" s="1"/>
      <c r="H130" s="1"/>
    </row>
  </sheetData>
  <mergeCells count="2">
    <mergeCell ref="A1:H1"/>
    <mergeCell ref="A2:H2"/>
  </mergeCells>
  <conditionalFormatting sqref="D4:D123">
    <cfRule type="cellIs" dxfId="4" priority="1" operator="equal">
      <formula>"G"</formula>
    </cfRule>
    <cfRule type="cellIs" dxfId="3" priority="2" operator="equal">
      <formula>"E"</formula>
    </cfRule>
    <cfRule type="cellIs" dxfId="2" priority="3" operator="equal">
      <formula>"Q"</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2DEC5-029A-49D4-8554-53A7D4A2968F}">
  <dimension ref="A1:B190"/>
  <sheetViews>
    <sheetView workbookViewId="0">
      <pane ySplit="2" topLeftCell="A3" activePane="bottomLeft" state="frozen"/>
      <selection pane="bottomLeft" sqref="A1:B1"/>
    </sheetView>
  </sheetViews>
  <sheetFormatPr baseColWidth="10" defaultColWidth="8.83203125" defaultRowHeight="15" x14ac:dyDescent="0.2"/>
  <cols>
    <col min="1" max="1" width="6.6640625" customWidth="1"/>
    <col min="2" max="2" width="130.6640625" customWidth="1"/>
  </cols>
  <sheetData>
    <row r="1" spans="1:2" ht="21.75" customHeight="1" x14ac:dyDescent="0.2">
      <c r="A1" s="156" t="s">
        <v>113</v>
      </c>
      <c r="B1" s="157"/>
    </row>
    <row r="2" spans="1:2" ht="30" customHeight="1" x14ac:dyDescent="0.2">
      <c r="A2" s="155" t="s">
        <v>5525</v>
      </c>
      <c r="B2" s="157"/>
    </row>
    <row r="3" spans="1:2" x14ac:dyDescent="0.2">
      <c r="A3" s="58"/>
      <c r="B3" s="58"/>
    </row>
    <row r="4" spans="1:2" ht="18" customHeight="1" x14ac:dyDescent="0.2">
      <c r="A4" s="162" t="s">
        <v>5526</v>
      </c>
      <c r="B4" s="162"/>
    </row>
    <row r="5" spans="1:2" ht="41.25" customHeight="1" x14ac:dyDescent="0.2">
      <c r="A5" s="123">
        <v>1</v>
      </c>
      <c r="B5" s="90" t="s">
        <v>5527</v>
      </c>
    </row>
    <row r="6" spans="1:2" ht="54" customHeight="1" x14ac:dyDescent="0.2">
      <c r="A6" s="123">
        <v>2</v>
      </c>
      <c r="B6" s="90" t="s">
        <v>5528</v>
      </c>
    </row>
    <row r="7" spans="1:2" ht="41.25" customHeight="1" x14ac:dyDescent="0.2">
      <c r="A7" s="123">
        <v>3</v>
      </c>
      <c r="B7" s="90" t="s">
        <v>5529</v>
      </c>
    </row>
    <row r="8" spans="1:2" ht="41.25" customHeight="1" x14ac:dyDescent="0.2">
      <c r="A8" s="123">
        <v>4</v>
      </c>
      <c r="B8" s="90" t="s">
        <v>5530</v>
      </c>
    </row>
    <row r="9" spans="1:2" ht="27.75" customHeight="1" x14ac:dyDescent="0.2">
      <c r="A9" s="123">
        <v>5</v>
      </c>
      <c r="B9" s="90" t="s">
        <v>5531</v>
      </c>
    </row>
    <row r="10" spans="1:2" ht="41.25" customHeight="1" x14ac:dyDescent="0.2">
      <c r="A10" s="123">
        <v>6</v>
      </c>
      <c r="B10" s="90" t="s">
        <v>5532</v>
      </c>
    </row>
    <row r="11" spans="1:2" ht="15" customHeight="1" x14ac:dyDescent="0.2">
      <c r="A11" s="123">
        <v>7</v>
      </c>
      <c r="B11" s="90" t="s">
        <v>5533</v>
      </c>
    </row>
    <row r="12" spans="1:2" ht="41.25" customHeight="1" x14ac:dyDescent="0.2">
      <c r="A12" s="123">
        <v>8</v>
      </c>
      <c r="B12" s="90" t="s">
        <v>5534</v>
      </c>
    </row>
    <row r="13" spans="1:2" ht="18" customHeight="1" x14ac:dyDescent="0.2">
      <c r="A13" s="123"/>
      <c r="B13" s="90"/>
    </row>
    <row r="14" spans="1:2" ht="18" customHeight="1" x14ac:dyDescent="0.2">
      <c r="A14" s="162" t="s">
        <v>5535</v>
      </c>
      <c r="B14" s="162"/>
    </row>
    <row r="15" spans="1:2" ht="80.25" customHeight="1" x14ac:dyDescent="0.2">
      <c r="A15" s="123">
        <v>1</v>
      </c>
      <c r="B15" s="90" t="s">
        <v>5536</v>
      </c>
    </row>
    <row r="16" spans="1:2" ht="54" customHeight="1" x14ac:dyDescent="0.2">
      <c r="A16" s="123">
        <v>2</v>
      </c>
      <c r="B16" s="90" t="s">
        <v>5537</v>
      </c>
    </row>
    <row r="17" spans="1:2" ht="80.25" customHeight="1" x14ac:dyDescent="0.2">
      <c r="A17" s="123">
        <v>3</v>
      </c>
      <c r="B17" s="90" t="s">
        <v>5538</v>
      </c>
    </row>
    <row r="18" spans="1:2" ht="27.75" customHeight="1" x14ac:dyDescent="0.2">
      <c r="A18" s="123">
        <v>4</v>
      </c>
      <c r="B18" s="90" t="s">
        <v>5539</v>
      </c>
    </row>
    <row r="19" spans="1:2" ht="27.75" customHeight="1" x14ac:dyDescent="0.2">
      <c r="A19" s="123">
        <v>5</v>
      </c>
      <c r="B19" s="90" t="s">
        <v>5540</v>
      </c>
    </row>
    <row r="20" spans="1:2" ht="41.25" customHeight="1" x14ac:dyDescent="0.2">
      <c r="A20" s="123">
        <v>6</v>
      </c>
      <c r="B20" s="90" t="s">
        <v>5541</v>
      </c>
    </row>
    <row r="21" spans="1:2" ht="66.75" customHeight="1" x14ac:dyDescent="0.2">
      <c r="A21" s="123">
        <v>7</v>
      </c>
      <c r="B21" s="90" t="s">
        <v>5542</v>
      </c>
    </row>
    <row r="22" spans="1:2" ht="41.25" customHeight="1" x14ac:dyDescent="0.2">
      <c r="A22" s="123">
        <v>8</v>
      </c>
      <c r="B22" s="90" t="s">
        <v>5543</v>
      </c>
    </row>
    <row r="23" spans="1:2" ht="54" customHeight="1" x14ac:dyDescent="0.2">
      <c r="A23" s="123">
        <v>9</v>
      </c>
      <c r="B23" s="90" t="s">
        <v>5544</v>
      </c>
    </row>
    <row r="24" spans="1:2" ht="41.25" customHeight="1" x14ac:dyDescent="0.2">
      <c r="A24" s="123">
        <v>10</v>
      </c>
      <c r="B24" s="90" t="s">
        <v>5545</v>
      </c>
    </row>
    <row r="25" spans="1:2" ht="80.25" customHeight="1" x14ac:dyDescent="0.2">
      <c r="A25" s="123">
        <v>11</v>
      </c>
      <c r="B25" s="90" t="s">
        <v>5546</v>
      </c>
    </row>
    <row r="26" spans="1:2" ht="54" customHeight="1" x14ac:dyDescent="0.2">
      <c r="A26" s="123">
        <v>12</v>
      </c>
      <c r="B26" s="90" t="s">
        <v>5547</v>
      </c>
    </row>
    <row r="27" spans="1:2" ht="66.75" customHeight="1" x14ac:dyDescent="0.2">
      <c r="A27" s="123">
        <v>13</v>
      </c>
      <c r="B27" s="90" t="s">
        <v>5548</v>
      </c>
    </row>
    <row r="28" spans="1:2" ht="54" customHeight="1" x14ac:dyDescent="0.2">
      <c r="A28" s="123">
        <v>14</v>
      </c>
      <c r="B28" s="90" t="s">
        <v>5549</v>
      </c>
    </row>
    <row r="29" spans="1:2" ht="54" customHeight="1" x14ac:dyDescent="0.2">
      <c r="A29" s="123">
        <v>15</v>
      </c>
      <c r="B29" s="90" t="s">
        <v>5550</v>
      </c>
    </row>
    <row r="30" spans="1:2" ht="41.25" customHeight="1" x14ac:dyDescent="0.2">
      <c r="A30" s="123">
        <v>16</v>
      </c>
      <c r="B30" s="90" t="s">
        <v>5551</v>
      </c>
    </row>
    <row r="31" spans="1:2" ht="41.25" customHeight="1" x14ac:dyDescent="0.2">
      <c r="A31" s="123">
        <v>17</v>
      </c>
      <c r="B31" s="90" t="s">
        <v>5552</v>
      </c>
    </row>
    <row r="32" spans="1:2" ht="66.75" customHeight="1" x14ac:dyDescent="0.2">
      <c r="A32" s="123">
        <v>18</v>
      </c>
      <c r="B32" s="90" t="s">
        <v>5553</v>
      </c>
    </row>
    <row r="33" spans="1:2" ht="18" customHeight="1" x14ac:dyDescent="0.2">
      <c r="A33" s="123"/>
      <c r="B33" s="90"/>
    </row>
    <row r="34" spans="1:2" ht="18" customHeight="1" x14ac:dyDescent="0.2">
      <c r="A34" s="162" t="s">
        <v>5554</v>
      </c>
      <c r="B34" s="162"/>
    </row>
    <row r="35" spans="1:2" ht="54" customHeight="1" x14ac:dyDescent="0.2">
      <c r="A35" s="123">
        <v>1</v>
      </c>
      <c r="B35" s="90" t="s">
        <v>5555</v>
      </c>
    </row>
    <row r="36" spans="1:2" ht="54" customHeight="1" x14ac:dyDescent="0.2">
      <c r="A36" s="123">
        <v>2</v>
      </c>
      <c r="B36" s="90" t="s">
        <v>5556</v>
      </c>
    </row>
    <row r="37" spans="1:2" ht="80.25" customHeight="1" x14ac:dyDescent="0.2">
      <c r="A37" s="123">
        <v>3</v>
      </c>
      <c r="B37" s="90" t="s">
        <v>5557</v>
      </c>
    </row>
    <row r="38" spans="1:2" ht="80.25" customHeight="1" x14ac:dyDescent="0.2">
      <c r="A38" s="123">
        <v>4</v>
      </c>
      <c r="B38" s="90" t="s">
        <v>5558</v>
      </c>
    </row>
    <row r="39" spans="1:2" ht="93" customHeight="1" x14ac:dyDescent="0.2">
      <c r="A39" s="123">
        <v>5</v>
      </c>
      <c r="B39" s="90" t="s">
        <v>5559</v>
      </c>
    </row>
    <row r="40" spans="1:2" ht="41.25" customHeight="1" x14ac:dyDescent="0.2">
      <c r="A40" s="123">
        <v>6</v>
      </c>
      <c r="B40" s="90" t="s">
        <v>5560</v>
      </c>
    </row>
    <row r="41" spans="1:2" ht="54" customHeight="1" x14ac:dyDescent="0.2">
      <c r="A41" s="123">
        <v>7</v>
      </c>
      <c r="B41" s="90" t="s">
        <v>5561</v>
      </c>
    </row>
    <row r="42" spans="1:2" ht="80.25" customHeight="1" x14ac:dyDescent="0.2">
      <c r="A42" s="123"/>
      <c r="B42" s="90"/>
    </row>
    <row r="43" spans="1:2" ht="18" customHeight="1" x14ac:dyDescent="0.2">
      <c r="A43" s="162" t="s">
        <v>5562</v>
      </c>
      <c r="B43" s="162"/>
    </row>
    <row r="44" spans="1:2" ht="80.25" customHeight="1" x14ac:dyDescent="0.2">
      <c r="A44" s="123">
        <v>1</v>
      </c>
      <c r="B44" s="90" t="s">
        <v>5563</v>
      </c>
    </row>
    <row r="45" spans="1:2" ht="41.25" customHeight="1" x14ac:dyDescent="0.2">
      <c r="A45" s="123">
        <v>2</v>
      </c>
      <c r="B45" s="90" t="s">
        <v>5564</v>
      </c>
    </row>
    <row r="46" spans="1:2" ht="27.75" customHeight="1" x14ac:dyDescent="0.2">
      <c r="A46" s="123">
        <v>3</v>
      </c>
      <c r="B46" s="90" t="s">
        <v>5565</v>
      </c>
    </row>
    <row r="47" spans="1:2" ht="54" customHeight="1" x14ac:dyDescent="0.2">
      <c r="A47" s="123">
        <v>4</v>
      </c>
      <c r="B47" s="90" t="s">
        <v>5566</v>
      </c>
    </row>
    <row r="48" spans="1:2" ht="66.75" customHeight="1" x14ac:dyDescent="0.2">
      <c r="A48" s="123">
        <v>5</v>
      </c>
      <c r="B48" s="90" t="s">
        <v>5567</v>
      </c>
    </row>
    <row r="49" spans="1:2" ht="41.25" customHeight="1" x14ac:dyDescent="0.2">
      <c r="A49" s="123">
        <v>6</v>
      </c>
      <c r="B49" s="90" t="s">
        <v>5568</v>
      </c>
    </row>
    <row r="50" spans="1:2" ht="54" customHeight="1" x14ac:dyDescent="0.2">
      <c r="A50" s="123">
        <v>7</v>
      </c>
      <c r="B50" s="90" t="s">
        <v>5569</v>
      </c>
    </row>
    <row r="51" spans="1:2" ht="15" customHeight="1" x14ac:dyDescent="0.2">
      <c r="A51" s="123"/>
      <c r="B51" s="90"/>
    </row>
    <row r="52" spans="1:2" ht="18" customHeight="1" x14ac:dyDescent="0.2">
      <c r="A52" s="162" t="s">
        <v>5570</v>
      </c>
      <c r="B52" s="162"/>
    </row>
    <row r="53" spans="1:2" ht="54" customHeight="1" x14ac:dyDescent="0.2">
      <c r="A53" s="123">
        <v>1</v>
      </c>
      <c r="B53" s="90" t="s">
        <v>5571</v>
      </c>
    </row>
    <row r="54" spans="1:2" ht="27.75" customHeight="1" x14ac:dyDescent="0.2">
      <c r="A54" s="123"/>
      <c r="B54" s="90"/>
    </row>
    <row r="55" spans="1:2" ht="18" customHeight="1" x14ac:dyDescent="0.2">
      <c r="A55" s="162" t="s">
        <v>5572</v>
      </c>
      <c r="B55" s="162"/>
    </row>
    <row r="56" spans="1:2" ht="41.25" customHeight="1" x14ac:dyDescent="0.2">
      <c r="A56" s="123">
        <v>1</v>
      </c>
      <c r="B56" s="90" t="s">
        <v>5573</v>
      </c>
    </row>
    <row r="57" spans="1:2" ht="41.25" customHeight="1" x14ac:dyDescent="0.2">
      <c r="A57" s="123">
        <v>2</v>
      </c>
      <c r="B57" s="90" t="s">
        <v>5574</v>
      </c>
    </row>
    <row r="58" spans="1:2" ht="15" customHeight="1" x14ac:dyDescent="0.2">
      <c r="A58" s="123"/>
      <c r="B58" s="90"/>
    </row>
    <row r="59" spans="1:2" ht="18" customHeight="1" x14ac:dyDescent="0.2">
      <c r="A59" s="162" t="s">
        <v>5575</v>
      </c>
      <c r="B59" s="162"/>
    </row>
    <row r="60" spans="1:2" ht="27.75" customHeight="1" x14ac:dyDescent="0.2">
      <c r="A60" s="123">
        <v>1</v>
      </c>
      <c r="B60" s="90" t="s">
        <v>5576</v>
      </c>
    </row>
    <row r="61" spans="1:2" ht="41.25" customHeight="1" x14ac:dyDescent="0.2">
      <c r="A61" s="123">
        <v>2</v>
      </c>
      <c r="B61" s="90" t="s">
        <v>5577</v>
      </c>
    </row>
    <row r="62" spans="1:2" ht="54" customHeight="1" x14ac:dyDescent="0.2">
      <c r="A62" s="123">
        <v>3</v>
      </c>
      <c r="B62" s="90" t="s">
        <v>5578</v>
      </c>
    </row>
    <row r="63" spans="1:2" ht="15" customHeight="1" x14ac:dyDescent="0.2">
      <c r="A63" s="123">
        <v>4</v>
      </c>
      <c r="B63" s="90" t="s">
        <v>5579</v>
      </c>
    </row>
    <row r="64" spans="1:2" ht="27.75" customHeight="1" x14ac:dyDescent="0.2">
      <c r="A64" s="123">
        <v>5</v>
      </c>
      <c r="B64" s="90" t="s">
        <v>5580</v>
      </c>
    </row>
    <row r="65" spans="1:2" ht="27.75" customHeight="1" x14ac:dyDescent="0.2">
      <c r="A65" s="123">
        <v>6</v>
      </c>
      <c r="B65" s="90" t="s">
        <v>5581</v>
      </c>
    </row>
    <row r="66" spans="1:2" ht="15" customHeight="1" x14ac:dyDescent="0.2">
      <c r="A66" s="123"/>
      <c r="B66" s="90"/>
    </row>
    <row r="67" spans="1:2" ht="18" customHeight="1" x14ac:dyDescent="0.2">
      <c r="A67" s="162" t="s">
        <v>5582</v>
      </c>
      <c r="B67" s="162"/>
    </row>
    <row r="68" spans="1:2" ht="27.75" customHeight="1" x14ac:dyDescent="0.2">
      <c r="A68" s="123">
        <v>1</v>
      </c>
      <c r="B68" s="90" t="s">
        <v>5583</v>
      </c>
    </row>
    <row r="69" spans="1:2" ht="15" customHeight="1" x14ac:dyDescent="0.2">
      <c r="A69" s="123">
        <v>2</v>
      </c>
      <c r="B69" s="90" t="s">
        <v>5584</v>
      </c>
    </row>
    <row r="70" spans="1:2" ht="27.75" customHeight="1" x14ac:dyDescent="0.2">
      <c r="A70" s="123">
        <v>3</v>
      </c>
      <c r="B70" s="90" t="s">
        <v>5585</v>
      </c>
    </row>
    <row r="71" spans="1:2" ht="15" customHeight="1" x14ac:dyDescent="0.2">
      <c r="A71" s="123">
        <v>4</v>
      </c>
      <c r="B71" s="90" t="s">
        <v>5586</v>
      </c>
    </row>
    <row r="72" spans="1:2" ht="15" customHeight="1" x14ac:dyDescent="0.2">
      <c r="A72" s="123">
        <v>5</v>
      </c>
      <c r="B72" s="90" t="s">
        <v>5587</v>
      </c>
    </row>
    <row r="73" spans="1:2" ht="15" customHeight="1" x14ac:dyDescent="0.2">
      <c r="A73" s="123">
        <v>6</v>
      </c>
      <c r="B73" s="90" t="s">
        <v>5588</v>
      </c>
    </row>
    <row r="74" spans="1:2" ht="54" customHeight="1" x14ac:dyDescent="0.2">
      <c r="A74" s="123">
        <v>7</v>
      </c>
      <c r="B74" s="90" t="s">
        <v>5589</v>
      </c>
    </row>
    <row r="75" spans="1:2" ht="27.75" customHeight="1" x14ac:dyDescent="0.2">
      <c r="A75" s="123">
        <v>8</v>
      </c>
      <c r="B75" s="90" t="s">
        <v>5590</v>
      </c>
    </row>
    <row r="76" spans="1:2" ht="41.25" customHeight="1" x14ac:dyDescent="0.2">
      <c r="A76" s="123">
        <v>9</v>
      </c>
      <c r="B76" s="90" t="s">
        <v>5591</v>
      </c>
    </row>
    <row r="77" spans="1:2" ht="27.75" customHeight="1" x14ac:dyDescent="0.2">
      <c r="A77" s="123">
        <v>10</v>
      </c>
      <c r="B77" s="90" t="s">
        <v>5592</v>
      </c>
    </row>
    <row r="78" spans="1:2" ht="41.25" customHeight="1" x14ac:dyDescent="0.2">
      <c r="A78" s="123">
        <v>11</v>
      </c>
      <c r="B78" s="90" t="s">
        <v>5593</v>
      </c>
    </row>
    <row r="79" spans="1:2" ht="27.75" customHeight="1" x14ac:dyDescent="0.2">
      <c r="A79" s="123">
        <v>12</v>
      </c>
      <c r="B79" s="90" t="s">
        <v>5594</v>
      </c>
    </row>
    <row r="80" spans="1:2" ht="27.75" customHeight="1" x14ac:dyDescent="0.2">
      <c r="A80" s="123">
        <v>13</v>
      </c>
      <c r="B80" s="90" t="s">
        <v>5595</v>
      </c>
    </row>
    <row r="81" spans="1:2" ht="41.25" customHeight="1" x14ac:dyDescent="0.2">
      <c r="A81" s="123">
        <v>14</v>
      </c>
      <c r="B81" s="90" t="s">
        <v>5596</v>
      </c>
    </row>
    <row r="82" spans="1:2" ht="15" customHeight="1" x14ac:dyDescent="0.2">
      <c r="A82" s="123"/>
      <c r="B82" s="90"/>
    </row>
    <row r="83" spans="1:2" ht="18" customHeight="1" x14ac:dyDescent="0.2">
      <c r="A83" s="162" t="s">
        <v>5597</v>
      </c>
      <c r="B83" s="162"/>
    </row>
    <row r="84" spans="1:2" ht="15" customHeight="1" x14ac:dyDescent="0.2">
      <c r="A84" s="123">
        <v>1</v>
      </c>
      <c r="B84" s="90" t="s">
        <v>5598</v>
      </c>
    </row>
    <row r="85" spans="1:2" ht="15" customHeight="1" x14ac:dyDescent="0.2">
      <c r="A85" s="123">
        <v>2</v>
      </c>
      <c r="B85" s="90" t="s">
        <v>5599</v>
      </c>
    </row>
    <row r="86" spans="1:2" ht="15" customHeight="1" x14ac:dyDescent="0.2">
      <c r="A86" s="123">
        <v>3</v>
      </c>
      <c r="B86" s="90" t="s">
        <v>5600</v>
      </c>
    </row>
    <row r="87" spans="1:2" ht="15" customHeight="1" x14ac:dyDescent="0.2">
      <c r="A87" s="123">
        <v>4</v>
      </c>
      <c r="B87" s="90" t="s">
        <v>5601</v>
      </c>
    </row>
    <row r="88" spans="1:2" ht="15" customHeight="1" x14ac:dyDescent="0.2">
      <c r="A88" s="123">
        <v>5</v>
      </c>
      <c r="B88" s="90" t="s">
        <v>5602</v>
      </c>
    </row>
    <row r="89" spans="1:2" ht="15" customHeight="1" x14ac:dyDescent="0.2">
      <c r="A89" s="123">
        <v>6</v>
      </c>
      <c r="B89" s="90" t="s">
        <v>5603</v>
      </c>
    </row>
    <row r="90" spans="1:2" ht="15" customHeight="1" x14ac:dyDescent="0.2">
      <c r="A90" s="123">
        <v>7</v>
      </c>
      <c r="B90" s="90" t="s">
        <v>5604</v>
      </c>
    </row>
    <row r="91" spans="1:2" ht="15" customHeight="1" x14ac:dyDescent="0.2">
      <c r="A91" s="123">
        <v>8</v>
      </c>
      <c r="B91" s="90" t="s">
        <v>5605</v>
      </c>
    </row>
    <row r="92" spans="1:2" ht="15" customHeight="1" x14ac:dyDescent="0.2">
      <c r="A92" s="123">
        <v>9</v>
      </c>
      <c r="B92" s="90" t="s">
        <v>5606</v>
      </c>
    </row>
    <row r="93" spans="1:2" ht="15" customHeight="1" x14ac:dyDescent="0.2">
      <c r="A93" s="123">
        <v>10</v>
      </c>
      <c r="B93" s="90" t="s">
        <v>5607</v>
      </c>
    </row>
    <row r="94" spans="1:2" ht="15" customHeight="1" x14ac:dyDescent="0.2">
      <c r="A94" s="123">
        <v>11</v>
      </c>
      <c r="B94" s="90" t="s">
        <v>5608</v>
      </c>
    </row>
    <row r="95" spans="1:2" ht="15" customHeight="1" x14ac:dyDescent="0.2">
      <c r="A95" s="123"/>
      <c r="B95" s="90"/>
    </row>
    <row r="96" spans="1:2" ht="18" customHeight="1" x14ac:dyDescent="0.2">
      <c r="A96" s="162" t="s">
        <v>5609</v>
      </c>
      <c r="B96" s="162"/>
    </row>
    <row r="97" spans="1:2" ht="27.75" customHeight="1" x14ac:dyDescent="0.2">
      <c r="A97" s="123">
        <v>1</v>
      </c>
      <c r="B97" s="90" t="s">
        <v>5610</v>
      </c>
    </row>
    <row r="98" spans="1:2" ht="27.75" customHeight="1" x14ac:dyDescent="0.2">
      <c r="A98" s="123">
        <v>2</v>
      </c>
      <c r="B98" s="90" t="s">
        <v>5611</v>
      </c>
    </row>
    <row r="99" spans="1:2" ht="27.75" customHeight="1" x14ac:dyDescent="0.2">
      <c r="A99" s="123">
        <v>3</v>
      </c>
      <c r="B99" s="90" t="s">
        <v>5612</v>
      </c>
    </row>
    <row r="100" spans="1:2" ht="15" customHeight="1" x14ac:dyDescent="0.2">
      <c r="A100" s="123">
        <v>4</v>
      </c>
      <c r="B100" s="90" t="s">
        <v>5613</v>
      </c>
    </row>
    <row r="101" spans="1:2" ht="27.75" customHeight="1" x14ac:dyDescent="0.2">
      <c r="A101" s="123">
        <v>5</v>
      </c>
      <c r="B101" s="90" t="s">
        <v>5614</v>
      </c>
    </row>
    <row r="102" spans="1:2" ht="15" customHeight="1" x14ac:dyDescent="0.2">
      <c r="A102" s="123">
        <v>6</v>
      </c>
      <c r="B102" s="90" t="s">
        <v>5615</v>
      </c>
    </row>
    <row r="103" spans="1:2" ht="27.75" customHeight="1" x14ac:dyDescent="0.2">
      <c r="A103" s="123">
        <v>7</v>
      </c>
      <c r="B103" s="90" t="s">
        <v>5616</v>
      </c>
    </row>
    <row r="104" spans="1:2" ht="27.75" customHeight="1" x14ac:dyDescent="0.2">
      <c r="A104" s="123">
        <v>8</v>
      </c>
      <c r="B104" s="90" t="s">
        <v>5617</v>
      </c>
    </row>
    <row r="105" spans="1:2" ht="27.75" customHeight="1" x14ac:dyDescent="0.2">
      <c r="A105" s="123">
        <v>9</v>
      </c>
      <c r="B105" s="90" t="s">
        <v>5618</v>
      </c>
    </row>
    <row r="106" spans="1:2" ht="27.75" customHeight="1" x14ac:dyDescent="0.2">
      <c r="A106" s="123">
        <v>10</v>
      </c>
      <c r="B106" s="90" t="s">
        <v>5619</v>
      </c>
    </row>
    <row r="107" spans="1:2" ht="27.75" customHeight="1" x14ac:dyDescent="0.2">
      <c r="A107" s="123">
        <v>11</v>
      </c>
      <c r="B107" s="90" t="s">
        <v>5620</v>
      </c>
    </row>
    <row r="108" spans="1:2" ht="54" customHeight="1" x14ac:dyDescent="0.2">
      <c r="A108" s="123">
        <v>12</v>
      </c>
      <c r="B108" s="90" t="s">
        <v>5621</v>
      </c>
    </row>
    <row r="109" spans="1:2" ht="41.25" customHeight="1" x14ac:dyDescent="0.2">
      <c r="A109" s="123">
        <v>13</v>
      </c>
      <c r="B109" s="90" t="s">
        <v>5622</v>
      </c>
    </row>
    <row r="110" spans="1:2" ht="15" customHeight="1" x14ac:dyDescent="0.2">
      <c r="A110" s="123">
        <v>14</v>
      </c>
      <c r="B110" s="90" t="s">
        <v>5623</v>
      </c>
    </row>
    <row r="111" spans="1:2" ht="27.75" customHeight="1" x14ac:dyDescent="0.2">
      <c r="A111" s="123">
        <v>15</v>
      </c>
      <c r="B111" s="90" t="s">
        <v>5624</v>
      </c>
    </row>
    <row r="112" spans="1:2" ht="27.75" customHeight="1" x14ac:dyDescent="0.2">
      <c r="A112" s="123">
        <v>16</v>
      </c>
      <c r="B112" s="90" t="s">
        <v>5625</v>
      </c>
    </row>
    <row r="113" spans="1:2" ht="27.75" customHeight="1" x14ac:dyDescent="0.2">
      <c r="A113" s="123">
        <v>17</v>
      </c>
      <c r="B113" s="90" t="s">
        <v>5626</v>
      </c>
    </row>
    <row r="114" spans="1:2" ht="27.75" customHeight="1" x14ac:dyDescent="0.2">
      <c r="A114" s="123">
        <v>18</v>
      </c>
      <c r="B114" s="90" t="s">
        <v>5627</v>
      </c>
    </row>
    <row r="115" spans="1:2" ht="15" customHeight="1" x14ac:dyDescent="0.2">
      <c r="A115" s="123">
        <v>19</v>
      </c>
      <c r="B115" s="90" t="s">
        <v>5628</v>
      </c>
    </row>
    <row r="116" spans="1:2" ht="27.75" customHeight="1" x14ac:dyDescent="0.2">
      <c r="A116" s="123">
        <v>20</v>
      </c>
      <c r="B116" s="90" t="s">
        <v>5629</v>
      </c>
    </row>
    <row r="117" spans="1:2" ht="27.75" customHeight="1" x14ac:dyDescent="0.2">
      <c r="A117" s="123">
        <v>21</v>
      </c>
      <c r="B117" s="90" t="s">
        <v>5630</v>
      </c>
    </row>
    <row r="118" spans="1:2" ht="27.75" customHeight="1" x14ac:dyDescent="0.2">
      <c r="A118" s="123">
        <v>22</v>
      </c>
      <c r="B118" s="90" t="s">
        <v>5631</v>
      </c>
    </row>
    <row r="119" spans="1:2" ht="15" customHeight="1" x14ac:dyDescent="0.2">
      <c r="A119" s="123"/>
      <c r="B119" s="90"/>
    </row>
    <row r="120" spans="1:2" ht="18" customHeight="1" x14ac:dyDescent="0.2">
      <c r="A120" s="162" t="s">
        <v>5632</v>
      </c>
      <c r="B120" s="162"/>
    </row>
    <row r="121" spans="1:2" ht="15" customHeight="1" x14ac:dyDescent="0.2">
      <c r="A121" s="123">
        <v>1</v>
      </c>
      <c r="B121" s="90" t="s">
        <v>5633</v>
      </c>
    </row>
    <row r="122" spans="1:2" ht="27.75" customHeight="1" x14ac:dyDescent="0.2">
      <c r="A122" s="123">
        <v>2</v>
      </c>
      <c r="B122" s="90" t="s">
        <v>5634</v>
      </c>
    </row>
    <row r="123" spans="1:2" ht="41.25" customHeight="1" x14ac:dyDescent="0.2">
      <c r="A123" s="123">
        <v>3</v>
      </c>
      <c r="B123" s="90" t="s">
        <v>5635</v>
      </c>
    </row>
    <row r="124" spans="1:2" ht="27.75" customHeight="1" x14ac:dyDescent="0.2">
      <c r="A124" s="123">
        <v>4</v>
      </c>
      <c r="B124" s="90" t="s">
        <v>5636</v>
      </c>
    </row>
    <row r="125" spans="1:2" ht="15" customHeight="1" x14ac:dyDescent="0.2">
      <c r="A125" s="123"/>
      <c r="B125" s="90"/>
    </row>
    <row r="126" spans="1:2" ht="18" customHeight="1" x14ac:dyDescent="0.2">
      <c r="A126" s="162" t="s">
        <v>5637</v>
      </c>
      <c r="B126" s="162"/>
    </row>
    <row r="127" spans="1:2" ht="27.75" customHeight="1" x14ac:dyDescent="0.2">
      <c r="A127" s="123">
        <v>1</v>
      </c>
      <c r="B127" s="90" t="s">
        <v>5638</v>
      </c>
    </row>
    <row r="128" spans="1:2" ht="15" customHeight="1" x14ac:dyDescent="0.2">
      <c r="A128" s="123">
        <v>2</v>
      </c>
      <c r="B128" s="90" t="s">
        <v>5639</v>
      </c>
    </row>
    <row r="129" spans="1:2" ht="27.75" customHeight="1" x14ac:dyDescent="0.2">
      <c r="A129" s="123">
        <v>3</v>
      </c>
      <c r="B129" s="90" t="s">
        <v>5640</v>
      </c>
    </row>
    <row r="130" spans="1:2" ht="27.75" customHeight="1" x14ac:dyDescent="0.2">
      <c r="A130" s="123">
        <v>4</v>
      </c>
      <c r="B130" s="90" t="s">
        <v>5641</v>
      </c>
    </row>
    <row r="131" spans="1:2" ht="27.75" customHeight="1" x14ac:dyDescent="0.2">
      <c r="A131" s="123">
        <v>5</v>
      </c>
      <c r="B131" s="90" t="s">
        <v>5642</v>
      </c>
    </row>
    <row r="132" spans="1:2" ht="15" customHeight="1" x14ac:dyDescent="0.2">
      <c r="A132" s="123">
        <v>6</v>
      </c>
      <c r="B132" s="90" t="s">
        <v>5643</v>
      </c>
    </row>
    <row r="133" spans="1:2" ht="15" customHeight="1" x14ac:dyDescent="0.2">
      <c r="A133" s="123"/>
      <c r="B133" s="90"/>
    </row>
    <row r="134" spans="1:2" ht="18" customHeight="1" x14ac:dyDescent="0.2">
      <c r="A134" s="162" t="s">
        <v>5644</v>
      </c>
      <c r="B134" s="162"/>
    </row>
    <row r="135" spans="1:2" ht="41.25" customHeight="1" x14ac:dyDescent="0.2">
      <c r="A135" s="123">
        <v>1</v>
      </c>
      <c r="B135" s="90" t="s">
        <v>5645</v>
      </c>
    </row>
    <row r="136" spans="1:2" ht="27.75" customHeight="1" x14ac:dyDescent="0.2">
      <c r="A136" s="123">
        <v>2</v>
      </c>
      <c r="B136" s="90" t="s">
        <v>5646</v>
      </c>
    </row>
    <row r="137" spans="1:2" ht="27.75" customHeight="1" x14ac:dyDescent="0.2">
      <c r="A137" s="123">
        <v>3</v>
      </c>
      <c r="B137" s="90" t="s">
        <v>5647</v>
      </c>
    </row>
    <row r="138" spans="1:2" ht="27.75" customHeight="1" x14ac:dyDescent="0.2">
      <c r="A138" s="123">
        <v>4</v>
      </c>
      <c r="B138" s="90" t="s">
        <v>5648</v>
      </c>
    </row>
    <row r="139" spans="1:2" ht="41.25" customHeight="1" x14ac:dyDescent="0.2">
      <c r="A139" s="123">
        <v>5</v>
      </c>
      <c r="B139" s="90" t="s">
        <v>5649</v>
      </c>
    </row>
    <row r="140" spans="1:2" ht="27.75" customHeight="1" x14ac:dyDescent="0.2">
      <c r="A140" s="123">
        <v>6</v>
      </c>
      <c r="B140" s="90" t="s">
        <v>5650</v>
      </c>
    </row>
    <row r="141" spans="1:2" ht="27.75" customHeight="1" x14ac:dyDescent="0.2">
      <c r="A141" s="123">
        <v>7</v>
      </c>
      <c r="B141" s="90" t="s">
        <v>5651</v>
      </c>
    </row>
    <row r="142" spans="1:2" ht="27.75" customHeight="1" x14ac:dyDescent="0.2">
      <c r="A142" s="123">
        <v>8</v>
      </c>
      <c r="B142" s="90" t="s">
        <v>5652</v>
      </c>
    </row>
    <row r="143" spans="1:2" ht="15" customHeight="1" x14ac:dyDescent="0.2">
      <c r="A143" s="123">
        <v>9</v>
      </c>
      <c r="B143" s="90" t="s">
        <v>5653</v>
      </c>
    </row>
    <row r="144" spans="1:2" ht="15" customHeight="1" x14ac:dyDescent="0.2">
      <c r="A144" s="123"/>
      <c r="B144" s="90"/>
    </row>
    <row r="145" spans="1:2" ht="18" customHeight="1" x14ac:dyDescent="0.2">
      <c r="A145" s="162" t="s">
        <v>5654</v>
      </c>
      <c r="B145" s="162"/>
    </row>
    <row r="146" spans="1:2" ht="15" customHeight="1" x14ac:dyDescent="0.2">
      <c r="A146" s="123">
        <v>1</v>
      </c>
      <c r="B146" s="90" t="s">
        <v>5655</v>
      </c>
    </row>
    <row r="147" spans="1:2" ht="15" customHeight="1" x14ac:dyDescent="0.2">
      <c r="A147" s="123">
        <v>2</v>
      </c>
      <c r="B147" s="90" t="s">
        <v>5656</v>
      </c>
    </row>
    <row r="148" spans="1:2" ht="27.75" customHeight="1" x14ac:dyDescent="0.2">
      <c r="A148" s="123">
        <v>3</v>
      </c>
      <c r="B148" s="90" t="s">
        <v>5657</v>
      </c>
    </row>
    <row r="149" spans="1:2" ht="15" customHeight="1" x14ac:dyDescent="0.2">
      <c r="A149" s="123">
        <v>4</v>
      </c>
      <c r="B149" s="90" t="s">
        <v>5658</v>
      </c>
    </row>
    <row r="150" spans="1:2" ht="15" customHeight="1" x14ac:dyDescent="0.2">
      <c r="A150" s="123">
        <v>5</v>
      </c>
      <c r="B150" s="90" t="s">
        <v>5659</v>
      </c>
    </row>
    <row r="151" spans="1:2" ht="15" customHeight="1" x14ac:dyDescent="0.2">
      <c r="A151" s="123">
        <v>6</v>
      </c>
      <c r="B151" s="90" t="s">
        <v>5660</v>
      </c>
    </row>
    <row r="152" spans="1:2" ht="80.25" customHeight="1" x14ac:dyDescent="0.2">
      <c r="A152" s="123">
        <v>7</v>
      </c>
      <c r="B152" s="90" t="s">
        <v>5661</v>
      </c>
    </row>
    <row r="153" spans="1:2" ht="15" customHeight="1" x14ac:dyDescent="0.2">
      <c r="A153" s="123"/>
      <c r="B153" s="90"/>
    </row>
    <row r="154" spans="1:2" ht="18" customHeight="1" x14ac:dyDescent="0.2">
      <c r="A154" s="162" t="s">
        <v>5662</v>
      </c>
      <c r="B154" s="162"/>
    </row>
    <row r="155" spans="1:2" ht="41.25" customHeight="1" x14ac:dyDescent="0.2">
      <c r="A155" s="123">
        <v>1</v>
      </c>
      <c r="B155" s="90" t="s">
        <v>5663</v>
      </c>
    </row>
    <row r="156" spans="1:2" ht="27.75" customHeight="1" x14ac:dyDescent="0.2">
      <c r="A156" s="123">
        <v>2</v>
      </c>
      <c r="B156" s="90" t="s">
        <v>5664</v>
      </c>
    </row>
    <row r="157" spans="1:2" ht="41.25" customHeight="1" x14ac:dyDescent="0.2">
      <c r="A157" s="123">
        <v>3</v>
      </c>
      <c r="B157" s="90" t="s">
        <v>5665</v>
      </c>
    </row>
    <row r="158" spans="1:2" ht="27.75" customHeight="1" x14ac:dyDescent="0.2">
      <c r="A158" s="123">
        <v>4</v>
      </c>
      <c r="B158" s="90" t="s">
        <v>5666</v>
      </c>
    </row>
    <row r="159" spans="1:2" ht="54" customHeight="1" x14ac:dyDescent="0.2">
      <c r="A159" s="123">
        <v>5</v>
      </c>
      <c r="B159" s="90" t="s">
        <v>5667</v>
      </c>
    </row>
    <row r="160" spans="1:2" ht="15" customHeight="1" x14ac:dyDescent="0.2">
      <c r="A160" s="123">
        <v>6</v>
      </c>
      <c r="B160" s="90" t="s">
        <v>5668</v>
      </c>
    </row>
    <row r="161" spans="1:2" ht="27.75" customHeight="1" x14ac:dyDescent="0.2">
      <c r="A161" s="123">
        <v>7</v>
      </c>
      <c r="B161" s="90" t="s">
        <v>5669</v>
      </c>
    </row>
    <row r="162" spans="1:2" ht="41.25" customHeight="1" x14ac:dyDescent="0.2">
      <c r="A162" s="123">
        <v>8</v>
      </c>
      <c r="B162" s="90" t="s">
        <v>5670</v>
      </c>
    </row>
    <row r="163" spans="1:2" ht="15" customHeight="1" x14ac:dyDescent="0.2">
      <c r="A163" s="123">
        <v>9</v>
      </c>
      <c r="B163" s="90" t="s">
        <v>5671</v>
      </c>
    </row>
    <row r="164" spans="1:2" ht="15" customHeight="1" x14ac:dyDescent="0.2">
      <c r="A164" s="123"/>
      <c r="B164" s="90"/>
    </row>
    <row r="165" spans="1:2" ht="18" customHeight="1" x14ac:dyDescent="0.2">
      <c r="A165" s="162" t="s">
        <v>5672</v>
      </c>
      <c r="B165" s="162"/>
    </row>
    <row r="166" spans="1:2" ht="27.75" customHeight="1" x14ac:dyDescent="0.2">
      <c r="A166" s="123">
        <v>1</v>
      </c>
      <c r="B166" s="90" t="s">
        <v>5673</v>
      </c>
    </row>
    <row r="167" spans="1:2" ht="27.75" customHeight="1" x14ac:dyDescent="0.2">
      <c r="A167" s="123">
        <v>2</v>
      </c>
      <c r="B167" s="90" t="s">
        <v>5674</v>
      </c>
    </row>
    <row r="168" spans="1:2" ht="27.75" customHeight="1" x14ac:dyDescent="0.2">
      <c r="A168" s="123">
        <v>3</v>
      </c>
      <c r="B168" s="90" t="s">
        <v>5675</v>
      </c>
    </row>
    <row r="169" spans="1:2" ht="27.75" customHeight="1" x14ac:dyDescent="0.2">
      <c r="A169" s="123">
        <v>4</v>
      </c>
      <c r="B169" s="90" t="s">
        <v>5676</v>
      </c>
    </row>
    <row r="170" spans="1:2" ht="15" customHeight="1" x14ac:dyDescent="0.2">
      <c r="A170" s="123">
        <v>5</v>
      </c>
      <c r="B170" s="90" t="s">
        <v>5677</v>
      </c>
    </row>
    <row r="171" spans="1:2" ht="27.75" customHeight="1" x14ac:dyDescent="0.2">
      <c r="A171" s="123">
        <v>6</v>
      </c>
      <c r="B171" s="90" t="s">
        <v>5678</v>
      </c>
    </row>
    <row r="172" spans="1:2" ht="27.75" customHeight="1" x14ac:dyDescent="0.2">
      <c r="A172" s="123">
        <v>7</v>
      </c>
      <c r="B172" s="90" t="s">
        <v>5679</v>
      </c>
    </row>
    <row r="173" spans="1:2" ht="27.75" customHeight="1" x14ac:dyDescent="0.2">
      <c r="A173" s="123">
        <v>8</v>
      </c>
      <c r="B173" s="90" t="s">
        <v>5680</v>
      </c>
    </row>
    <row r="174" spans="1:2" ht="27.75" customHeight="1" x14ac:dyDescent="0.2">
      <c r="A174" s="123">
        <v>9</v>
      </c>
      <c r="B174" s="90" t="s">
        <v>5681</v>
      </c>
    </row>
    <row r="175" spans="1:2" ht="27.75" customHeight="1" x14ac:dyDescent="0.2">
      <c r="A175" s="123">
        <v>10</v>
      </c>
      <c r="B175" s="90" t="s">
        <v>5682</v>
      </c>
    </row>
    <row r="176" spans="1:2" ht="27.75" customHeight="1" x14ac:dyDescent="0.2">
      <c r="A176" s="123">
        <v>11</v>
      </c>
      <c r="B176" s="90" t="s">
        <v>5683</v>
      </c>
    </row>
    <row r="177" spans="1:2" ht="27.75" customHeight="1" x14ac:dyDescent="0.2">
      <c r="A177" s="123">
        <v>12</v>
      </c>
      <c r="B177" s="90" t="s">
        <v>5684</v>
      </c>
    </row>
    <row r="178" spans="1:2" ht="27.75" customHeight="1" x14ac:dyDescent="0.2">
      <c r="A178" s="123">
        <v>13</v>
      </c>
      <c r="B178" s="90" t="s">
        <v>5685</v>
      </c>
    </row>
    <row r="179" spans="1:2" ht="41.25" customHeight="1" x14ac:dyDescent="0.2">
      <c r="A179" s="123">
        <v>14</v>
      </c>
      <c r="B179" s="90" t="s">
        <v>5686</v>
      </c>
    </row>
    <row r="180" spans="1:2" ht="27.75" customHeight="1" x14ac:dyDescent="0.2">
      <c r="A180" s="123">
        <v>15</v>
      </c>
      <c r="B180" s="90" t="s">
        <v>5687</v>
      </c>
    </row>
    <row r="181" spans="1:2" ht="41.25" customHeight="1" x14ac:dyDescent="0.2">
      <c r="A181" s="123">
        <v>16</v>
      </c>
      <c r="B181" s="90" t="s">
        <v>5688</v>
      </c>
    </row>
    <row r="182" spans="1:2" ht="41.25" customHeight="1" x14ac:dyDescent="0.2">
      <c r="A182" s="123">
        <v>17</v>
      </c>
      <c r="B182" s="90" t="s">
        <v>5689</v>
      </c>
    </row>
    <row r="183" spans="1:2" ht="54" customHeight="1" x14ac:dyDescent="0.2">
      <c r="A183" s="123">
        <v>18</v>
      </c>
      <c r="B183" s="90" t="s">
        <v>5690</v>
      </c>
    </row>
    <row r="184" spans="1:2" ht="54" customHeight="1" x14ac:dyDescent="0.2">
      <c r="A184" s="123">
        <v>19</v>
      </c>
      <c r="B184" s="90" t="s">
        <v>5691</v>
      </c>
    </row>
    <row r="185" spans="1:2" ht="41.25" customHeight="1" x14ac:dyDescent="0.2">
      <c r="A185" s="123">
        <v>20</v>
      </c>
      <c r="B185" s="90" t="s">
        <v>5692</v>
      </c>
    </row>
    <row r="186" spans="1:2" ht="105.75" customHeight="1" x14ac:dyDescent="0.2">
      <c r="A186" s="123">
        <v>21</v>
      </c>
      <c r="B186" s="90" t="s">
        <v>5693</v>
      </c>
    </row>
    <row r="187" spans="1:2" ht="93" customHeight="1" x14ac:dyDescent="0.2">
      <c r="A187" s="123">
        <v>22</v>
      </c>
      <c r="B187" s="90" t="s">
        <v>5694</v>
      </c>
    </row>
    <row r="188" spans="1:2" ht="120" customHeight="1" x14ac:dyDescent="0.2">
      <c r="A188" s="123">
        <v>23</v>
      </c>
      <c r="B188" s="90" t="s">
        <v>5695</v>
      </c>
    </row>
    <row r="189" spans="1:2" ht="80.25" customHeight="1" x14ac:dyDescent="0.2">
      <c r="A189" s="123">
        <v>24</v>
      </c>
      <c r="B189" s="90" t="s">
        <v>5696</v>
      </c>
    </row>
    <row r="190" spans="1:2" ht="66.75" customHeight="1" x14ac:dyDescent="0.2">
      <c r="A190" s="123">
        <v>25</v>
      </c>
      <c r="B190" s="90" t="s">
        <v>5697</v>
      </c>
    </row>
  </sheetData>
  <mergeCells count="18">
    <mergeCell ref="A120:B120"/>
    <mergeCell ref="A126:B126"/>
    <mergeCell ref="A134:B134"/>
    <mergeCell ref="A145:B145"/>
    <mergeCell ref="A154:B154"/>
    <mergeCell ref="A165:B165"/>
    <mergeCell ref="A1:B1"/>
    <mergeCell ref="A2:B2"/>
    <mergeCell ref="A4:B4"/>
    <mergeCell ref="A14:B14"/>
    <mergeCell ref="A52:B52"/>
    <mergeCell ref="A59:B59"/>
    <mergeCell ref="A67:B67"/>
    <mergeCell ref="A34:B34"/>
    <mergeCell ref="A43:B43"/>
    <mergeCell ref="A55:B55"/>
    <mergeCell ref="A83:B83"/>
    <mergeCell ref="A96:B9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C4D2-76DF-4141-ADB9-B30303A31314}">
  <dimension ref="A1:G101"/>
  <sheetViews>
    <sheetView workbookViewId="0">
      <pane ySplit="10" topLeftCell="A11" activePane="bottomLeft" state="frozen"/>
      <selection pane="bottomLeft"/>
    </sheetView>
  </sheetViews>
  <sheetFormatPr baseColWidth="10" defaultColWidth="8.83203125" defaultRowHeight="15" x14ac:dyDescent="0.2"/>
  <cols>
    <col min="1" max="1" width="60.6640625" customWidth="1"/>
    <col min="2" max="2" width="13.6640625" customWidth="1"/>
    <col min="3" max="3" width="24.6640625" customWidth="1"/>
    <col min="4" max="4" width="11.6640625" customWidth="1"/>
    <col min="5" max="5" width="10.6640625" customWidth="1"/>
    <col min="6" max="6" width="11.6640625" customWidth="1"/>
    <col min="7" max="7" width="66.6640625" customWidth="1"/>
  </cols>
  <sheetData>
    <row r="1" spans="1:7" ht="21.75" customHeight="1" x14ac:dyDescent="0.2">
      <c r="A1" s="156" t="s">
        <v>5698</v>
      </c>
      <c r="B1" s="157"/>
      <c r="C1" s="157"/>
      <c r="D1" s="157"/>
      <c r="E1" s="157"/>
      <c r="F1" s="157"/>
      <c r="G1" s="157"/>
    </row>
    <row r="2" spans="1:7" ht="30" customHeight="1" x14ac:dyDescent="0.2">
      <c r="A2" s="155" t="s">
        <v>5699</v>
      </c>
      <c r="B2" s="157"/>
      <c r="C2" s="157"/>
      <c r="D2" s="157"/>
      <c r="E2" s="157"/>
      <c r="F2" s="157"/>
      <c r="G2" s="157"/>
    </row>
    <row r="3" spans="1:7" x14ac:dyDescent="0.2">
      <c r="A3" s="58"/>
      <c r="B3" s="58"/>
      <c r="C3" s="58"/>
      <c r="D3" s="58"/>
      <c r="E3" s="58"/>
      <c r="F3" s="58"/>
      <c r="G3" s="58"/>
    </row>
    <row r="4" spans="1:7" x14ac:dyDescent="0.2">
      <c r="A4" s="59" t="s">
        <v>5700</v>
      </c>
      <c r="B4" s="3"/>
      <c r="C4" s="3" t="s">
        <v>21</v>
      </c>
      <c r="D4" s="3"/>
      <c r="E4" s="3"/>
      <c r="F4" s="3"/>
      <c r="G4" s="87" t="s">
        <v>1677</v>
      </c>
    </row>
    <row r="5" spans="1:7" x14ac:dyDescent="0.2">
      <c r="A5" s="58" t="s">
        <v>5701</v>
      </c>
      <c r="B5" s="58"/>
      <c r="C5" s="112" t="s">
        <v>5702</v>
      </c>
      <c r="D5" s="58"/>
      <c r="E5" s="58"/>
      <c r="F5" s="58"/>
      <c r="G5" s="88" t="s">
        <v>5703</v>
      </c>
    </row>
    <row r="6" spans="1:7" ht="27" customHeight="1" x14ac:dyDescent="0.2">
      <c r="A6" s="58" t="s">
        <v>5704</v>
      </c>
      <c r="B6" s="58"/>
      <c r="C6" s="113">
        <v>5.0000000000000001E-3</v>
      </c>
      <c r="D6" s="58"/>
      <c r="E6" s="58"/>
      <c r="F6" s="58"/>
      <c r="G6" s="88" t="s">
        <v>5705</v>
      </c>
    </row>
    <row r="7" spans="1:7" x14ac:dyDescent="0.2">
      <c r="A7" s="58" t="s">
        <v>5706</v>
      </c>
      <c r="B7" s="58"/>
      <c r="C7" s="36">
        <v>80</v>
      </c>
      <c r="D7" s="58"/>
      <c r="E7" s="58"/>
      <c r="F7" s="58"/>
      <c r="G7" s="88" t="s">
        <v>5707</v>
      </c>
    </row>
    <row r="8" spans="1:7" x14ac:dyDescent="0.2">
      <c r="A8" s="58" t="s">
        <v>5708</v>
      </c>
      <c r="B8" s="58"/>
      <c r="C8" s="36">
        <v>0</v>
      </c>
      <c r="D8" s="58"/>
      <c r="E8" s="58"/>
      <c r="F8" s="58"/>
      <c r="G8" s="88" t="s">
        <v>5709</v>
      </c>
    </row>
    <row r="9" spans="1:7" x14ac:dyDescent="0.2">
      <c r="A9" s="58"/>
      <c r="B9" s="58"/>
      <c r="C9" s="58"/>
      <c r="D9" s="58"/>
      <c r="E9" s="58"/>
      <c r="F9" s="58"/>
      <c r="G9" s="88"/>
    </row>
    <row r="10" spans="1:7" x14ac:dyDescent="0.2">
      <c r="A10" s="59" t="s">
        <v>2155</v>
      </c>
      <c r="B10" s="3" t="s">
        <v>2154</v>
      </c>
      <c r="C10" s="3" t="s">
        <v>5710</v>
      </c>
      <c r="D10" s="3" t="s">
        <v>1868</v>
      </c>
      <c r="E10" s="3" t="s">
        <v>1869</v>
      </c>
      <c r="F10" s="3" t="s">
        <v>1870</v>
      </c>
      <c r="G10" s="87" t="s">
        <v>1677</v>
      </c>
    </row>
    <row r="11" spans="1:7" x14ac:dyDescent="0.2">
      <c r="A11" s="90" t="s">
        <v>5711</v>
      </c>
      <c r="B11" s="79">
        <v>179</v>
      </c>
      <c r="C11" s="79">
        <f>COUNTA('Parts list'!$B$4:$B$185)-COUNTIF('Parts list'!$M$4:$M$185,"No part")-COUNTIF('Parts list'!$M$4:$M$185,"Board")</f>
        <v>179</v>
      </c>
      <c r="D11" s="79">
        <f t="shared" ref="D11:D42" si="0">C11-B11</f>
        <v>0</v>
      </c>
      <c r="E11" s="86">
        <v>0</v>
      </c>
      <c r="F11" s="85" t="str">
        <f t="shared" ref="F11:F42" si="1">IF(ABS(D11)&lt;=E11,"OK","CHECK")</f>
        <v>OK</v>
      </c>
      <c r="G11" s="88" t="s">
        <v>5712</v>
      </c>
    </row>
    <row r="12" spans="1:7" x14ac:dyDescent="0.2">
      <c r="A12" s="90" t="s">
        <v>1722</v>
      </c>
      <c r="B12" s="79">
        <v>168</v>
      </c>
      <c r="C12" s="79">
        <f>Cost!B26</f>
        <v>168</v>
      </c>
      <c r="D12" s="79">
        <f t="shared" si="0"/>
        <v>0</v>
      </c>
      <c r="E12" s="86">
        <v>0</v>
      </c>
      <c r="F12" s="85" t="str">
        <f t="shared" si="1"/>
        <v>OK</v>
      </c>
      <c r="G12" s="88" t="s">
        <v>5713</v>
      </c>
    </row>
    <row r="13" spans="1:7" x14ac:dyDescent="0.2">
      <c r="A13" s="90" t="s">
        <v>1725</v>
      </c>
      <c r="B13" s="79">
        <v>4</v>
      </c>
      <c r="C13" s="79">
        <f>Cost!B27</f>
        <v>4</v>
      </c>
      <c r="D13" s="79">
        <f t="shared" si="0"/>
        <v>0</v>
      </c>
      <c r="E13" s="86">
        <v>0</v>
      </c>
      <c r="F13" s="85" t="str">
        <f t="shared" si="1"/>
        <v>OK</v>
      </c>
      <c r="G13" s="88" t="s">
        <v>1726</v>
      </c>
    </row>
    <row r="14" spans="1:7" x14ac:dyDescent="0.2">
      <c r="A14" s="90" t="s">
        <v>25</v>
      </c>
      <c r="B14" s="79">
        <v>462</v>
      </c>
      <c r="C14" s="79">
        <f>Cost!B28</f>
        <v>462</v>
      </c>
      <c r="D14" s="79">
        <f t="shared" si="0"/>
        <v>0</v>
      </c>
      <c r="E14" s="86">
        <v>0</v>
      </c>
      <c r="F14" s="85" t="str">
        <f t="shared" si="1"/>
        <v>OK</v>
      </c>
      <c r="G14" s="88" t="s">
        <v>5714</v>
      </c>
    </row>
    <row r="15" spans="1:7" x14ac:dyDescent="0.2">
      <c r="A15" s="90" t="s">
        <v>1728</v>
      </c>
      <c r="B15" s="79">
        <v>455</v>
      </c>
      <c r="C15" s="79">
        <f>Cost!B29</f>
        <v>455</v>
      </c>
      <c r="D15" s="79">
        <f t="shared" si="0"/>
        <v>0</v>
      </c>
      <c r="E15" s="86">
        <v>0</v>
      </c>
      <c r="F15" s="85" t="str">
        <f t="shared" si="1"/>
        <v>OK</v>
      </c>
      <c r="G15" s="88" t="s">
        <v>5715</v>
      </c>
    </row>
    <row r="16" spans="1:7" x14ac:dyDescent="0.2">
      <c r="A16" s="90" t="s">
        <v>5716</v>
      </c>
      <c r="B16" s="79">
        <f>C14</f>
        <v>462</v>
      </c>
      <c r="C16" s="79">
        <f>'Parts list'!$AA$187</f>
        <v>462</v>
      </c>
      <c r="D16" s="79">
        <f t="shared" si="0"/>
        <v>0</v>
      </c>
      <c r="E16" s="86">
        <v>0</v>
      </c>
      <c r="F16" s="85" t="str">
        <f t="shared" si="1"/>
        <v>OK</v>
      </c>
      <c r="G16" s="88" t="s">
        <v>5717</v>
      </c>
    </row>
    <row r="17" spans="1:7" x14ac:dyDescent="0.2">
      <c r="A17" s="90" t="s">
        <v>5718</v>
      </c>
      <c r="B17" s="79">
        <v>9</v>
      </c>
      <c r="C17" s="79">
        <f>SUMIFS('Parts list'!$C$4:$C$185,'Parts list'!$M$4:$M$185,"No")</f>
        <v>9</v>
      </c>
      <c r="D17" s="79">
        <f t="shared" si="0"/>
        <v>0</v>
      </c>
      <c r="E17" s="86">
        <v>0</v>
      </c>
      <c r="F17" s="85" t="str">
        <f t="shared" si="1"/>
        <v>OK</v>
      </c>
      <c r="G17" s="88" t="s">
        <v>5719</v>
      </c>
    </row>
    <row r="18" spans="1:7" x14ac:dyDescent="0.2">
      <c r="A18" s="90" t="s">
        <v>5720</v>
      </c>
      <c r="B18" s="79">
        <v>3</v>
      </c>
      <c r="C18" s="79">
        <f>COUNTIF('Parts list'!$M$4:$M$185,"Pads")</f>
        <v>3</v>
      </c>
      <c r="D18" s="79">
        <f t="shared" si="0"/>
        <v>0</v>
      </c>
      <c r="E18" s="86">
        <v>0</v>
      </c>
      <c r="F18" s="85" t="str">
        <f t="shared" si="1"/>
        <v>OK</v>
      </c>
      <c r="G18" s="88" t="s">
        <v>5721</v>
      </c>
    </row>
    <row r="19" spans="1:7" x14ac:dyDescent="0.2">
      <c r="A19" s="90" t="s">
        <v>26</v>
      </c>
      <c r="B19" s="79">
        <v>115</v>
      </c>
      <c r="C19" s="79">
        <f>'Parts list'!$AB$187</f>
        <v>115</v>
      </c>
      <c r="D19" s="79">
        <f t="shared" si="0"/>
        <v>0</v>
      </c>
      <c r="E19" s="86">
        <v>0</v>
      </c>
      <c r="F19" s="85" t="str">
        <f t="shared" si="1"/>
        <v>OK</v>
      </c>
      <c r="G19" s="88" t="s">
        <v>5722</v>
      </c>
    </row>
    <row r="20" spans="1:7" x14ac:dyDescent="0.2">
      <c r="A20" s="90" t="s">
        <v>1735</v>
      </c>
      <c r="B20" s="79">
        <v>111</v>
      </c>
      <c r="C20" s="79">
        <f>Cost!B32</f>
        <v>111</v>
      </c>
      <c r="D20" s="79">
        <f t="shared" si="0"/>
        <v>0</v>
      </c>
      <c r="E20" s="86">
        <v>0</v>
      </c>
      <c r="F20" s="85" t="str">
        <f t="shared" si="1"/>
        <v>OK</v>
      </c>
      <c r="G20" s="88" t="s">
        <v>5723</v>
      </c>
    </row>
    <row r="21" spans="1:7" x14ac:dyDescent="0.2">
      <c r="A21" s="90" t="s">
        <v>1738</v>
      </c>
      <c r="B21" s="79">
        <v>34</v>
      </c>
      <c r="C21" s="79">
        <f>Cost!B33</f>
        <v>34</v>
      </c>
      <c r="D21" s="79">
        <f t="shared" si="0"/>
        <v>0</v>
      </c>
      <c r="E21" s="86">
        <v>0</v>
      </c>
      <c r="F21" s="85" t="str">
        <f t="shared" si="1"/>
        <v>OK</v>
      </c>
      <c r="G21" s="88" t="s">
        <v>5724</v>
      </c>
    </row>
    <row r="22" spans="1:7" x14ac:dyDescent="0.2">
      <c r="A22" s="90" t="s">
        <v>5725</v>
      </c>
      <c r="B22" s="79">
        <v>1339</v>
      </c>
      <c r="C22" s="79">
        <f>'Parts list'!$O$187</f>
        <v>1339</v>
      </c>
      <c r="D22" s="79">
        <f t="shared" si="0"/>
        <v>0</v>
      </c>
      <c r="E22" s="86">
        <v>0</v>
      </c>
      <c r="F22" s="85" t="str">
        <f t="shared" si="1"/>
        <v>OK</v>
      </c>
      <c r="G22" s="88" t="s">
        <v>5726</v>
      </c>
    </row>
    <row r="23" spans="1:7" x14ac:dyDescent="0.2">
      <c r="A23" s="90" t="s">
        <v>1730</v>
      </c>
      <c r="B23" s="79">
        <v>1311</v>
      </c>
      <c r="C23" s="79">
        <f>Cost!B30</f>
        <v>1311</v>
      </c>
      <c r="D23" s="79">
        <f t="shared" si="0"/>
        <v>0</v>
      </c>
      <c r="E23" s="86">
        <v>0</v>
      </c>
      <c r="F23" s="85" t="str">
        <f t="shared" si="1"/>
        <v>OK</v>
      </c>
      <c r="G23" s="88" t="s">
        <v>5727</v>
      </c>
    </row>
    <row r="24" spans="1:7" x14ac:dyDescent="0.2">
      <c r="A24" s="90" t="s">
        <v>5728</v>
      </c>
      <c r="B24" s="79">
        <v>18</v>
      </c>
      <c r="C24" s="79">
        <f>'Parts list'!$P$187</f>
        <v>18</v>
      </c>
      <c r="D24" s="79">
        <f t="shared" si="0"/>
        <v>0</v>
      </c>
      <c r="E24" s="86">
        <v>0</v>
      </c>
      <c r="F24" s="85" t="str">
        <f t="shared" si="1"/>
        <v>OK</v>
      </c>
      <c r="G24" s="88" t="s">
        <v>5729</v>
      </c>
    </row>
    <row r="25" spans="1:7" x14ac:dyDescent="0.2">
      <c r="A25" s="90" t="s">
        <v>5730</v>
      </c>
      <c r="B25" s="79">
        <v>10</v>
      </c>
      <c r="C25" s="79">
        <f>Cost!B35</f>
        <v>10</v>
      </c>
      <c r="D25" s="79">
        <f t="shared" si="0"/>
        <v>0</v>
      </c>
      <c r="E25" s="86">
        <v>0</v>
      </c>
      <c r="F25" s="85" t="str">
        <f t="shared" si="1"/>
        <v>OK</v>
      </c>
      <c r="G25" s="88" t="s">
        <v>5731</v>
      </c>
    </row>
    <row r="26" spans="1:7" x14ac:dyDescent="0.2">
      <c r="A26" s="90" t="s">
        <v>5732</v>
      </c>
      <c r="B26" s="79">
        <v>526</v>
      </c>
      <c r="C26" s="79">
        <f>SUM('Parts list'!$AA$4:$AA$185)</f>
        <v>526</v>
      </c>
      <c r="D26" s="79">
        <f t="shared" si="0"/>
        <v>0</v>
      </c>
      <c r="E26" s="86">
        <v>0</v>
      </c>
      <c r="F26" s="85" t="str">
        <f t="shared" si="1"/>
        <v>OK</v>
      </c>
      <c r="G26" s="88" t="s">
        <v>5733</v>
      </c>
    </row>
    <row r="27" spans="1:7" x14ac:dyDescent="0.2">
      <c r="A27" s="90" t="s">
        <v>28</v>
      </c>
      <c r="B27" s="79">
        <v>1445</v>
      </c>
      <c r="C27" s="79">
        <f>COUNTA(Netlist!$A$4:$A$1448)</f>
        <v>1445</v>
      </c>
      <c r="D27" s="79">
        <f t="shared" si="0"/>
        <v>0</v>
      </c>
      <c r="E27" s="86">
        <v>0</v>
      </c>
      <c r="F27" s="85" t="str">
        <f t="shared" si="1"/>
        <v>OK</v>
      </c>
      <c r="G27" s="88" t="s">
        <v>5734</v>
      </c>
    </row>
    <row r="28" spans="1:7" x14ac:dyDescent="0.2">
      <c r="A28" s="90" t="s">
        <v>5735</v>
      </c>
      <c r="B28" s="79">
        <v>1393</v>
      </c>
      <c r="C28" s="79">
        <f>C27-(COUNTIF(Netlist!$A$4:$A$1448,"TP*")-COUNTIF(Netlist!$A$4:$A$1448,"TP732"))</f>
        <v>1393</v>
      </c>
      <c r="D28" s="79">
        <f t="shared" si="0"/>
        <v>0</v>
      </c>
      <c r="E28" s="86">
        <v>0</v>
      </c>
      <c r="F28" s="85" t="str">
        <f t="shared" si="1"/>
        <v>OK</v>
      </c>
      <c r="G28" s="88" t="s">
        <v>5736</v>
      </c>
    </row>
    <row r="29" spans="1:7" x14ac:dyDescent="0.2">
      <c r="A29" s="90" t="s">
        <v>5737</v>
      </c>
      <c r="B29" s="79">
        <v>526</v>
      </c>
      <c r="C29" s="79">
        <f>SUM(Netlist!$F$4:$F$1448)</f>
        <v>527</v>
      </c>
      <c r="D29" s="79">
        <f t="shared" si="0"/>
        <v>1</v>
      </c>
      <c r="E29" s="86">
        <v>0</v>
      </c>
      <c r="F29" s="85" t="str">
        <f t="shared" si="1"/>
        <v>CHECK</v>
      </c>
      <c r="G29" s="88" t="s">
        <v>5738</v>
      </c>
    </row>
    <row r="30" spans="1:7" x14ac:dyDescent="0.2">
      <c r="A30" s="90" t="s">
        <v>5739</v>
      </c>
      <c r="B30" s="79">
        <f>C29</f>
        <v>527</v>
      </c>
      <c r="C30" s="79">
        <f>SUM(Netlist!$G$4:$G$1448)</f>
        <v>526</v>
      </c>
      <c r="D30" s="79">
        <f t="shared" si="0"/>
        <v>-1</v>
      </c>
      <c r="E30" s="86">
        <v>0</v>
      </c>
      <c r="F30" s="85" t="str">
        <f t="shared" si="1"/>
        <v>CHECK</v>
      </c>
      <c r="G30" s="88" t="s">
        <v>5740</v>
      </c>
    </row>
    <row r="31" spans="1:7" x14ac:dyDescent="0.2">
      <c r="A31" s="90" t="s">
        <v>5741</v>
      </c>
      <c r="B31" s="79">
        <f>C26</f>
        <v>526</v>
      </c>
      <c r="C31" s="79">
        <f>SUM(Netlist!$G$4:$G$1448)</f>
        <v>526</v>
      </c>
      <c r="D31" s="79">
        <f t="shared" si="0"/>
        <v>0</v>
      </c>
      <c r="E31" s="86">
        <v>0</v>
      </c>
      <c r="F31" s="85" t="str">
        <f t="shared" si="1"/>
        <v>OK</v>
      </c>
      <c r="G31" s="88" t="s">
        <v>5742</v>
      </c>
    </row>
    <row r="32" spans="1:7" x14ac:dyDescent="0.2">
      <c r="A32" s="90" t="s">
        <v>107</v>
      </c>
      <c r="B32" s="79">
        <v>247</v>
      </c>
      <c r="C32" s="79">
        <f>COUNTA(Nets!$A$4:$A$250)</f>
        <v>247</v>
      </c>
      <c r="D32" s="79">
        <f t="shared" si="0"/>
        <v>0</v>
      </c>
      <c r="E32" s="86">
        <v>0</v>
      </c>
      <c r="F32" s="85" t="str">
        <f t="shared" si="1"/>
        <v>OK</v>
      </c>
      <c r="G32" s="88" t="s">
        <v>5743</v>
      </c>
    </row>
    <row r="33" spans="1:7" x14ac:dyDescent="0.2">
      <c r="A33" s="90" t="s">
        <v>5744</v>
      </c>
      <c r="B33" s="79">
        <f>C27</f>
        <v>1445</v>
      </c>
      <c r="C33" s="79">
        <f>Nets!$B$252</f>
        <v>1445</v>
      </c>
      <c r="D33" s="79">
        <f t="shared" si="0"/>
        <v>0</v>
      </c>
      <c r="E33" s="86">
        <v>0</v>
      </c>
      <c r="F33" s="85" t="str">
        <f t="shared" si="1"/>
        <v>OK</v>
      </c>
      <c r="G33" s="88" t="s">
        <v>5745</v>
      </c>
    </row>
    <row r="34" spans="1:7" x14ac:dyDescent="0.2">
      <c r="A34" s="90" t="s">
        <v>5746</v>
      </c>
      <c r="B34" s="79">
        <v>0</v>
      </c>
      <c r="C34" s="79" cm="1">
        <f t="array" ref="C34">SUMPRODUCT(--(Nets!$B$4:$B$250&lt;&gt;Nets!$C$4:$C$250))</f>
        <v>0</v>
      </c>
      <c r="D34" s="79">
        <f t="shared" si="0"/>
        <v>0</v>
      </c>
      <c r="E34" s="86">
        <v>0</v>
      </c>
      <c r="F34" s="85" t="str">
        <f t="shared" si="1"/>
        <v>OK</v>
      </c>
      <c r="G34" s="88" t="s">
        <v>5747</v>
      </c>
    </row>
    <row r="35" spans="1:7" x14ac:dyDescent="0.2">
      <c r="A35" s="90" t="s">
        <v>5748</v>
      </c>
      <c r="B35" s="79">
        <v>0</v>
      </c>
      <c r="C35" s="79" cm="1">
        <f t="array" ref="C35">SUMPRODUCT(--ISERROR(Netlist!$F$4:$G$1448))</f>
        <v>0</v>
      </c>
      <c r="D35" s="79">
        <f t="shared" si="0"/>
        <v>0</v>
      </c>
      <c r="E35" s="86">
        <v>0</v>
      </c>
      <c r="F35" s="85" t="str">
        <f t="shared" si="1"/>
        <v>OK</v>
      </c>
      <c r="G35" s="88" t="s">
        <v>5749</v>
      </c>
    </row>
    <row r="36" spans="1:7" ht="27.75" customHeight="1" x14ac:dyDescent="0.2">
      <c r="A36" s="90" t="s">
        <v>5750</v>
      </c>
      <c r="B36" s="79">
        <v>18</v>
      </c>
      <c r="C36" s="79">
        <f>COUNTIF($F$84:$F$101,"OK")</f>
        <v>18</v>
      </c>
      <c r="D36" s="79">
        <f t="shared" si="0"/>
        <v>0</v>
      </c>
      <c r="E36" s="86">
        <v>0</v>
      </c>
      <c r="F36" s="85" t="str">
        <f t="shared" si="1"/>
        <v>OK</v>
      </c>
      <c r="G36" s="88" t="s">
        <v>5751</v>
      </c>
    </row>
    <row r="37" spans="1:7" x14ac:dyDescent="0.2">
      <c r="A37" s="90" t="s">
        <v>5752</v>
      </c>
      <c r="B37" s="79">
        <v>0</v>
      </c>
      <c r="C37" s="79">
        <f>COUNTIFS('Parts list'!$M$4:$M$185,"Yes",'Parts list'!$H$4:$H$185,"")+COUNTIFS('Parts list'!$M$4:$M$185,"Owner",'Parts list'!$H$4:$H$185,"")</f>
        <v>0</v>
      </c>
      <c r="D37" s="79">
        <f t="shared" si="0"/>
        <v>0</v>
      </c>
      <c r="E37" s="86">
        <v>0</v>
      </c>
      <c r="F37" s="85" t="str">
        <f t="shared" si="1"/>
        <v>OK</v>
      </c>
      <c r="G37" s="88" t="s">
        <v>5753</v>
      </c>
    </row>
    <row r="38" spans="1:7" x14ac:dyDescent="0.2">
      <c r="A38" s="90" t="s">
        <v>5754</v>
      </c>
      <c r="B38" s="79">
        <v>0</v>
      </c>
      <c r="C38" s="79">
        <f>COUNTIFS('Parts list'!$M$4:$M$185,"Yes",'Parts list'!$I$4:$I$185,"—",'Parts list'!$L$4:$L$185,"—")+COUNTIFS('Parts list'!$M$4:$M$185,"Yes",'Parts list'!$I$4:$I$185,"—",'Parts list'!$L$4:$L$185,"")+COUNTIFS('Parts list'!$M$4:$M$185,"Owner",'Parts list'!$L$4:$L$185,"—")</f>
        <v>0</v>
      </c>
      <c r="D38" s="79">
        <f t="shared" si="0"/>
        <v>0</v>
      </c>
      <c r="E38" s="86">
        <v>0</v>
      </c>
      <c r="F38" s="85" t="str">
        <f t="shared" si="1"/>
        <v>OK</v>
      </c>
      <c r="G38" s="88" t="s">
        <v>5755</v>
      </c>
    </row>
    <row r="39" spans="1:7" x14ac:dyDescent="0.2">
      <c r="A39" s="90" t="s">
        <v>5756</v>
      </c>
      <c r="B39" s="79">
        <v>0</v>
      </c>
      <c r="C39" s="79">
        <f>COUNTIFS('Parts list'!$M$4:$M$185,"Yes",'Parts list'!$K$4:$K$185,"")+COUNTIFS('Parts list'!$M$4:$M$185,"Owner",'Parts list'!$K$4:$K$185,"")</f>
        <v>0</v>
      </c>
      <c r="D39" s="79">
        <f t="shared" si="0"/>
        <v>0</v>
      </c>
      <c r="E39" s="86">
        <v>0</v>
      </c>
      <c r="F39" s="85" t="str">
        <f t="shared" si="1"/>
        <v>OK</v>
      </c>
      <c r="G39" s="88" t="s">
        <v>5757</v>
      </c>
    </row>
    <row r="40" spans="1:7" ht="27.75" customHeight="1" x14ac:dyDescent="0.2">
      <c r="A40" s="90" t="s">
        <v>5758</v>
      </c>
      <c r="B40" s="79">
        <v>0</v>
      </c>
      <c r="C40" s="79">
        <f>COUNTIFS('Parts list'!$M$4:$M$185,"Owner",'Parts list'!$K$4:$K$185,"&lt;&gt;Owner*")</f>
        <v>0</v>
      </c>
      <c r="D40" s="79">
        <f t="shared" si="0"/>
        <v>0</v>
      </c>
      <c r="E40" s="86">
        <v>0</v>
      </c>
      <c r="F40" s="85" t="str">
        <f t="shared" si="1"/>
        <v>OK</v>
      </c>
      <c r="G40" s="88" t="s">
        <v>5759</v>
      </c>
    </row>
    <row r="41" spans="1:7" ht="27.75" customHeight="1" x14ac:dyDescent="0.2">
      <c r="A41" s="90" t="s">
        <v>5760</v>
      </c>
      <c r="B41" s="79">
        <v>118</v>
      </c>
      <c r="C41" s="79">
        <f>'Parts list'!$AC$187</f>
        <v>118</v>
      </c>
      <c r="D41" s="79">
        <f t="shared" si="0"/>
        <v>0</v>
      </c>
      <c r="E41" s="86">
        <v>0</v>
      </c>
      <c r="F41" s="85" t="str">
        <f t="shared" si="1"/>
        <v>OK</v>
      </c>
      <c r="G41" s="88" t="s">
        <v>5761</v>
      </c>
    </row>
    <row r="42" spans="1:7" ht="27.75" customHeight="1" x14ac:dyDescent="0.2">
      <c r="A42" s="90" t="s">
        <v>5762</v>
      </c>
      <c r="B42" s="79">
        <v>0</v>
      </c>
      <c r="C42" s="79">
        <f>'Parts list'!$AG$187</f>
        <v>0</v>
      </c>
      <c r="D42" s="79">
        <f t="shared" si="0"/>
        <v>0</v>
      </c>
      <c r="E42" s="86">
        <v>0</v>
      </c>
      <c r="F42" s="85" t="str">
        <f t="shared" si="1"/>
        <v>OK</v>
      </c>
      <c r="G42" s="88" t="s">
        <v>5763</v>
      </c>
    </row>
    <row r="43" spans="1:7" ht="27.75" customHeight="1" x14ac:dyDescent="0.2">
      <c r="A43" s="90" t="s">
        <v>5764</v>
      </c>
      <c r="B43" s="79">
        <v>0</v>
      </c>
      <c r="C43" s="79">
        <f>$C$8</f>
        <v>0</v>
      </c>
      <c r="D43" s="79">
        <f t="shared" ref="D43:D74" si="2">C43-B43</f>
        <v>0</v>
      </c>
      <c r="E43" s="86">
        <v>0</v>
      </c>
      <c r="F43" s="85" t="str">
        <f t="shared" ref="F43:F74" si="3">IF(ABS(D43)&lt;=E43,"OK","CHECK")</f>
        <v>OK</v>
      </c>
      <c r="G43" s="88" t="str">
        <f>"lines decoded: "&amp;TEXT($C$7,"0")&amp;" (inputs C7/C8); the 7 approved alternates named in the BOM text are decoded for information only"</f>
        <v>lines decoded: 80 (inputs C7/C8); the 7 approved alternates named in the BOM text are decoded for information only</v>
      </c>
    </row>
    <row r="44" spans="1:7" x14ac:dyDescent="0.2">
      <c r="A44" s="90" t="s">
        <v>5765</v>
      </c>
      <c r="B44" s="79">
        <f>'Parts list'!$AF$162</f>
        <v>69800</v>
      </c>
      <c r="C44" s="79">
        <f>(SUBSTITUTE(MID($C$5,FIND("0402",$C$5)+4,4),"K",".")&amp;"0")*1000</f>
        <v>69800</v>
      </c>
      <c r="D44" s="79">
        <f t="shared" si="2"/>
        <v>0</v>
      </c>
      <c r="E44" s="135">
        <f>$C$6*B44</f>
        <v>349</v>
      </c>
      <c r="F44" s="85" t="str">
        <f t="shared" si="3"/>
        <v>OK</v>
      </c>
      <c r="G44" s="88" t="s">
        <v>5766</v>
      </c>
    </row>
    <row r="45" spans="1:7" x14ac:dyDescent="0.2">
      <c r="A45" s="90" t="s">
        <v>5767</v>
      </c>
      <c r="B45" s="79">
        <v>0</v>
      </c>
      <c r="C45" s="79" cm="1">
        <f t="array" ref="C45">SUMPRODUCT(--(COUNTIFS('Parts list'!$H$4:$H$185,'Purchasing list'!$C$4:$C$114,'Parts list'!$E$4:$E$185,'Purchasing list'!$D$4:$D$114)=0))</f>
        <v>0</v>
      </c>
      <c r="D45" s="79">
        <f t="shared" si="2"/>
        <v>0</v>
      </c>
      <c r="E45" s="86">
        <v>0</v>
      </c>
      <c r="F45" s="85" t="str">
        <f t="shared" si="3"/>
        <v>OK</v>
      </c>
      <c r="G45" s="88" t="s">
        <v>5768</v>
      </c>
    </row>
    <row r="46" spans="1:7" x14ac:dyDescent="0.2">
      <c r="A46" s="90" t="s">
        <v>5769</v>
      </c>
      <c r="B46" s="79" cm="1">
        <f t="array" ref="B46">SUMPRODUCT(('Parts list'!$M$4:$M$185="Yes")/(COUNTIFS('Parts list'!$H$4:$H$185,'Parts list'!$H$4:$H$185,'Parts list'!$M$4:$M$185,"Yes")+('Parts list'!$M$4:$M$185&lt;&gt;"Yes")))</f>
        <v>111</v>
      </c>
      <c r="C46" s="79">
        <f>COUNTA('Purchasing list'!$C$4:$C$114)</f>
        <v>111</v>
      </c>
      <c r="D46" s="79">
        <f t="shared" si="2"/>
        <v>0</v>
      </c>
      <c r="E46" s="86">
        <v>1E-4</v>
      </c>
      <c r="F46" s="85" t="str">
        <f t="shared" si="3"/>
        <v>OK</v>
      </c>
      <c r="G46" s="88" t="s">
        <v>5770</v>
      </c>
    </row>
    <row r="47" spans="1:7" x14ac:dyDescent="0.2">
      <c r="A47" s="90" t="s">
        <v>5771</v>
      </c>
      <c r="B47" s="79">
        <f>C15</f>
        <v>455</v>
      </c>
      <c r="C47" s="79">
        <f>'Purchasing list'!$J$116</f>
        <v>455</v>
      </c>
      <c r="D47" s="79">
        <f t="shared" si="2"/>
        <v>0</v>
      </c>
      <c r="E47" s="86">
        <v>0</v>
      </c>
      <c r="F47" s="85" t="str">
        <f t="shared" si="3"/>
        <v>OK</v>
      </c>
      <c r="G47" s="88" t="s">
        <v>5772</v>
      </c>
    </row>
    <row r="48" spans="1:7" x14ac:dyDescent="0.2">
      <c r="A48" s="90" t="s">
        <v>5773</v>
      </c>
      <c r="B48" s="79">
        <f>'Parts list'!$V$188</f>
        <v>2630</v>
      </c>
      <c r="C48" s="79">
        <f>'Purchasing list'!$L$116</f>
        <v>2630</v>
      </c>
      <c r="D48" s="79">
        <f t="shared" si="2"/>
        <v>0</v>
      </c>
      <c r="E48" s="86">
        <v>0</v>
      </c>
      <c r="F48" s="85" t="str">
        <f t="shared" si="3"/>
        <v>OK</v>
      </c>
      <c r="G48" s="88" t="s">
        <v>5774</v>
      </c>
    </row>
    <row r="49" spans="1:7" ht="27.75" customHeight="1" x14ac:dyDescent="0.2">
      <c r="A49" s="90" t="s">
        <v>5775</v>
      </c>
      <c r="B49" s="78">
        <f>'Parts list'!$W$188</f>
        <v>397.33459999999985</v>
      </c>
      <c r="C49" s="78">
        <f>'Purchasing list'!$S$116</f>
        <v>397.33459999999991</v>
      </c>
      <c r="D49" s="78">
        <f t="shared" si="2"/>
        <v>0</v>
      </c>
      <c r="E49" s="86">
        <v>5.0000000000000001E-3</v>
      </c>
      <c r="F49" s="85" t="str">
        <f t="shared" si="3"/>
        <v>OK</v>
      </c>
      <c r="G49" s="88" t="s">
        <v>5776</v>
      </c>
    </row>
    <row r="50" spans="1:7" ht="27.75" customHeight="1" x14ac:dyDescent="0.2">
      <c r="A50" s="90" t="s">
        <v>5777</v>
      </c>
      <c r="B50" s="79">
        <v>4</v>
      </c>
      <c r="C50" s="79">
        <f>COUNTIF('Purchasing list'!$Q$4:$Q$114,"OK")</f>
        <v>4</v>
      </c>
      <c r="D50" s="79">
        <f t="shared" si="2"/>
        <v>0</v>
      </c>
      <c r="E50" s="86">
        <v>0</v>
      </c>
      <c r="F50" s="85" t="str">
        <f t="shared" si="3"/>
        <v>OK</v>
      </c>
      <c r="G50" s="88" t="s">
        <v>5778</v>
      </c>
    </row>
    <row r="51" spans="1:7" x14ac:dyDescent="0.2">
      <c r="A51" s="90" t="s">
        <v>5779</v>
      </c>
      <c r="B51" s="79">
        <v>0</v>
      </c>
      <c r="C51" s="79">
        <f>COUNTIF('Purchasing list'!$Q$4:$Q$114,"CHECK")</f>
        <v>0</v>
      </c>
      <c r="D51" s="79">
        <f t="shared" si="2"/>
        <v>0</v>
      </c>
      <c r="E51" s="86">
        <v>0</v>
      </c>
      <c r="F51" s="85" t="str">
        <f t="shared" si="3"/>
        <v>OK</v>
      </c>
      <c r="G51" s="88" t="s">
        <v>5780</v>
      </c>
    </row>
    <row r="52" spans="1:7" x14ac:dyDescent="0.2">
      <c r="A52" s="90" t="s">
        <v>5781</v>
      </c>
      <c r="B52" s="79">
        <f>'Parts list'!$R$189</f>
        <v>35</v>
      </c>
      <c r="C52" s="79">
        <f>SUMIFS('Purchasing list'!$L$120:$L$151,'Purchasing list'!$B$120:$B$151,"Owner-fitted")</f>
        <v>35</v>
      </c>
      <c r="D52" s="79">
        <f t="shared" si="2"/>
        <v>0</v>
      </c>
      <c r="E52" s="86">
        <v>0</v>
      </c>
      <c r="F52" s="85" t="str">
        <f t="shared" si="3"/>
        <v>OK</v>
      </c>
      <c r="G52" s="88" t="s">
        <v>5782</v>
      </c>
    </row>
    <row r="53" spans="1:7" ht="27.75" customHeight="1" x14ac:dyDescent="0.2">
      <c r="A53" s="90" t="s">
        <v>5783</v>
      </c>
      <c r="B53" s="79">
        <v>15</v>
      </c>
      <c r="C53" s="79">
        <f>COUNTIF('Purchasing list'!$Q$137:$Q$151,"OK")</f>
        <v>15</v>
      </c>
      <c r="D53" s="79">
        <f t="shared" si="2"/>
        <v>0</v>
      </c>
      <c r="E53" s="86">
        <v>0</v>
      </c>
      <c r="F53" s="85" t="str">
        <f t="shared" si="3"/>
        <v>OK</v>
      </c>
      <c r="G53" s="88" t="s">
        <v>5784</v>
      </c>
    </row>
    <row r="54" spans="1:7" ht="27.75" customHeight="1" x14ac:dyDescent="0.2">
      <c r="A54" s="90" t="s">
        <v>34</v>
      </c>
      <c r="B54" s="79">
        <v>0</v>
      </c>
      <c r="C54" s="79">
        <f>COUNTIF('Purchasing list'!$Q$137:$Q$151,"CHECK")</f>
        <v>0</v>
      </c>
      <c r="D54" s="79">
        <f t="shared" si="2"/>
        <v>0</v>
      </c>
      <c r="E54" s="86">
        <v>0</v>
      </c>
      <c r="F54" s="85" t="str">
        <f t="shared" si="3"/>
        <v>OK</v>
      </c>
      <c r="G54" s="88" t="s">
        <v>5785</v>
      </c>
    </row>
    <row r="55" spans="1:7" x14ac:dyDescent="0.2">
      <c r="A55" s="90" t="s">
        <v>5786</v>
      </c>
      <c r="B55" s="78">
        <v>94.04</v>
      </c>
      <c r="C55" s="78">
        <f>ROUND(Cost!E43,2)</f>
        <v>94.04</v>
      </c>
      <c r="D55" s="78">
        <f t="shared" si="2"/>
        <v>0</v>
      </c>
      <c r="E55" s="86">
        <v>1E-3</v>
      </c>
      <c r="F55" s="85" t="str">
        <f t="shared" si="3"/>
        <v>OK</v>
      </c>
      <c r="G55" s="88" t="s">
        <v>5787</v>
      </c>
    </row>
    <row r="56" spans="1:7" x14ac:dyDescent="0.2">
      <c r="A56" s="90" t="s">
        <v>5788</v>
      </c>
      <c r="B56" s="78">
        <v>787.83</v>
      </c>
      <c r="C56" s="78">
        <f>ROUND(Cost!E95,2)</f>
        <v>787.83</v>
      </c>
      <c r="D56" s="78">
        <f t="shared" si="2"/>
        <v>0</v>
      </c>
      <c r="E56" s="86">
        <v>1E-3</v>
      </c>
      <c r="F56" s="85" t="str">
        <f t="shared" si="3"/>
        <v>OK</v>
      </c>
      <c r="G56" s="88" t="s">
        <v>5789</v>
      </c>
    </row>
    <row r="57" spans="1:7" ht="27.75" customHeight="1" x14ac:dyDescent="0.2">
      <c r="A57" s="90" t="s">
        <v>5790</v>
      </c>
      <c r="B57" s="78">
        <v>161.6</v>
      </c>
      <c r="C57" s="78">
        <f>ROUND(Cost!E96,2)</f>
        <v>161.6</v>
      </c>
      <c r="D57" s="78">
        <f t="shared" si="2"/>
        <v>0</v>
      </c>
      <c r="E57" s="86">
        <v>1E-3</v>
      </c>
      <c r="F57" s="85" t="str">
        <f t="shared" si="3"/>
        <v>OK</v>
      </c>
      <c r="G57" s="88" t="s">
        <v>5791</v>
      </c>
    </row>
    <row r="58" spans="1:7" ht="27.75" customHeight="1" x14ac:dyDescent="0.2">
      <c r="A58" s="90" t="s">
        <v>5792</v>
      </c>
      <c r="B58" s="78">
        <v>949.43</v>
      </c>
      <c r="C58" s="78">
        <f>ROUND(Cost!E97,2)</f>
        <v>949.43</v>
      </c>
      <c r="D58" s="78">
        <f t="shared" si="2"/>
        <v>0</v>
      </c>
      <c r="E58" s="86">
        <v>1E-3</v>
      </c>
      <c r="F58" s="85" t="str">
        <f t="shared" si="3"/>
        <v>OK</v>
      </c>
      <c r="G58" s="88" t="s">
        <v>5793</v>
      </c>
    </row>
    <row r="59" spans="1:7" x14ac:dyDescent="0.2">
      <c r="A59" s="90" t="s">
        <v>5794</v>
      </c>
      <c r="B59" s="79">
        <v>30125</v>
      </c>
      <c r="C59" s="79">
        <f>ROUND(Cost!F97,0)</f>
        <v>30125</v>
      </c>
      <c r="D59" s="79">
        <f t="shared" si="2"/>
        <v>0</v>
      </c>
      <c r="E59" s="86">
        <v>0</v>
      </c>
      <c r="F59" s="85" t="str">
        <f t="shared" si="3"/>
        <v>OK</v>
      </c>
      <c r="G59" s="88" t="s">
        <v>5795</v>
      </c>
    </row>
    <row r="60" spans="1:7" x14ac:dyDescent="0.2">
      <c r="A60" s="90" t="s">
        <v>5796</v>
      </c>
      <c r="B60" s="78">
        <v>189.89</v>
      </c>
      <c r="C60" s="78">
        <f>ROUND(Cost!E98,2)</f>
        <v>189.89</v>
      </c>
      <c r="D60" s="78">
        <f t="shared" si="2"/>
        <v>0</v>
      </c>
      <c r="E60" s="86">
        <v>1E-3</v>
      </c>
      <c r="F60" s="85" t="str">
        <f t="shared" si="3"/>
        <v>OK</v>
      </c>
      <c r="G60" s="88" t="s">
        <v>5797</v>
      </c>
    </row>
    <row r="61" spans="1:7" x14ac:dyDescent="0.2">
      <c r="A61" s="90" t="s">
        <v>5798</v>
      </c>
      <c r="B61" s="78">
        <v>123.44</v>
      </c>
      <c r="C61" s="78">
        <f>ROUND(Cost!E102,2)</f>
        <v>123.44</v>
      </c>
      <c r="D61" s="78">
        <f t="shared" si="2"/>
        <v>0</v>
      </c>
      <c r="E61" s="86">
        <v>1E-3</v>
      </c>
      <c r="F61" s="85" t="str">
        <f t="shared" si="3"/>
        <v>OK</v>
      </c>
      <c r="G61" s="88" t="s">
        <v>5799</v>
      </c>
    </row>
    <row r="62" spans="1:7" x14ac:dyDescent="0.2">
      <c r="A62" s="90" t="s">
        <v>5800</v>
      </c>
      <c r="B62" s="78">
        <v>93.29</v>
      </c>
      <c r="C62" s="78">
        <f>ROUND(Cost!E104,2)</f>
        <v>93.29</v>
      </c>
      <c r="D62" s="78">
        <f t="shared" si="2"/>
        <v>0</v>
      </c>
      <c r="E62" s="86">
        <v>1E-3</v>
      </c>
      <c r="F62" s="85" t="str">
        <f t="shared" si="3"/>
        <v>OK</v>
      </c>
      <c r="G62" s="88" t="s">
        <v>5801</v>
      </c>
    </row>
    <row r="63" spans="1:7" x14ac:dyDescent="0.2">
      <c r="A63" s="90" t="s">
        <v>5802</v>
      </c>
      <c r="B63" s="78">
        <v>97.32</v>
      </c>
      <c r="C63" s="78">
        <f>ROUND(Cost!E105,2)</f>
        <v>97.32</v>
      </c>
      <c r="D63" s="78">
        <f t="shared" si="2"/>
        <v>0</v>
      </c>
      <c r="E63" s="86">
        <v>1E-3</v>
      </c>
      <c r="F63" s="85" t="str">
        <f t="shared" si="3"/>
        <v>OK</v>
      </c>
      <c r="G63" s="88" t="s">
        <v>5803</v>
      </c>
    </row>
    <row r="64" spans="1:7" x14ac:dyDescent="0.2">
      <c r="A64" s="90" t="s">
        <v>5804</v>
      </c>
      <c r="B64" s="79">
        <v>51</v>
      </c>
      <c r="C64" s="79">
        <f>COUNTIF(Cost!$F$125:$F$175,"OK")</f>
        <v>51</v>
      </c>
      <c r="D64" s="79">
        <f t="shared" si="2"/>
        <v>0</v>
      </c>
      <c r="E64" s="86">
        <v>0</v>
      </c>
      <c r="F64" s="85" t="str">
        <f t="shared" si="3"/>
        <v>OK</v>
      </c>
      <c r="G64" s="88" t="s">
        <v>5805</v>
      </c>
    </row>
    <row r="65" spans="1:7" x14ac:dyDescent="0.2">
      <c r="A65" s="90" t="s">
        <v>5806</v>
      </c>
      <c r="B65" s="79">
        <f>Cost!F97</f>
        <v>30125.303479599996</v>
      </c>
      <c r="C65" s="79">
        <f>Summary!C32</f>
        <v>30125.303479599996</v>
      </c>
      <c r="D65" s="79">
        <f t="shared" si="2"/>
        <v>0</v>
      </c>
      <c r="E65" s="86">
        <v>5.0000000000000001E-3</v>
      </c>
      <c r="F65" s="85" t="str">
        <f t="shared" si="3"/>
        <v>OK</v>
      </c>
      <c r="G65" s="88" t="s">
        <v>5807</v>
      </c>
    </row>
    <row r="66" spans="1:7" x14ac:dyDescent="0.2">
      <c r="A66" s="90" t="s">
        <v>5808</v>
      </c>
      <c r="B66" s="79">
        <v>181</v>
      </c>
      <c r="C66" s="79">
        <f>'Stress check'!B192</f>
        <v>181</v>
      </c>
      <c r="D66" s="79">
        <f t="shared" si="2"/>
        <v>0</v>
      </c>
      <c r="E66" s="86">
        <v>0</v>
      </c>
      <c r="F66" s="85" t="str">
        <f t="shared" si="3"/>
        <v>OK</v>
      </c>
      <c r="G66" s="88" t="s">
        <v>5809</v>
      </c>
    </row>
    <row r="67" spans="1:7" x14ac:dyDescent="0.2">
      <c r="A67" s="90" t="s">
        <v>5810</v>
      </c>
      <c r="B67" s="79">
        <v>0</v>
      </c>
      <c r="C67" s="79">
        <f>'Stress check'!B191</f>
        <v>0</v>
      </c>
      <c r="D67" s="79">
        <f t="shared" si="2"/>
        <v>0</v>
      </c>
      <c r="E67" s="86">
        <v>0</v>
      </c>
      <c r="F67" s="85" t="str">
        <f t="shared" si="3"/>
        <v>OK</v>
      </c>
      <c r="G67" s="88" t="s">
        <v>5811</v>
      </c>
    </row>
    <row r="68" spans="1:7" x14ac:dyDescent="0.2">
      <c r="A68" s="90" t="s">
        <v>5812</v>
      </c>
      <c r="B68" s="79">
        <v>6</v>
      </c>
      <c r="C68" s="79">
        <f>COUNTIF('Stress check'!$D$187:$D$192,"OK")</f>
        <v>6</v>
      </c>
      <c r="D68" s="79">
        <f t="shared" si="2"/>
        <v>0</v>
      </c>
      <c r="E68" s="86">
        <v>0</v>
      </c>
      <c r="F68" s="85" t="str">
        <f t="shared" si="3"/>
        <v>OK</v>
      </c>
      <c r="G68" s="88" t="s">
        <v>5813</v>
      </c>
    </row>
    <row r="69" spans="1:7" ht="27.75" customHeight="1" x14ac:dyDescent="0.2">
      <c r="A69" s="90" t="s">
        <v>5814</v>
      </c>
      <c r="B69" s="79">
        <v>91</v>
      </c>
      <c r="C69" s="79">
        <f>'Changes vs v0.8'!C30+'Changes vs v0.8'!C31+'Changes vs v0.8'!C32</f>
        <v>91</v>
      </c>
      <c r="D69" s="79">
        <f t="shared" si="2"/>
        <v>0</v>
      </c>
      <c r="E69" s="86">
        <v>0</v>
      </c>
      <c r="F69" s="85" t="str">
        <f t="shared" si="3"/>
        <v>OK</v>
      </c>
      <c r="G69" s="88" t="s">
        <v>5815</v>
      </c>
    </row>
    <row r="70" spans="1:7" ht="27.75" customHeight="1" x14ac:dyDescent="0.2">
      <c r="A70" s="90" t="s">
        <v>5816</v>
      </c>
      <c r="B70" s="79">
        <f>C14</f>
        <v>462</v>
      </c>
      <c r="C70" s="79">
        <f>'Changes vs v0.8'!C33</f>
        <v>462</v>
      </c>
      <c r="D70" s="79">
        <f t="shared" si="2"/>
        <v>0</v>
      </c>
      <c r="E70" s="86">
        <v>0</v>
      </c>
      <c r="F70" s="85" t="str">
        <f t="shared" si="3"/>
        <v>OK</v>
      </c>
      <c r="G70" s="88" t="s">
        <v>5817</v>
      </c>
    </row>
    <row r="71" spans="1:7" x14ac:dyDescent="0.2">
      <c r="A71" s="90" t="s">
        <v>31</v>
      </c>
      <c r="B71" s="79">
        <v>120</v>
      </c>
      <c r="C71" s="79">
        <f>'Evidence register'!C130</f>
        <v>120</v>
      </c>
      <c r="D71" s="79">
        <f t="shared" si="2"/>
        <v>0</v>
      </c>
      <c r="E71" s="86">
        <v>0</v>
      </c>
      <c r="F71" s="85" t="str">
        <f t="shared" si="3"/>
        <v>OK</v>
      </c>
      <c r="G71" s="88" t="s">
        <v>5524</v>
      </c>
    </row>
    <row r="72" spans="1:7" x14ac:dyDescent="0.2">
      <c r="A72" s="90" t="s">
        <v>5818</v>
      </c>
      <c r="B72" s="79">
        <v>5</v>
      </c>
      <c r="C72" s="79">
        <f>COUNTIF('Evidence register'!$E$126:$E$130,"OK")</f>
        <v>5</v>
      </c>
      <c r="D72" s="79">
        <f t="shared" si="2"/>
        <v>0</v>
      </c>
      <c r="E72" s="86">
        <v>0</v>
      </c>
      <c r="F72" s="85" t="str">
        <f t="shared" si="3"/>
        <v>OK</v>
      </c>
      <c r="G72" s="88" t="s">
        <v>5819</v>
      </c>
    </row>
    <row r="73" spans="1:7" x14ac:dyDescent="0.2">
      <c r="A73" s="90" t="s">
        <v>5820</v>
      </c>
      <c r="B73" s="79">
        <v>22</v>
      </c>
      <c r="C73" s="79">
        <f>COUNTIF('Evidence register'!$H$4:$H$123,"Open qualification obligation*")</f>
        <v>22</v>
      </c>
      <c r="D73" s="79">
        <f t="shared" si="2"/>
        <v>0</v>
      </c>
      <c r="E73" s="86">
        <v>0</v>
      </c>
      <c r="F73" s="85" t="str">
        <f t="shared" si="3"/>
        <v>OK</v>
      </c>
      <c r="G73" s="88" t="s">
        <v>5821</v>
      </c>
    </row>
    <row r="74" spans="1:7" x14ac:dyDescent="0.2">
      <c r="A74" s="90" t="s">
        <v>33</v>
      </c>
      <c r="B74" s="79">
        <v>18</v>
      </c>
      <c r="C74" s="79">
        <f>'Purchasing list'!$T$116</f>
        <v>18</v>
      </c>
      <c r="D74" s="79">
        <f t="shared" si="2"/>
        <v>0</v>
      </c>
      <c r="E74" s="86">
        <v>0</v>
      </c>
      <c r="F74" s="85" t="str">
        <f t="shared" si="3"/>
        <v>OK</v>
      </c>
      <c r="G74" s="88" t="s">
        <v>5822</v>
      </c>
    </row>
    <row r="75" spans="1:7" x14ac:dyDescent="0.2">
      <c r="A75" s="90" t="s">
        <v>5823</v>
      </c>
      <c r="B75" s="79">
        <v>8</v>
      </c>
      <c r="C75" s="79">
        <f>COUNTIF('Purchasing list'!$T$4:$T$114,"Pre-order")</f>
        <v>8</v>
      </c>
      <c r="D75" s="79">
        <f t="shared" ref="D75:D106" si="4">C75-B75</f>
        <v>0</v>
      </c>
      <c r="E75" s="86">
        <v>0</v>
      </c>
      <c r="F75" s="85" t="str">
        <f t="shared" ref="F75:F106" si="5">IF(ABS(D75)&lt;=E75,"OK","CHECK")</f>
        <v>OK</v>
      </c>
      <c r="G75" s="88" t="s">
        <v>5824</v>
      </c>
    </row>
    <row r="76" spans="1:7" x14ac:dyDescent="0.2">
      <c r="A76" s="58"/>
      <c r="B76" s="58"/>
      <c r="C76" s="58"/>
      <c r="D76" s="58"/>
      <c r="E76" s="58"/>
      <c r="F76" s="85"/>
      <c r="G76" s="88"/>
    </row>
    <row r="77" spans="1:7" ht="27" customHeight="1" x14ac:dyDescent="0.2">
      <c r="A77" s="25" t="s">
        <v>48</v>
      </c>
      <c r="B77" s="25"/>
      <c r="C77" s="25"/>
      <c r="D77" s="25"/>
      <c r="E77" s="25"/>
      <c r="F77" s="95" t="str">
        <f>IF(COUNTIF(F11:F75,"CHECK")&gt;0,TEXT(COUNTIF(F11:F75,"CHECK"),"0")&amp;" to check","ALL OK")</f>
        <v>2 to check</v>
      </c>
      <c r="G77" s="93" t="str">
        <f>TEXT(COUNTIF(F11:F75,"OK"),"0")&amp;" of "&amp;TEXT(ROWS(F11:F75),"0")&amp;" checks OK"</f>
        <v>63 of 65 checks OK</v>
      </c>
    </row>
    <row r="78" spans="1:7" ht="27" customHeight="1" x14ac:dyDescent="0.2">
      <c r="A78" s="139" t="s">
        <v>5825</v>
      </c>
      <c r="B78" s="139"/>
      <c r="C78" s="139"/>
      <c r="D78" s="139"/>
      <c r="E78" s="139"/>
      <c r="F78" s="140" t="s">
        <v>51</v>
      </c>
      <c r="G78" s="139" t="s">
        <v>5826</v>
      </c>
    </row>
    <row r="79" spans="1:7" ht="66" customHeight="1" x14ac:dyDescent="0.2">
      <c r="A79" s="139" t="s">
        <v>5827</v>
      </c>
      <c r="B79" s="139"/>
      <c r="C79" s="139"/>
      <c r="D79" s="139"/>
      <c r="E79" s="139"/>
      <c r="F79" s="140" t="s">
        <v>51</v>
      </c>
      <c r="G79" s="139" t="s">
        <v>5828</v>
      </c>
    </row>
    <row r="80" spans="1:7" x14ac:dyDescent="0.2">
      <c r="A80" s="164" t="s">
        <v>5829</v>
      </c>
      <c r="B80" s="165"/>
      <c r="C80" s="165"/>
      <c r="D80" s="165"/>
      <c r="E80" s="165"/>
      <c r="F80" s="165"/>
      <c r="G80" s="165"/>
    </row>
    <row r="81" spans="1:7" ht="15" customHeight="1" x14ac:dyDescent="0.2">
      <c r="A81" s="57"/>
      <c r="B81" s="57"/>
      <c r="C81" s="57"/>
      <c r="D81" s="57"/>
      <c r="E81" s="57"/>
      <c r="F81" s="57"/>
      <c r="G81" s="57"/>
    </row>
    <row r="82" spans="1:7" ht="18" customHeight="1" x14ac:dyDescent="0.2">
      <c r="A82" s="163" t="s">
        <v>5830</v>
      </c>
      <c r="B82" s="163"/>
      <c r="C82" s="163"/>
      <c r="D82" s="163"/>
      <c r="E82" s="163"/>
      <c r="F82" s="163"/>
      <c r="G82" s="163"/>
    </row>
    <row r="83" spans="1:7" ht="27" customHeight="1" x14ac:dyDescent="0.2">
      <c r="A83" s="115" t="s">
        <v>2161</v>
      </c>
      <c r="B83" s="115" t="s">
        <v>2162</v>
      </c>
      <c r="C83" s="115" t="s">
        <v>5831</v>
      </c>
      <c r="D83" s="115" t="s">
        <v>5832</v>
      </c>
      <c r="E83" s="115" t="s">
        <v>5833</v>
      </c>
      <c r="F83" s="115" t="s">
        <v>1870</v>
      </c>
      <c r="G83" s="115" t="s">
        <v>5834</v>
      </c>
    </row>
    <row r="84" spans="1:7" x14ac:dyDescent="0.2">
      <c r="A84" s="141" t="s">
        <v>1476</v>
      </c>
      <c r="B84" s="136">
        <v>1</v>
      </c>
      <c r="C84" s="134" t="s">
        <v>2168</v>
      </c>
      <c r="D84" s="134" t="s">
        <v>2168</v>
      </c>
      <c r="E84" s="58" t="str" cm="1">
        <f t="array" ref="E84">INDEX(Netlist!$B$4:$B$1448,$G84)&amp;" · "&amp;INDEX(Netlist!$C$4:$C$1448,$G84)&amp;" · "&amp;INDEX(Netlist!$D$4:$D$1448,$G84)</f>
        <v>1 · GND · GND</v>
      </c>
      <c r="F84" s="85" t="str">
        <f t="shared" ref="F84:F101" si="6">IF($E84=$B84&amp;" · "&amp;$C84&amp;" · "&amp;$D84,"OK","CHECK")</f>
        <v>OK</v>
      </c>
      <c r="G84" s="137">
        <f>MATCH($A84,Netlist!$A$4:$A$1448,0)+COUNTIF($A$83:$A83,$A84)</f>
        <v>378</v>
      </c>
    </row>
    <row r="85" spans="1:7" x14ac:dyDescent="0.2">
      <c r="A85" s="141" t="s">
        <v>1476</v>
      </c>
      <c r="B85" s="136">
        <v>2</v>
      </c>
      <c r="C85" s="134" t="s">
        <v>2569</v>
      </c>
      <c r="D85" s="134" t="s">
        <v>2511</v>
      </c>
      <c r="E85" s="58" t="str" cm="1">
        <f t="array" ref="E85">INDEX(Netlist!$B$4:$B$1448,$G85)&amp;" · "&amp;INDEX(Netlist!$C$4:$C$1448,$G85)&amp;" · "&amp;INDEX(Netlist!$D$4:$D$1448,$G85)</f>
        <v>2 · R− · JACK_RN</v>
      </c>
      <c r="F85" s="85" t="str">
        <f t="shared" si="6"/>
        <v>OK</v>
      </c>
      <c r="G85" s="137">
        <f>MATCH($A85,Netlist!$A$4:$A$1448,0)+COUNTIF($A$83:$A84,$A85)</f>
        <v>379</v>
      </c>
    </row>
    <row r="86" spans="1:7" x14ac:dyDescent="0.2">
      <c r="A86" s="141" t="s">
        <v>1476</v>
      </c>
      <c r="B86" s="136">
        <v>3</v>
      </c>
      <c r="C86" s="134" t="s">
        <v>2569</v>
      </c>
      <c r="D86" s="134" t="s">
        <v>2511</v>
      </c>
      <c r="E86" s="58" t="str" cm="1">
        <f t="array" ref="E86">INDEX(Netlist!$B$4:$B$1448,$G86)&amp;" · "&amp;INDEX(Netlist!$C$4:$C$1448,$G86)&amp;" · "&amp;INDEX(Netlist!$D$4:$D$1448,$G86)</f>
        <v>3 · R− · JACK_RN</v>
      </c>
      <c r="F86" s="85" t="str">
        <f t="shared" si="6"/>
        <v>OK</v>
      </c>
      <c r="G86" s="137">
        <f>MATCH($A86,Netlist!$A$4:$A$1448,0)+COUNTIF($A$83:$A85,$A86)</f>
        <v>380</v>
      </c>
    </row>
    <row r="87" spans="1:7" x14ac:dyDescent="0.2">
      <c r="A87" s="141" t="s">
        <v>1476</v>
      </c>
      <c r="B87" s="136">
        <v>4</v>
      </c>
      <c r="C87" s="134" t="s">
        <v>2571</v>
      </c>
      <c r="D87" s="134" t="s">
        <v>2507</v>
      </c>
      <c r="E87" s="58" t="str" cm="1">
        <f t="array" ref="E87">INDEX(Netlist!$B$4:$B$1448,$G87)&amp;" · "&amp;INDEX(Netlist!$C$4:$C$1448,$G87)&amp;" · "&amp;INDEX(Netlist!$D$4:$D$1448,$G87)</f>
        <v>4 · R+ · JACK_RP</v>
      </c>
      <c r="F87" s="85" t="str">
        <f t="shared" si="6"/>
        <v>OK</v>
      </c>
      <c r="G87" s="137">
        <f>MATCH($A87,Netlist!$A$4:$A$1448,0)+COUNTIF($A$83:$A86,$A87)</f>
        <v>381</v>
      </c>
    </row>
    <row r="88" spans="1:7" x14ac:dyDescent="0.2">
      <c r="A88" s="141" t="s">
        <v>1476</v>
      </c>
      <c r="B88" s="136">
        <v>5</v>
      </c>
      <c r="C88" s="134" t="s">
        <v>2571</v>
      </c>
      <c r="D88" s="134" t="s">
        <v>2507</v>
      </c>
      <c r="E88" s="58" t="str" cm="1">
        <f t="array" ref="E88">INDEX(Netlist!$B$4:$B$1448,$G88)&amp;" · "&amp;INDEX(Netlist!$C$4:$C$1448,$G88)&amp;" · "&amp;INDEX(Netlist!$D$4:$D$1448,$G88)</f>
        <v>5 · R+ · JACK_RP</v>
      </c>
      <c r="F88" s="85" t="str">
        <f t="shared" si="6"/>
        <v>OK</v>
      </c>
      <c r="G88" s="137">
        <f>MATCH($A88,Netlist!$A$4:$A$1448,0)+COUNTIF($A$83:$A87,$A88)</f>
        <v>382</v>
      </c>
    </row>
    <row r="89" spans="1:7" x14ac:dyDescent="0.2">
      <c r="A89" s="141" t="s">
        <v>1476</v>
      </c>
      <c r="B89" s="136">
        <v>6</v>
      </c>
      <c r="C89" s="134" t="s">
        <v>2573</v>
      </c>
      <c r="D89" s="134" t="s">
        <v>2509</v>
      </c>
      <c r="E89" s="58" t="str" cm="1">
        <f t="array" ref="E89">INDEX(Netlist!$B$4:$B$1448,$G89)&amp;" · "&amp;INDEX(Netlist!$C$4:$C$1448,$G89)&amp;" · "&amp;INDEX(Netlist!$D$4:$D$1448,$G89)</f>
        <v>6 · L− · JACK_LN</v>
      </c>
      <c r="F89" s="85" t="str">
        <f t="shared" si="6"/>
        <v>OK</v>
      </c>
      <c r="G89" s="137">
        <f>MATCH($A89,Netlist!$A$4:$A$1448,0)+COUNTIF($A$83:$A88,$A89)</f>
        <v>383</v>
      </c>
    </row>
    <row r="90" spans="1:7" x14ac:dyDescent="0.2">
      <c r="A90" s="141" t="s">
        <v>1476</v>
      </c>
      <c r="B90" s="136">
        <v>7</v>
      </c>
      <c r="C90" s="134" t="s">
        <v>2575</v>
      </c>
      <c r="D90" s="134" t="s">
        <v>2504</v>
      </c>
      <c r="E90" s="58" t="str" cm="1">
        <f t="array" ref="E90">INDEX(Netlist!$B$4:$B$1448,$G90)&amp;" · "&amp;INDEX(Netlist!$C$4:$C$1448,$G90)&amp;" · "&amp;INDEX(Netlist!$D$4:$D$1448,$G90)</f>
        <v>7 · L+ · JACK_LP</v>
      </c>
      <c r="F90" s="85" t="str">
        <f t="shared" si="6"/>
        <v>OK</v>
      </c>
      <c r="G90" s="137">
        <f>MATCH($A90,Netlist!$A$4:$A$1448,0)+COUNTIF($A$83:$A89,$A90)</f>
        <v>384</v>
      </c>
    </row>
    <row r="91" spans="1:7" x14ac:dyDescent="0.2">
      <c r="A91" s="141" t="s">
        <v>1476</v>
      </c>
      <c r="B91" s="136">
        <v>8</v>
      </c>
      <c r="C91" s="134" t="s">
        <v>2575</v>
      </c>
      <c r="D91" s="134" t="s">
        <v>2504</v>
      </c>
      <c r="E91" s="58" t="str" cm="1">
        <f t="array" ref="E91">INDEX(Netlist!$B$4:$B$1448,$G91)&amp;" · "&amp;INDEX(Netlist!$C$4:$C$1448,$G91)&amp;" · "&amp;INDEX(Netlist!$D$4:$D$1448,$G91)</f>
        <v>8 · L+ · JACK_LP</v>
      </c>
      <c r="F91" s="85" t="str">
        <f t="shared" si="6"/>
        <v>OK</v>
      </c>
      <c r="G91" s="137">
        <f>MATCH($A91,Netlist!$A$4:$A$1448,0)+COUNTIF($A$83:$A90,$A91)</f>
        <v>385</v>
      </c>
    </row>
    <row r="92" spans="1:7" x14ac:dyDescent="0.2">
      <c r="A92" s="141" t="s">
        <v>1476</v>
      </c>
      <c r="B92" s="136">
        <v>9</v>
      </c>
      <c r="C92" s="134" t="s">
        <v>2577</v>
      </c>
      <c r="D92" s="134" t="s">
        <v>2469</v>
      </c>
      <c r="E92" s="58" t="str" cm="1">
        <f t="array" ref="E92">INDEX(Netlist!$B$4:$B$1448,$G92)&amp;" · "&amp;INDEX(Netlist!$C$4:$C$1448,$G92)&amp;" · "&amp;INDEX(Netlist!$D$4:$D$1448,$G92)</f>
        <v>9 · SWITCH · NC</v>
      </c>
      <c r="F92" s="85" t="str">
        <f t="shared" si="6"/>
        <v>OK</v>
      </c>
      <c r="G92" s="137">
        <f>MATCH($A92,Netlist!$A$4:$A$1448,0)+COUNTIF($A$83:$A91,$A92)</f>
        <v>386</v>
      </c>
    </row>
    <row r="93" spans="1:7" x14ac:dyDescent="0.2">
      <c r="A93" s="141" t="s">
        <v>1476</v>
      </c>
      <c r="B93" s="136">
        <v>10</v>
      </c>
      <c r="C93" s="134" t="s">
        <v>2579</v>
      </c>
      <c r="D93" s="134" t="s">
        <v>2469</v>
      </c>
      <c r="E93" s="58" t="str" cm="1">
        <f t="array" ref="E93">INDEX(Netlist!$B$4:$B$1448,$G93)&amp;" · "&amp;INDEX(Netlist!$C$4:$C$1448,$G93)&amp;" · "&amp;INDEX(Netlist!$D$4:$D$1448,$G93)</f>
        <v>10 · DETECT · NC</v>
      </c>
      <c r="F93" s="85" t="str">
        <f t="shared" si="6"/>
        <v>OK</v>
      </c>
      <c r="G93" s="137">
        <f>MATCH($A93,Netlist!$A$4:$A$1448,0)+COUNTIF($A$83:$A92,$A93)</f>
        <v>387</v>
      </c>
    </row>
    <row r="94" spans="1:7" x14ac:dyDescent="0.2">
      <c r="A94" s="141" t="s">
        <v>1476</v>
      </c>
      <c r="B94" s="136">
        <v>11</v>
      </c>
      <c r="C94" s="134" t="s">
        <v>2580</v>
      </c>
      <c r="D94" s="134" t="s">
        <v>2469</v>
      </c>
      <c r="E94" s="58" t="str" cm="1">
        <f t="array" ref="E94">INDEX(Netlist!$B$4:$B$1448,$G94)&amp;" · "&amp;INDEX(Netlist!$C$4:$C$1448,$G94)&amp;" · "&amp;INDEX(Netlist!$D$4:$D$1448,$G94)</f>
        <v>11 · EP · NC</v>
      </c>
      <c r="F94" s="85" t="str">
        <f t="shared" si="6"/>
        <v>OK</v>
      </c>
      <c r="G94" s="137">
        <f>MATCH($A94,Netlist!$A$4:$A$1448,0)+COUNTIF($A$83:$A93,$A94)</f>
        <v>388</v>
      </c>
    </row>
    <row r="95" spans="1:7" x14ac:dyDescent="0.2">
      <c r="A95" s="141" t="s">
        <v>1476</v>
      </c>
      <c r="B95" s="136">
        <v>12</v>
      </c>
      <c r="C95" s="134" t="s">
        <v>2580</v>
      </c>
      <c r="D95" s="134" t="s">
        <v>2469</v>
      </c>
      <c r="E95" s="58" t="str" cm="1">
        <f t="array" ref="E95">INDEX(Netlist!$B$4:$B$1448,$G95)&amp;" · "&amp;INDEX(Netlist!$C$4:$C$1448,$G95)&amp;" · "&amp;INDEX(Netlist!$D$4:$D$1448,$G95)</f>
        <v>12 · EP · NC</v>
      </c>
      <c r="F95" s="85" t="str">
        <f t="shared" si="6"/>
        <v>OK</v>
      </c>
      <c r="G95" s="137">
        <f>MATCH($A95,Netlist!$A$4:$A$1448,0)+COUNTIF($A$83:$A94,$A95)</f>
        <v>389</v>
      </c>
    </row>
    <row r="96" spans="1:7" x14ac:dyDescent="0.2">
      <c r="A96" s="141" t="s">
        <v>1487</v>
      </c>
      <c r="B96" s="136">
        <v>1</v>
      </c>
      <c r="C96" s="134" t="s">
        <v>2582</v>
      </c>
      <c r="D96" s="134" t="s">
        <v>2168</v>
      </c>
      <c r="E96" s="58" t="str" cm="1">
        <f t="array" ref="E96">INDEX(Netlist!$B$4:$B$1448,$G96)&amp;" · "&amp;INDEX(Netlist!$C$4:$C$1448,$G96)&amp;" · "&amp;INDEX(Netlist!$D$4:$D$1448,$G96)</f>
        <v>1 · Sleeve · GND</v>
      </c>
      <c r="F96" s="85" t="str">
        <f t="shared" si="6"/>
        <v>OK</v>
      </c>
      <c r="G96" s="137">
        <f>MATCH($A96,Netlist!$A$4:$A$1448,0)+COUNTIF($A$83:$A95,$A96)</f>
        <v>390</v>
      </c>
    </row>
    <row r="97" spans="1:7" x14ac:dyDescent="0.2">
      <c r="A97" s="141" t="s">
        <v>1487</v>
      </c>
      <c r="B97" s="136">
        <v>2</v>
      </c>
      <c r="C97" s="134" t="s">
        <v>2584</v>
      </c>
      <c r="D97" s="134" t="s">
        <v>2168</v>
      </c>
      <c r="E97" s="58" t="str" cm="1">
        <f t="array" ref="E97">INDEX(Netlist!$B$4:$B$1448,$G97)&amp;" · "&amp;INDEX(Netlist!$C$4:$C$1448,$G97)&amp;" · "&amp;INDEX(Netlist!$D$4:$D$1448,$G97)</f>
        <v>2 · Ring 2 · GND</v>
      </c>
      <c r="F97" s="85" t="str">
        <f t="shared" si="6"/>
        <v>OK</v>
      </c>
      <c r="G97" s="137">
        <f>MATCH($A97,Netlist!$A$4:$A$1448,0)+COUNTIF($A$83:$A96,$A97)</f>
        <v>391</v>
      </c>
    </row>
    <row r="98" spans="1:7" x14ac:dyDescent="0.2">
      <c r="A98" s="141" t="s">
        <v>1487</v>
      </c>
      <c r="B98" s="136">
        <v>3</v>
      </c>
      <c r="C98" s="134" t="s">
        <v>2586</v>
      </c>
      <c r="D98" s="134" t="s">
        <v>2507</v>
      </c>
      <c r="E98" s="58" t="str" cm="1">
        <f t="array" ref="E98">INDEX(Netlist!$B$4:$B$1448,$G98)&amp;" · "&amp;INDEX(Netlist!$C$4:$C$1448,$G98)&amp;" · "&amp;INDEX(Netlist!$D$4:$D$1448,$G98)</f>
        <v>3 · Ring 1 (R+) · JACK_RP</v>
      </c>
      <c r="F98" s="85" t="str">
        <f t="shared" si="6"/>
        <v>OK</v>
      </c>
      <c r="G98" s="137">
        <f>MATCH($A98,Netlist!$A$4:$A$1448,0)+COUNTIF($A$83:$A97,$A98)</f>
        <v>392</v>
      </c>
    </row>
    <row r="99" spans="1:7" x14ac:dyDescent="0.2">
      <c r="A99" s="141" t="s">
        <v>1487</v>
      </c>
      <c r="B99" s="136">
        <v>4</v>
      </c>
      <c r="C99" s="134" t="s">
        <v>2588</v>
      </c>
      <c r="D99" s="134" t="s">
        <v>2504</v>
      </c>
      <c r="E99" s="58" t="str" cm="1">
        <f t="array" ref="E99">INDEX(Netlist!$B$4:$B$1448,$G99)&amp;" · "&amp;INDEX(Netlist!$C$4:$C$1448,$G99)&amp;" · "&amp;INDEX(Netlist!$D$4:$D$1448,$G99)</f>
        <v>4 · Tip (L+) · JACK_LP</v>
      </c>
      <c r="F99" s="85" t="str">
        <f t="shared" si="6"/>
        <v>OK</v>
      </c>
      <c r="G99" s="137">
        <f>MATCH($A99,Netlist!$A$4:$A$1448,0)+COUNTIF($A$83:$A98,$A99)</f>
        <v>393</v>
      </c>
    </row>
    <row r="100" spans="1:7" x14ac:dyDescent="0.2">
      <c r="A100" s="141" t="s">
        <v>1487</v>
      </c>
      <c r="B100" s="136">
        <v>5</v>
      </c>
      <c r="C100" s="134" t="s">
        <v>2589</v>
      </c>
      <c r="D100" s="134" t="s">
        <v>2469</v>
      </c>
      <c r="E100" s="58" t="str" cm="1">
        <f t="array" ref="E100">INDEX(Netlist!$B$4:$B$1448,$G100)&amp;" · "&amp;INDEX(Netlist!$C$4:$C$1448,$G100)&amp;" · "&amp;INDEX(Netlist!$D$4:$D$1448,$G100)</f>
        <v>5 · Ring-1 break contact · NC</v>
      </c>
      <c r="F100" s="85" t="str">
        <f t="shared" si="6"/>
        <v>OK</v>
      </c>
      <c r="G100" s="137">
        <f>MATCH($A100,Netlist!$A$4:$A$1448,0)+COUNTIF($A$83:$A99,$A100)</f>
        <v>394</v>
      </c>
    </row>
    <row r="101" spans="1:7" x14ac:dyDescent="0.2">
      <c r="A101" s="141" t="s">
        <v>1487</v>
      </c>
      <c r="B101" s="136">
        <v>6</v>
      </c>
      <c r="C101" s="134" t="s">
        <v>2591</v>
      </c>
      <c r="D101" s="134" t="s">
        <v>2469</v>
      </c>
      <c r="E101" s="58" t="str" cm="1">
        <f t="array" ref="E101">INDEX(Netlist!$B$4:$B$1448,$G101)&amp;" · "&amp;INDEX(Netlist!$C$4:$C$1448,$G101)&amp;" · "&amp;INDEX(Netlist!$D$4:$D$1448,$G101)</f>
        <v>6 · Tip break contact · NC</v>
      </c>
      <c r="F101" s="85" t="str">
        <f t="shared" si="6"/>
        <v>OK</v>
      </c>
      <c r="G101" s="137">
        <f>MATCH($A101,Netlist!$A$4:$A$1448,0)+COUNTIF($A$83:$A100,$A101)</f>
        <v>395</v>
      </c>
    </row>
  </sheetData>
  <mergeCells count="4">
    <mergeCell ref="A82:G82"/>
    <mergeCell ref="A1:G1"/>
    <mergeCell ref="A2:G2"/>
    <mergeCell ref="A80:G80"/>
  </mergeCells>
  <conditionalFormatting sqref="F84:F101">
    <cfRule type="containsText" dxfId="1" priority="1" operator="containsText" text="OK">
      <formula>NOT(ISERROR(SEARCH("OK",F84)))</formula>
    </cfRule>
    <cfRule type="containsText" dxfId="0" priority="2" operator="containsText" text="CHECK">
      <formula>NOT(ISERROR(SEARCH("CHECK",F84)))</formula>
    </cfRule>
  </conditionalFormatting>
  <pageMargins left="0.7" right="0.7" top="0.75" bottom="0.75" header="0.3" footer="0.3"/>
</worksheet>
</file>

<file path=docMetadata/LabelInfo.xml><?xml version="1.0" encoding="utf-8"?>
<clbl:labelList xmlns:clbl="http://schemas.microsoft.com/office/2020/mipLabelMetadata">
  <clbl:label id="{87ba5c36-b7cf-4793-bbc2-bd5b3a9f95ca}"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Parts list</vt:lpstr>
      <vt:lpstr>Purchasing list</vt:lpstr>
      <vt:lpstr>Cost</vt:lpstr>
      <vt:lpstr>Ordering plan</vt:lpstr>
      <vt:lpstr>Changes vs v0.8</vt:lpstr>
      <vt:lpstr>Netlist</vt:lpstr>
      <vt:lpstr>Nets</vt:lpstr>
      <vt:lpstr>Stress check</vt:lpstr>
      <vt:lpstr>Evidence register</vt:lpstr>
      <vt:lpstr>Notes &amp; open items</vt:lpstr>
      <vt:lpstr>Checks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Yung-Hsiang, Yang</cp:lastModifiedBy>
  <cp:revision/>
  <dcterms:created xsi:type="dcterms:W3CDTF">2026-09-26T11:19:14Z</dcterms:created>
  <dcterms:modified xsi:type="dcterms:W3CDTF">2026-09-27T03:20:21Z</dcterms:modified>
  <cp:category/>
  <cp:contentStatus/>
</cp:coreProperties>
</file>