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ntums365-my.sharepoint.com/personal/b11901064_m365_ntu_edu_tw/Documents/Documents/github_repo/Hi-Res-DAC/doc/"/>
    </mc:Choice>
  </mc:AlternateContent>
  <xr:revisionPtr revIDLastSave="5545" documentId="11_C0AD03C342DF8C55C71C9A5E8EF50AF967CFF049" xr6:coauthVersionLast="47" xr6:coauthVersionMax="47" xr10:uidLastSave="{DC0A6433-9302-3C4F-8DFC-C80C03094BE0}"/>
  <bookViews>
    <workbookView xWindow="0" yWindow="660" windowWidth="30240" windowHeight="17140" activeTab="1" xr2:uid="{00000000-000D-0000-FFFF-FFFF00000000}"/>
  </bookViews>
  <sheets>
    <sheet name="Summary" sheetId="1" r:id="rId1"/>
    <sheet name="Purchasing list" sheetId="3" r:id="rId2"/>
    <sheet name="Cost" sheetId="4" r:id="rId3"/>
    <sheet name="Notes &amp; open items" sheetId="5" r:id="rId4"/>
  </sheets>
  <externalReferences>
    <externalReference r:id="rId5"/>
  </externalReferences>
  <definedNames>
    <definedName name="_xlnm.Print_Titles" localSheetId="1">'Purchasing list'!$3:$3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" i="3" l="1"/>
  <c r="Q89" i="3"/>
  <c r="P89" i="3"/>
  <c r="O89" i="3"/>
  <c r="K89" i="3"/>
  <c r="J89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Q4" i="3"/>
  <c r="P4" i="3"/>
  <c r="O4" i="3"/>
  <c r="E28" i="1"/>
  <c r="C28" i="1"/>
  <c r="D28" i="1" s="1"/>
  <c r="B28" i="1"/>
  <c r="E27" i="1"/>
  <c r="C27" i="1"/>
  <c r="D27" i="1" s="1"/>
  <c r="B27" i="1"/>
  <c r="E26" i="1"/>
  <c r="C26" i="1"/>
  <c r="D26" i="1" s="1"/>
  <c r="B26" i="1"/>
  <c r="E25" i="1"/>
  <c r="C25" i="1"/>
  <c r="D25" i="1" s="1"/>
  <c r="B25" i="1"/>
  <c r="E24" i="1"/>
  <c r="C24" i="1"/>
  <c r="D24" i="1" s="1"/>
  <c r="B24" i="1"/>
  <c r="E23" i="1"/>
  <c r="C23" i="1"/>
  <c r="D23" i="1" s="1"/>
  <c r="B23" i="1"/>
  <c r="E22" i="1"/>
  <c r="C22" i="1"/>
  <c r="D22" i="1" s="1"/>
  <c r="B22" i="1"/>
  <c r="E21" i="1"/>
  <c r="C21" i="1"/>
  <c r="D21" i="1" s="1"/>
  <c r="B21" i="1"/>
  <c r="E20" i="1"/>
  <c r="C20" i="1"/>
  <c r="B20" i="1"/>
  <c r="A16" i="1"/>
  <c r="B14" i="1"/>
  <c r="A13" i="1"/>
  <c r="D12" i="1"/>
  <c r="B8" i="1"/>
  <c r="G61" i="4"/>
  <c r="F59" i="4"/>
  <c r="F58" i="4"/>
  <c r="A46" i="4"/>
  <c r="F43" i="4"/>
  <c r="G42" i="4"/>
  <c r="G36" i="4"/>
  <c r="F54" i="4"/>
  <c r="E54" i="4"/>
  <c r="G53" i="4"/>
  <c r="F53" i="4"/>
  <c r="E53" i="4"/>
  <c r="B53" i="4"/>
  <c r="F49" i="4"/>
  <c r="E49" i="4"/>
  <c r="F48" i="4"/>
  <c r="E48" i="4"/>
  <c r="F34" i="4"/>
  <c r="E34" i="4"/>
  <c r="G33" i="4"/>
  <c r="F33" i="4"/>
  <c r="E33" i="4"/>
  <c r="B33" i="4"/>
  <c r="F29" i="4"/>
  <c r="E29" i="4"/>
  <c r="F28" i="4"/>
  <c r="E28" i="4"/>
  <c r="F27" i="4"/>
  <c r="E27" i="4"/>
  <c r="A25" i="4"/>
  <c r="B21" i="4"/>
  <c r="B20" i="4"/>
  <c r="B18" i="4" a="1"/>
  <c r="B18" i="4" s="1"/>
  <c r="B17" i="4"/>
  <c r="B50" i="4" s="1"/>
  <c r="B16" i="4"/>
  <c r="B30" i="4" s="1"/>
  <c r="B14" i="4"/>
  <c r="B6" i="1" s="1"/>
  <c r="B13" i="4"/>
  <c r="E40" i="4" s="1"/>
  <c r="F40" i="4" s="1"/>
  <c r="B12" i="4"/>
  <c r="B29" i="1" l="1"/>
  <c r="E29" i="1"/>
  <c r="G30" i="4"/>
  <c r="E30" i="4"/>
  <c r="F30" i="4" s="1"/>
  <c r="G50" i="4"/>
  <c r="E50" i="4"/>
  <c r="F50" i="4" s="1"/>
  <c r="B10" i="1"/>
  <c r="G31" i="4"/>
  <c r="B31" i="4"/>
  <c r="E31" i="4" s="1"/>
  <c r="F31" i="4" s="1"/>
  <c r="B19" i="4" a="1"/>
  <c r="B19" i="4" s="1"/>
  <c r="B12" i="1"/>
  <c r="B11" i="1"/>
  <c r="E39" i="4"/>
  <c r="F39" i="4" s="1"/>
  <c r="B22" i="4"/>
  <c r="D20" i="1"/>
  <c r="D29" i="1" s="1"/>
  <c r="C29" i="1"/>
  <c r="B52" i="4"/>
  <c r="E52" i="4" s="1"/>
  <c r="B9" i="1"/>
  <c r="B32" i="4"/>
  <c r="E32" i="4" s="1"/>
  <c r="G32" i="4"/>
  <c r="B15" i="4"/>
  <c r="B7" i="1" s="1"/>
  <c r="B23" i="4"/>
  <c r="G52" i="4" l="1"/>
  <c r="G51" i="4"/>
  <c r="B51" i="4"/>
  <c r="E51" i="4" s="1"/>
  <c r="F51" i="4" s="1"/>
  <c r="F52" i="4"/>
  <c r="E55" i="4"/>
  <c r="F32" i="4"/>
  <c r="E35" i="4"/>
  <c r="F55" i="4" l="1"/>
  <c r="E60" i="4"/>
  <c r="F35" i="4"/>
  <c r="E36" i="4"/>
  <c r="F60" i="4" l="1"/>
  <c r="E61" i="4"/>
  <c r="F36" i="4"/>
  <c r="E41" i="4"/>
  <c r="F61" i="4" l="1"/>
  <c r="B16" i="1" s="1"/>
  <c r="E62" i="4"/>
  <c r="F62" i="4" s="1"/>
  <c r="D16" i="1" s="1"/>
  <c r="F41" i="4"/>
  <c r="E42" i="4"/>
  <c r="F42" i="4" s="1"/>
  <c r="F44" i="4" l="1"/>
  <c r="B13" i="1"/>
  <c r="G44" i="4" l="1"/>
  <c r="B15" i="1"/>
  <c r="D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<sst xmlns="http://schemas.openxmlformats.org/spreadsheetml/2006/main" count="1006" uniqueCount="498">
  <si>
    <t>USB DAC + Balanced Headphone Amplifier — Parts List v0.1 (draft)</t>
  </si>
  <si>
    <t>Diego Yang · 23 Sep 2026 · companion to Schematic Design Notes v0.2 and Design Specification v0.3</t>
  </si>
  <si>
    <t>Key figures</t>
  </si>
  <si>
    <t>Key figure</t>
  </si>
  <si>
    <t>Value</t>
  </si>
  <si>
    <t>Unit</t>
  </si>
  <si>
    <t>Basis</t>
  </si>
  <si>
    <t>Placed parts per production board</t>
  </si>
  <si>
    <t>parts</t>
  </si>
  <si>
    <t>Fit = Yes; bare PCB excluded</t>
  </si>
  <si>
    <t>Placed parts per prototype board</t>
  </si>
  <si>
    <t>adds the J201 JTAG header</t>
  </si>
  <si>
    <t>Distinct part numbers</t>
  </si>
  <si>
    <t>part numbers</t>
  </si>
  <si>
    <t>one row each in the Purchasing list</t>
  </si>
  <si>
    <t>Leadless (X-ray) parts per board</t>
  </si>
  <si>
    <t>XU316, 2 oscillators, 4 × OPA1622</t>
  </si>
  <si>
    <t>SMT joints per production board</t>
  </si>
  <si>
    <t>joints</t>
  </si>
  <si>
    <t>Qty × SMT joints per part, fitted lines</t>
  </si>
  <si>
    <t>Parts cost per board</t>
  </si>
  <si>
    <t>US$</t>
  </si>
  <si>
    <t>100-board tier; bare PCB excluded</t>
  </si>
  <si>
    <t>NTD</t>
  </si>
  <si>
    <t>parts + bare PCB + JLCPCB Standard PCBA fees</t>
  </si>
  <si>
    <t>Cost limit per board</t>
  </si>
  <si>
    <t>input on the Cost sheet</t>
  </si>
  <si>
    <t>Margin to the limit</t>
  </si>
  <si>
    <t>Parts cost by block (fitted lines; bare PCB excluded)</t>
  </si>
  <si>
    <t>Block</t>
  </si>
  <si>
    <t>Placed parts</t>
  </si>
  <si>
    <t>Parts cost US$</t>
  </si>
  <si>
    <t>Parts cost NTD</t>
  </si>
  <si>
    <t>of which quoted NTD</t>
  </si>
  <si>
    <t>1 USB data port + digital power</t>
  </si>
  <si>
    <t>2 USB audio processor (XU316)</t>
  </si>
  <si>
    <t>3 Clocks</t>
  </si>
  <si>
    <t>4 DAC (AK4493SEQ)</t>
  </si>
  <si>
    <t>5 DAC interface + stage 1</t>
  </si>
  <si>
    <t>6 Output stage (4 legs) + gain switch</t>
  </si>
  <si>
    <t>7 Protection, relays, amplifier enable</t>
  </si>
  <si>
    <t>8 PD input + analog power</t>
  </si>
  <si>
    <t>9 Outputs, indicators, test, board</t>
  </si>
  <si>
    <t>Total</t>
  </si>
  <si>
    <t>Legend</t>
  </si>
  <si>
    <t>Term</t>
  </si>
  <si>
    <t>Meaning</t>
  </si>
  <si>
    <t>Quote</t>
  </si>
  <si>
    <t>Distributor price at the 100-board tier (LCSC, JLCPCB, Digi-Key, Mouser listings, Aug–Sep 2026)</t>
  </si>
  <si>
    <t>Estimate</t>
  </si>
  <si>
    <t>Planning price for generic passives and small discretes</t>
  </si>
  <si>
    <t>Fit: Yes</t>
  </si>
  <si>
    <t>Fitted on every board (production and prototypes)</t>
  </si>
  <si>
    <t>Fit: DNF</t>
  </si>
  <si>
    <t>Do not fit: the footprint is on the board, the part is not placed</t>
  </si>
  <si>
    <t>Fit: Prototypes only</t>
  </si>
  <si>
    <t>Fitted on the prototype boards only (J201 xSYS2 JTAG header; production boards use the TC2030 pads)</t>
  </si>
  <si>
    <t>Fit: No part</t>
  </si>
  <si>
    <t>Copper-only feature (test pads, TC2030 debug footprint, mounting holes, fiducials)</t>
  </si>
  <si>
    <t>Colour code</t>
  </si>
  <si>
    <t>Parts list: grey rows = DNF / No part, amber row = Prototypes only. Cost sheet: blue on yellow = input, green = linked from the Parts list / Purchasing list.</t>
  </si>
  <si>
    <t>Designators</t>
  </si>
  <si>
    <t>Package</t>
  </si>
  <si>
    <t>Rating / tolerance</t>
  </si>
  <si>
    <t>Part number (MPN)</t>
  </si>
  <si>
    <t>Source / LCSC no.</t>
  </si>
  <si>
    <t>JLCPCB library type</t>
  </si>
  <si>
    <t>Leadless (X-ray)</t>
  </si>
  <si>
    <t>Unit price US$ (100-board tier)</t>
  </si>
  <si>
    <t>Price basis</t>
  </si>
  <si>
    <t>Ext. per board US$</t>
  </si>
  <si>
    <t>Qty for 5 prototypes</t>
  </si>
  <si>
    <t>Qty for 100 boards</t>
  </si>
  <si>
    <t>—</t>
  </si>
  <si>
    <t>SMD</t>
  </si>
  <si>
    <t>20 V, 5 A</t>
  </si>
  <si>
    <t>HRO TYPE-C-31-M-12</t>
  </si>
  <si>
    <t>LCSC C165948</t>
  </si>
  <si>
    <t>Extended</t>
  </si>
  <si>
    <t>Yes</t>
  </si>
  <si>
    <t>5.1 kΩ</t>
  </si>
  <si>
    <t>0402</t>
  </si>
  <si>
    <t>1%</t>
  </si>
  <si>
    <t>Generic (match a JLCPCB Basic part)</t>
  </si>
  <si>
    <t>Assign</t>
  </si>
  <si>
    <t>Basic (likely)</t>
  </si>
  <si>
    <t>1 MΩ</t>
  </si>
  <si>
    <t>0603</t>
  </si>
  <si>
    <t>4.7 nF</t>
  </si>
  <si>
    <t>50 V X7R</t>
  </si>
  <si>
    <t>U101</t>
  </si>
  <si>
    <t>SOT-23-6</t>
  </si>
  <si>
    <t>2-line, 5.25 V</t>
  </si>
  <si>
    <t>ST USBLC6-2SC6</t>
  </si>
  <si>
    <t>LCSC C7519</t>
  </si>
  <si>
    <t>C102, C103</t>
  </si>
  <si>
    <t>4.7 µF</t>
  </si>
  <si>
    <t>0805</t>
  </si>
  <si>
    <t>25 V X5R</t>
  </si>
  <si>
    <t>U102</t>
  </si>
  <si>
    <t>0.9 V, 2 A</t>
  </si>
  <si>
    <t>SOT-23-5</t>
  </si>
  <si>
    <t>2.5–5.5 V in, 1.5 MHz</t>
  </si>
  <si>
    <t>TI TLV62569DBVR</t>
  </si>
  <si>
    <t>LCSC C141836</t>
  </si>
  <si>
    <t>L101</t>
  </si>
  <si>
    <t>2.2 µH</t>
  </si>
  <si>
    <t>3 × 3 mm</t>
  </si>
  <si>
    <t>2 A</t>
  </si>
  <si>
    <t>Sunlord SWPA3015S2R2MT</t>
  </si>
  <si>
    <t>JLCPCB C43389</t>
  </si>
  <si>
    <t>10 µF</t>
  </si>
  <si>
    <t>10 V X5R</t>
  </si>
  <si>
    <t>100 kΩ</t>
  </si>
  <si>
    <t>R105</t>
  </si>
  <si>
    <t>200 kΩ</t>
  </si>
  <si>
    <t>22 pF</t>
  </si>
  <si>
    <t>50 V C0G</t>
  </si>
  <si>
    <t>U103</t>
  </si>
  <si>
    <t>3.3 V, 1 A</t>
  </si>
  <si>
    <t>SOT-223</t>
  </si>
  <si>
    <t>Fixed</t>
  </si>
  <si>
    <t>AMS1117-3.3</t>
  </si>
  <si>
    <t>LCSC C6186</t>
  </si>
  <si>
    <t>Basic</t>
  </si>
  <si>
    <t>C106</t>
  </si>
  <si>
    <t>22 µF</t>
  </si>
  <si>
    <t>3528 (B case)</t>
  </si>
  <si>
    <t>10 V tantalum</t>
  </si>
  <si>
    <t>Generic (Extended part expected)</t>
  </si>
  <si>
    <t>100 nF</t>
  </si>
  <si>
    <t>16 V X7R</t>
  </si>
  <si>
    <t>U104, U105</t>
  </si>
  <si>
    <t>1.8 V, 250 mA</t>
  </si>
  <si>
    <t>6.5 µVrms</t>
  </si>
  <si>
    <t>TI LP5907MFX-1.8/NOPB</t>
  </si>
  <si>
    <t>LCSC C92498</t>
  </si>
  <si>
    <t>1 µF</t>
  </si>
  <si>
    <t>U201</t>
  </si>
  <si>
    <t>QFN-60 7 × 7 mm, 0.4 mm</t>
  </si>
  <si>
    <t>xcore.ai, 16 cores</t>
  </si>
  <si>
    <t>XMOS XU316-1024-QF60A-C24</t>
  </si>
  <si>
    <t>Digi-Key (JLCPCB global sourcing)</t>
  </si>
  <si>
    <t>Global sourcing</t>
  </si>
  <si>
    <t>600 Ω</t>
  </si>
  <si>
    <t>1.3 A, 0.15 Ω</t>
  </si>
  <si>
    <t>Murata BLM18KG601SN1D</t>
  </si>
  <si>
    <t>LCSC C85833</t>
  </si>
  <si>
    <t>Y201</t>
  </si>
  <si>
    <t>24 MHz</t>
  </si>
  <si>
    <t>3.2 × 2.5 mm</t>
  </si>
  <si>
    <t>12 pF, ±10 ppm, ESR 50 Ω</t>
  </si>
  <si>
    <t>YXC X322524MOB4SI</t>
  </si>
  <si>
    <t>LCSC C70590</t>
  </si>
  <si>
    <t>R202</t>
  </si>
  <si>
    <t>680 Ω</t>
  </si>
  <si>
    <t>U202</t>
  </si>
  <si>
    <t>32 Mbit</t>
  </si>
  <si>
    <t>SOIC-8 208 mil</t>
  </si>
  <si>
    <t>1.7–1.95 V</t>
  </si>
  <si>
    <t>Winbond W25Q32JWSSIQ TR</t>
  </si>
  <si>
    <t>LCSC C2456252</t>
  </si>
  <si>
    <t>10 kΩ</t>
  </si>
  <si>
    <t>22 Ω</t>
  </si>
  <si>
    <t>J201</t>
  </si>
  <si>
    <t>1.27 mm pitch</t>
  </si>
  <si>
    <t>X301</t>
  </si>
  <si>
    <t>22.5792 MHz</t>
  </si>
  <si>
    <t>2.5 × 2.0 mm</t>
  </si>
  <si>
    <t>1.71–3.63 V, ±20 ppm</t>
  </si>
  <si>
    <t>Kyocera KC2520Z22.5792C1KX00</t>
  </si>
  <si>
    <t>X302</t>
  </si>
  <si>
    <t>24.576 MHz</t>
  </si>
  <si>
    <t>Kyocera KC2520Z24.5760C1KX00</t>
  </si>
  <si>
    <t>U401</t>
  </si>
  <si>
    <t>LQFP-48</t>
  </si>
  <si>
    <t>THD+N −115 dB typ</t>
  </si>
  <si>
    <t>AKM AK4493SEQ</t>
  </si>
  <si>
    <t>Mouser (JLCPCB global sourcing)</t>
  </si>
  <si>
    <t>10 Ω</t>
  </si>
  <si>
    <t>C412, C414</t>
  </si>
  <si>
    <t>470 µF</t>
  </si>
  <si>
    <t>SMD Al-electrolytic 8 × 10 mm</t>
  </si>
  <si>
    <t>10 V</t>
  </si>
  <si>
    <t>R405, R406</t>
  </si>
  <si>
    <t>0 Ω</t>
  </si>
  <si>
    <t>C415, C416</t>
  </si>
  <si>
    <t>SMD Al-electrolytic 4 × 5.4 mm</t>
  </si>
  <si>
    <t>16 V</t>
  </si>
  <si>
    <t>2.2 kΩ</t>
  </si>
  <si>
    <t>R501–R504</t>
  </si>
  <si>
    <t>100 Ω</t>
  </si>
  <si>
    <t>0.1% 25 ppm thin film</t>
  </si>
  <si>
    <t>C501, C502</t>
  </si>
  <si>
    <t>2.2 nF</t>
  </si>
  <si>
    <t>C503–C506</t>
  </si>
  <si>
    <t>100 µF</t>
  </si>
  <si>
    <t>SMD Al-electrolytic 6.3 × 7.7 mm</t>
  </si>
  <si>
    <t>16 V low-leakage</t>
  </si>
  <si>
    <t>R505–R508</t>
  </si>
  <si>
    <t>1.00 kΩ</t>
  </si>
  <si>
    <t>C507–C510</t>
  </si>
  <si>
    <t>820 pF</t>
  </si>
  <si>
    <t>U501</t>
  </si>
  <si>
    <t>SOIC-8</t>
  </si>
  <si>
    <t>1.1 nV/√Hz</t>
  </si>
  <si>
    <t>TI OPA1612AIDR</t>
  </si>
  <si>
    <t>LCSC</t>
  </si>
  <si>
    <t>U601–U604</t>
  </si>
  <si>
    <t>VSON-10 3 × 3 mm</t>
  </si>
  <si>
    <t>±145/130 mA; thermal pad to V−</t>
  </si>
  <si>
    <t>TI OPA1622IDRCR</t>
  </si>
  <si>
    <t>LCSC C2876559</t>
  </si>
  <si>
    <t>R601, R602</t>
  </si>
  <si>
    <t>348 Ω</t>
  </si>
  <si>
    <t>R603, R604</t>
  </si>
  <si>
    <t>200 Ω</t>
  </si>
  <si>
    <t>C601, C602</t>
  </si>
  <si>
    <t>33 pF</t>
  </si>
  <si>
    <t>R609, R610</t>
  </si>
  <si>
    <t>499 Ω</t>
  </si>
  <si>
    <t>R611–R618</t>
  </si>
  <si>
    <t>0.47 Ω</t>
  </si>
  <si>
    <t>1206</t>
  </si>
  <si>
    <t>1%, ≥ 0.25 W</t>
  </si>
  <si>
    <t>C621, C622</t>
  </si>
  <si>
    <t>220 µF</t>
  </si>
  <si>
    <t>25 V</t>
  </si>
  <si>
    <t>SW601</t>
  </si>
  <si>
    <t>DPDT</t>
  </si>
  <si>
    <t>G-Switch MS-22D28-G020</t>
  </si>
  <si>
    <t>LCSC C963205</t>
  </si>
  <si>
    <t>U701</t>
  </si>
  <si>
    <t>SOIC-14</t>
  </si>
  <si>
    <t>±1 to ±18 V</t>
  </si>
  <si>
    <t>TI LM339DR</t>
  </si>
  <si>
    <t>LCSC C7948</t>
  </si>
  <si>
    <t>25 V X7R</t>
  </si>
  <si>
    <t>D701–D704</t>
  </si>
  <si>
    <t>BAV99</t>
  </si>
  <si>
    <t>SOT-23</t>
  </si>
  <si>
    <t>R712</t>
  </si>
  <si>
    <t>15 kΩ</t>
  </si>
  <si>
    <t>R713</t>
  </si>
  <si>
    <t>2.2 MΩ</t>
  </si>
  <si>
    <t>R714, R715</t>
  </si>
  <si>
    <t>4.7 kΩ</t>
  </si>
  <si>
    <t>D705, D706</t>
  </si>
  <si>
    <t>BAT54</t>
  </si>
  <si>
    <t>30 V</t>
  </si>
  <si>
    <t>MMBT3904</t>
  </si>
  <si>
    <t>40 V, 200 mA</t>
  </si>
  <si>
    <t>JSCJ MMBT3904</t>
  </si>
  <si>
    <t>LCSC C20526</t>
  </si>
  <si>
    <t>1N4148W</t>
  </si>
  <si>
    <t>SOD-123</t>
  </si>
  <si>
    <t>100 V</t>
  </si>
  <si>
    <t>K701, K702</t>
  </si>
  <si>
    <t>SMD 10 × 6.5 mm</t>
  </si>
  <si>
    <t>1.028 kΩ coil, gold-plated AgNi</t>
  </si>
  <si>
    <t>Hongfa HFD4/12-SR</t>
  </si>
  <si>
    <t>LCSC C44212</t>
  </si>
  <si>
    <t>U801</t>
  </si>
  <si>
    <t>ESSOP-10</t>
  </si>
  <si>
    <t>PD 3.2</t>
  </si>
  <si>
    <t>WCH CH224A</t>
  </si>
  <si>
    <t>LCSC C42459160</t>
  </si>
  <si>
    <t>C802</t>
  </si>
  <si>
    <t>R802</t>
  </si>
  <si>
    <t>56 kΩ</t>
  </si>
  <si>
    <t>D801</t>
  </si>
  <si>
    <t>SMAJ18A</t>
  </si>
  <si>
    <t>SMA</t>
  </si>
  <si>
    <t>18 V standoff, 29.2 V clamp</t>
  </si>
  <si>
    <t>Littelfuse SMAJ18A</t>
  </si>
  <si>
    <t>JLCPCB C148219</t>
  </si>
  <si>
    <t>C803</t>
  </si>
  <si>
    <t>50 V</t>
  </si>
  <si>
    <t>50 V X5R</t>
  </si>
  <si>
    <t>U802</t>
  </si>
  <si>
    <t>Buck converter used as inverting buck-boost → −14.7 V</t>
  </si>
  <si>
    <t>3 A</t>
  </si>
  <si>
    <t>HSOIC-8</t>
  </si>
  <si>
    <t>3.8–36 V, 400 kHz</t>
  </si>
  <si>
    <t>TI LMR33630ADDAR</t>
  </si>
  <si>
    <t>LCSC C841384</t>
  </si>
  <si>
    <t>L801</t>
  </si>
  <si>
    <t>22 µH</t>
  </si>
  <si>
    <t>6 × 6 mm</t>
  </si>
  <si>
    <t>Isat 2.2 A</t>
  </si>
  <si>
    <t>Sunlord SWPA6045S220MT</t>
  </si>
  <si>
    <t>JLCPCB C83454</t>
  </si>
  <si>
    <t>R805</t>
  </si>
  <si>
    <t>7.32 kΩ</t>
  </si>
  <si>
    <t>Extended (likely)</t>
  </si>
  <si>
    <t>C811–C813</t>
  </si>
  <si>
    <t>U803</t>
  </si>
  <si>
    <t>−12.0 V</t>
  </si>
  <si>
    <t>D2PAK</t>
  </si>
  <si>
    <t>1.5 A</t>
  </si>
  <si>
    <t>onsemi LM337BD2TR4G</t>
  </si>
  <si>
    <t>LCSC C154567</t>
  </si>
  <si>
    <t>R808, R810</t>
  </si>
  <si>
    <t>240 Ω</t>
  </si>
  <si>
    <t>R809, R811</t>
  </si>
  <si>
    <t>2.05 kΩ</t>
  </si>
  <si>
    <t>D803, D805</t>
  </si>
  <si>
    <t>SS14</t>
  </si>
  <si>
    <t>40 V, 1 A</t>
  </si>
  <si>
    <t>U804</t>
  </si>
  <si>
    <t>+12.0 V</t>
  </si>
  <si>
    <t>ST LM317D2T-TR</t>
  </si>
  <si>
    <t>LCSC C91673</t>
  </si>
  <si>
    <t>U805</t>
  </si>
  <si>
    <t>4.97 V, 150 mA</t>
  </si>
  <si>
    <t>HVSSOP-8 PowerPAD</t>
  </si>
  <si>
    <t>12.7 µVrms, 3–36 V in</t>
  </si>
  <si>
    <t>TI TPS7A4901DGNR</t>
  </si>
  <si>
    <t>LCSC C16430</t>
  </si>
  <si>
    <t>C822, C823</t>
  </si>
  <si>
    <t>10 nF</t>
  </si>
  <si>
    <t>R812</t>
  </si>
  <si>
    <t>31.6 kΩ</t>
  </si>
  <si>
    <t>J901</t>
  </si>
  <si>
    <t>Through-hole</t>
  </si>
  <si>
    <t>Gold-plated, 0.5 A</t>
  </si>
  <si>
    <t>G-Switch GT-3321667P-01</t>
  </si>
  <si>
    <t>LCSC C2762984</t>
  </si>
  <si>
    <t>J902</t>
  </si>
  <si>
    <t>Gold-plated, 1 A</t>
  </si>
  <si>
    <t>HRO PJ-332A-6A</t>
  </si>
  <si>
    <t>LCSC C2848643</t>
  </si>
  <si>
    <t>D901</t>
  </si>
  <si>
    <t>Green</t>
  </si>
  <si>
    <t>D902</t>
  </si>
  <si>
    <t>Red</t>
  </si>
  <si>
    <t>R901, R902</t>
  </si>
  <si>
    <t>1.5 kΩ</t>
  </si>
  <si>
    <t>Purchasing list — fitted parts merged by part number / specification</t>
  </si>
  <si>
    <t>One row per distinct part number; generic passives are merged by value, package and rating. Order quantities use the board counts on the Cost sheet.</t>
  </si>
  <si>
    <t>Item</t>
  </si>
  <si>
    <t>Part type</t>
  </si>
  <si>
    <t>Qty per production board</t>
  </si>
  <si>
    <t>Extra qty per prototype board (prototype-only parts)</t>
  </si>
  <si>
    <t>Buck converter</t>
  </si>
  <si>
    <t>Comparator</t>
  </si>
  <si>
    <t>Crystal</t>
  </si>
  <si>
    <t>DAC</t>
  </si>
  <si>
    <t>Ferrite bead</t>
  </si>
  <si>
    <t>FB201; FB301; FB801; FB802</t>
  </si>
  <si>
    <t>Inductor</t>
  </si>
  <si>
    <t>Jack</t>
  </si>
  <si>
    <t>LDO</t>
  </si>
  <si>
    <t>NPN transistor</t>
  </si>
  <si>
    <t>Q701; Q901, Q902</t>
  </si>
  <si>
    <t>Op-amp</t>
  </si>
  <si>
    <t>Oscillator</t>
  </si>
  <si>
    <t>QSPI boot flash</t>
  </si>
  <si>
    <t>Relay</t>
  </si>
  <si>
    <t>Slide switch</t>
  </si>
  <si>
    <t>TVS diode</t>
  </si>
  <si>
    <t>USB ESD array</t>
  </si>
  <si>
    <t>USB PD sink controller</t>
  </si>
  <si>
    <t>USB audio processor</t>
  </si>
  <si>
    <t>USB-C receptacle</t>
  </si>
  <si>
    <t>J101; J801</t>
  </si>
  <si>
    <t>Capacitor</t>
  </si>
  <si>
    <t>C108–C111; C217; C301; C405</t>
  </si>
  <si>
    <t>C107; C201–C208; C210–C213; C215, C216; C220; C302, C303; C401, C403, C406; C808</t>
  </si>
  <si>
    <t>C218, C219; C603, C604</t>
  </si>
  <si>
    <t>C703–C706; C809</t>
  </si>
  <si>
    <t>C104; C209; C214; C402, C404</t>
  </si>
  <si>
    <t>C407, C409; C411, C413; C511, C512; C605–C612; C701, C702; C707, C708; C709; C807; C814</t>
  </si>
  <si>
    <t>C101; C801</t>
  </si>
  <si>
    <t>C408, C410; C513, C514; C613–C620; C815; C816–C819; C820, C821</t>
  </si>
  <si>
    <t>C804; C805, C806</t>
  </si>
  <si>
    <t>Diode</t>
  </si>
  <si>
    <t>D707, D708; D802, D804</t>
  </si>
  <si>
    <t>Diode pair</t>
  </si>
  <si>
    <t>Header</t>
  </si>
  <si>
    <t>LED</t>
  </si>
  <si>
    <t>Link</t>
  </si>
  <si>
    <t>R619–R626; R806</t>
  </si>
  <si>
    <t>Resistor</t>
  </si>
  <si>
    <t>R203; R301, R302; R813; R903, R904</t>
  </si>
  <si>
    <t>R104; R409; R701–R704; R707, R709; R711; R717; R719; R803; R804</t>
  </si>
  <si>
    <t>R407, R408; R716; R718</t>
  </si>
  <si>
    <t>R204; R303, R304; R305; R306; R410–R412</t>
  </si>
  <si>
    <t>R101, R102; R708, R710</t>
  </si>
  <si>
    <t>R103; R201; R705, R706; R801</t>
  </si>
  <si>
    <t>R509–R516; R605–R608</t>
  </si>
  <si>
    <t>R401, R402; R403, R404</t>
  </si>
  <si>
    <t>Schottky diode</t>
  </si>
  <si>
    <t>Total per board</t>
  </si>
  <si>
    <t>Cost per board — production and prototype orders</t>
  </si>
  <si>
    <t>JLCPCB PCBA price list of 8 Sep 2026 · parts at the 100-board tier · blue on yellow = input · green = linked from the Parts list / Purchasing list · black = calculated</t>
  </si>
  <si>
    <t>Inputs</t>
  </si>
  <si>
    <t>Note</t>
  </si>
  <si>
    <t>Exchange rate</t>
  </si>
  <si>
    <t>NTD per US$</t>
  </si>
  <si>
    <t>applies to every NTD figure</t>
  </si>
  <si>
    <t>Production boards</t>
  </si>
  <si>
    <t>boards</t>
  </si>
  <si>
    <t>JLCPCB Standard PCBA order</t>
  </si>
  <si>
    <t>Prototype boards</t>
  </si>
  <si>
    <t>JLCPCB Economic PCBA order</t>
  </si>
  <si>
    <t>Cost limit per production board</t>
  </si>
  <si>
    <t>per board at the production quantity</t>
  </si>
  <si>
    <t>Through-hole joints per board</t>
  </si>
  <si>
    <t>J901 4.4 mm jack, hand-soldered</t>
  </si>
  <si>
    <t>Board data (linked from the lists)</t>
  </si>
  <si>
    <t>Source</t>
  </si>
  <si>
    <t>Parts cost per board (bare PCB excluded)</t>
  </si>
  <si>
    <t>Parts list: Ext. per board, all lines except the PCB row</t>
  </si>
  <si>
    <t>Bare 4-layer PCB per board (estimate)</t>
  </si>
  <si>
    <t>Parts list: PCB row</t>
  </si>
  <si>
    <t>Parts list: Qty per board where Fit = Yes, excluding the PCB row</t>
  </si>
  <si>
    <t>adds Fit = Prototypes only (J201 JTAG header)</t>
  </si>
  <si>
    <t>SMT part types, production boards</t>
  </si>
  <si>
    <t>types</t>
  </si>
  <si>
    <t>Purchasing list: fitted on production boards, excluding the through-hole 4.4 mm jack</t>
  </si>
  <si>
    <t>Extended SMT part types, prototype boards</t>
  </si>
  <si>
    <t>Purchasing list: library type other than Basic / Basic (likely), excluding the through-hole jack</t>
  </si>
  <si>
    <t>Parts list: Qty × SMT joints per part where Fit = Yes</t>
  </si>
  <si>
    <t>SMT joints per prototype board</t>
  </si>
  <si>
    <t>Leadless parts per board (X-ray)</t>
  </si>
  <si>
    <t>Parts list: Leadless (X-ray) = Yes</t>
  </si>
  <si>
    <t>Generic passives and small discretes per board</t>
  </si>
  <si>
    <t>Parts list: Price basis = Estimate, excluding the PCB row</t>
  </si>
  <si>
    <t>Check: Purchasing list Ext. total − parts cost</t>
  </si>
  <si>
    <t>should be 0</t>
  </si>
  <si>
    <t>Check: Purchasing list quantity − placed parts</t>
  </si>
  <si>
    <t>PCBA fee (per order)</t>
  </si>
  <si>
    <t>Quantity</t>
  </si>
  <si>
    <t>Rate US$</t>
  </si>
  <si>
    <t>Fixed US$</t>
  </si>
  <si>
    <t>Setup (single side)</t>
  </si>
  <si>
    <t>fixed fee per order</t>
  </si>
  <si>
    <t>Stencil</t>
  </si>
  <si>
    <t>Fixtures (100–199 boards)</t>
  </si>
  <si>
    <t>fixed fee, 100–199-board tier</t>
  </si>
  <si>
    <t>Feeder loading (part types)</t>
  </si>
  <si>
    <t>SMT joints</t>
  </si>
  <si>
    <t>X-ray (leadless parts)</t>
  </si>
  <si>
    <t>Through-hole joints</t>
  </si>
  <si>
    <t>Confirm Parts Placement</t>
  </si>
  <si>
    <t>PCBA fees, total per order</t>
  </si>
  <si>
    <t>PCBA fees per board</t>
  </si>
  <si>
    <t>Cost per production board</t>
  </si>
  <si>
    <t>Parts</t>
  </si>
  <si>
    <t>Parts list at the 100-board tier (Quote / Estimate)</t>
  </si>
  <si>
    <t>Bare 4-layer PCB (estimate)</t>
  </si>
  <si>
    <t>PCBA fees</t>
  </si>
  <si>
    <t>JLCPCB Standard PCBA fees spread over the order</t>
  </si>
  <si>
    <t>Limit per board</t>
  </si>
  <si>
    <t>input above</t>
  </si>
  <si>
    <t>Setup</t>
  </si>
  <si>
    <t>Extended part types</t>
  </si>
  <si>
    <t>Prototype order total</t>
  </si>
  <si>
    <t>Parts at small-quantity prices</t>
  </si>
  <si>
    <t>estimate: small-quantity quotes where known, +30% for other ICs, ×2 with a US$0.10 minimum per passive line</t>
  </si>
  <si>
    <t>5 PCBs (estimate)</t>
  </si>
  <si>
    <t>estimate</t>
  </si>
  <si>
    <t>JLCPCB Economic PCBA, above</t>
  </si>
  <si>
    <t>Prototype total</t>
  </si>
  <si>
    <t>Per prototype board</t>
  </si>
  <si>
    <t>Excludes shipping, import tax and JLCPCB global-sourcing service fees.</t>
  </si>
  <si>
    <t>Comparison with the Design Specification</t>
  </si>
  <si>
    <t>Design Specification v0.3 estimated ≈ 1,490 NTD per board with a lump passive allocation; the itemised list puts passives and small discretes at ≈ 66 NTD but raises the assembly fees (82 part types, 826 joints), for ≈ 1,479 NTD.</t>
  </si>
  <si>
    <t>Notes &amp; open items</t>
  </si>
  <si>
    <t>Parts List v0.1 (draft) · companion to Schematic Design Notes v0.2 and Design Specification v0.3</t>
  </si>
  <si>
    <t>About this list</t>
  </si>
  <si>
    <t>Covers every part on the board for Schematic Design Notes v0.2 / Design Specification v0.3: 273 placed parts per production board (274 on prototypes with the JTAG header), 84 distinct part numbers, plus do-not-fit (DNF) footprints and copper-only features.</t>
  </si>
  <si>
    <t>Designators are grouped by block (1xx USB data port and digital power … 9xx outputs, indicators and test); KiCad will re-annotate.</t>
  </si>
  <si>
    <t>Generic passives get part numbers at the KiCad BOM step, preferring JLCPCB Basic parts; "Basic (likely)" is an expectation to confirm, not a checked listing.</t>
  </si>
  <si>
    <t>Values marked "starting value" follow the Schematic Design Notes and must be confirmed in SPICE or the datasheets before layout.</t>
  </si>
  <si>
    <t>Fit status</t>
  </si>
  <si>
    <t>DNF footprints: C105 (0V9 feed-forward); R627–R634 (paralleling Option 2 links); R635–R638 and C623–C626 (output Zobel); U605 + RC (DC servo per channel, values to be sized); C810 (LMR33630 feed-forward); R807 (LMR33630 UVLO divider); J903 (I²S input header, hand-fitted for tests).</t>
  </si>
  <si>
    <t>Prototypes only: J201 xSYS2 JTAG header; production boards use the TC2030 pads.</t>
  </si>
  <si>
    <t>Copper only (no part): 29 test pads (12 rails, 13 signals, 4 GND), the TC2030 debug footprint, 4 mounting holes and 3 fiducials.</t>
  </si>
  <si>
    <t>Paralleling Option 2 also needs a duplicate gain network per leg and a 4-pole gain switch; neither is in this list.</t>
  </si>
  <si>
    <t>Design details added in this list (beyond the Schematic Design Notes)</t>
  </si>
  <si>
    <t>10 Ω feeds for the AK4493 TVDD and AVDD keep their 10 µF off the LP5907 outputs (≤ 15 mV drop).</t>
  </si>
  <si>
    <t>Ferrite + capacitor filters at the LMR33630 input and on the −14.7 V rail before the LM337.</t>
  </si>
  <si>
    <t>LM317 / LM337 set with 240 Ω / 2.05 kΩ (±12.0 V), with 10 µF ADJ bypass and protection diodes.</t>
  </si>
  <si>
    <t>Boot-flash CS_N pull-up (the XMOS boot timing shows an external pull-up); 22 Ω series resistors on QSPI SCLK, I²S and MCLK.</t>
  </si>
  <si>
    <t>Status LEDs switched by MMBT3904 transistors from VBUS_DATA, because the XU316 I/O is 1.8 V only.</t>
  </si>
  <si>
    <t>PD-loss hysteresis: 2.2 MΩ from FAULT_N (≈ 80 mV at the comparator, ≈ 0.6 V at VBUS_PD); threshold dividers 100 kΩ / 5.1 kΩ from ±12 V (±0.58 V).</t>
  </si>
  <si>
    <t>Data-port VBUS capacitance kept to 2 × 4.7 µF, inside the 1–10 µF USB requirement quoted in the XU316 datasheet.</t>
  </si>
  <si>
    <t>Open items (close before layout)</t>
  </si>
  <si>
    <t>LP5907 output capacitance: 1V8_D carries ≈ 11.6 µF nominal because the XU316 needs ≥ 10 µF VDDIO bulk; confirm whether the LP5907 has an output-capacitance limit, or move 1V8_D to an LDO without one.</t>
  </si>
  <si>
    <t>USB PD sink capacitance: ≈ 130 µF sits on VBUS_PD (C803 100 µF for hot-plug damping plus ceramics), while USB Type-C/PD limits the bulk capacitance a sink presents at attach to 10 µF; decide between this and a PG-controlled load switch.</t>
  </si>
  <si>
    <t>AMS1117-3.3 headroom: ≈ 1.1 V dropout against 5 V − 3.3 V; check at the lowest expected VBUS.</t>
  </si>
  <si>
    <t>KC2520Z standby pin: confirm the logic level (R301/R302 pull-downs assume low = standby) and a high-impedance output in standby.</t>
  </si>
  <si>
    <t>LMR33630 in the inverting configuration: feedback reference, feed-forward capacitor, UVLO and EN rating (TI SNVA856 / WEBENCH).</t>
  </si>
  <si>
    <t>CH224A: VHV/VBUS wiring, CC pins and PG polarity per the WCH reference design.</t>
  </si>
  <si>
    <t>JLCPCB: confirm that global-sourced parts (XU316, AK4493SEQ, oscillators) and the through-hole 4.4 mm jack are accepted for Economic PCBA prototypes, and how exposed-pad SOIC parts are treated for X-ray.</t>
  </si>
  <si>
    <t>Consolidation: 82 part types cost ≈ US$125 in feeder fees at 100 boards, and 47 Extended types ≈ US$144 on the prototype order; merging values (e.g., 0.1% 10 kΩ bias resistors to 1%, E96 values to Basic values) cuts both.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</si>
</sst>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&quot;.&quot;"/>
    <numFmt numFmtId="169" formatCode="0;\-0;&quot;—&quot;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1F4E5F"/>
      <name val="Calibri"/>
    </font>
    <font>
      <b/>
      <sz val="14"/>
      <color rgb="FF1F4E5F"/>
      <name val="Calibri"/>
    </font>
    <font>
      <i/>
      <sz val="10"/>
      <color rgb="FF6B7780"/>
      <name val="Calibri"/>
    </font>
    <font>
      <b/>
      <sz val="10"/>
      <color rgb="FFFFFFFF"/>
      <name val="Calibri"/>
    </font>
    <font>
      <sz val="10"/>
      <color rgb="FF0000FF"/>
      <name val="Calibri"/>
    </font>
    <font>
      <sz val="10"/>
      <color rgb="FF008000"/>
      <name val="Calibri"/>
    </font>
    <font>
      <b/>
      <sz val="16"/>
      <color rgb="FF1F4E5F"/>
      <name val="Calibri"/>
    </font>
    <font>
      <i/>
      <sz val="11"/>
      <color rgb="FF6B7780"/>
      <name val="Calibri"/>
    </font>
    <font>
      <b/>
      <sz val="12"/>
      <color rgb="FF1F4E5F"/>
      <name val="Calibri"/>
    </font>
    <font>
      <sz val="10"/>
      <color rgb="FF6B7780"/>
      <name val="Calibri"/>
    </font>
    <font>
      <b/>
      <sz val="10"/>
      <color rgb="FF6B7780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D5E4E9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ECDF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C8782A"/>
      </top>
      <bottom/>
      <diagonal/>
    </border>
    <border>
      <left/>
      <right/>
      <top style="medium">
        <color rgb="FFC8782A"/>
      </top>
      <bottom style="medium">
        <color rgb="FFC8782A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1" fillId="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4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7" fillId="5" borderId="1" xfId="0" applyNumberFormat="1" applyFont="1" applyFill="1" applyBorder="1" applyAlignment="1">
      <alignment vertical="center"/>
    </xf>
    <xf numFmtId="3" fontId="7" fillId="5" borderId="2" xfId="0" applyNumberFormat="1" applyFont="1" applyFill="1" applyBorder="1" applyAlignment="1">
      <alignment vertical="center"/>
    </xf>
    <xf numFmtId="3" fontId="7" fillId="5" borderId="3" xfId="0" applyNumberFormat="1" applyFont="1" applyFill="1" applyBorder="1" applyAlignment="1">
      <alignment vertical="center"/>
    </xf>
    <xf numFmtId="4" fontId="7" fillId="5" borderId="5" xfId="0" applyNumberFormat="1" applyFont="1" applyFill="1" applyBorder="1" applyAlignment="1">
      <alignment vertical="center"/>
    </xf>
    <xf numFmtId="4" fontId="7" fillId="5" borderId="1" xfId="0" applyNumberFormat="1" applyFont="1" applyFill="1" applyBorder="1" applyAlignment="1">
      <alignment vertical="center"/>
    </xf>
    <xf numFmtId="165" fontId="7" fillId="5" borderId="4" xfId="0" applyNumberFormat="1" applyFont="1" applyFill="1" applyBorder="1" applyAlignment="1">
      <alignment vertical="center"/>
    </xf>
    <xf numFmtId="165" fontId="7" fillId="5" borderId="1" xfId="0" applyNumberFormat="1" applyFont="1" applyFill="1" applyBorder="1" applyAlignment="1">
      <alignment vertical="center"/>
    </xf>
    <xf numFmtId="4" fontId="8" fillId="0" borderId="0" xfId="0" applyNumberFormat="1" applyFont="1" applyAlignment="1">
      <alignment vertical="center"/>
    </xf>
    <xf numFmtId="4" fontId="8" fillId="4" borderId="0" xfId="0" applyNumberFormat="1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3" fontId="8" fillId="4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6" borderId="6" xfId="0" applyFont="1" applyFill="1" applyBorder="1" applyAlignment="1">
      <alignment vertical="center"/>
    </xf>
    <xf numFmtId="3" fontId="2" fillId="6" borderId="6" xfId="0" applyNumberFormat="1" applyFont="1" applyFill="1" applyBorder="1" applyAlignment="1">
      <alignment vertical="center"/>
    </xf>
    <xf numFmtId="165" fontId="2" fillId="6" borderId="6" xfId="0" applyNumberFormat="1" applyFont="1" applyFill="1" applyBorder="1" applyAlignment="1">
      <alignment vertical="center"/>
    </xf>
    <xf numFmtId="4" fontId="2" fillId="6" borderId="6" xfId="0" applyNumberFormat="1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2" fillId="6" borderId="7" xfId="0" applyFont="1" applyFill="1" applyBorder="1" applyAlignment="1">
      <alignment vertical="center"/>
    </xf>
    <xf numFmtId="3" fontId="2" fillId="6" borderId="7" xfId="0" applyNumberFormat="1" applyFont="1" applyFill="1" applyBorder="1" applyAlignment="1">
      <alignment vertical="center"/>
    </xf>
    <xf numFmtId="0" fontId="2" fillId="6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4" fontId="2" fillId="4" borderId="0" xfId="0" applyNumberFormat="1" applyFont="1" applyFill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3" fontId="2" fillId="6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14" fillId="0" borderId="0" xfId="0" applyFont="1" applyAlignment="1">
      <alignment vertical="top"/>
    </xf>
    <xf numFmtId="166" fontId="14" fillId="0" borderId="0" xfId="0" applyNumberFormat="1" applyFont="1" applyAlignment="1">
      <alignment horizontal="right" vertical="top"/>
    </xf>
    <xf numFmtId="0" fontId="14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2" fillId="6" borderId="6" xfId="0" applyFont="1" applyFill="1" applyBorder="1" applyAlignment="1">
      <alignment vertical="top"/>
    </xf>
    <xf numFmtId="3" fontId="2" fillId="6" borderId="6" xfId="0" applyNumberFormat="1" applyFont="1" applyFill="1" applyBorder="1" applyAlignment="1">
      <alignment vertical="top"/>
    </xf>
    <xf numFmtId="3" fontId="2" fillId="6" borderId="6" xfId="0" applyNumberFormat="1" applyFont="1" applyFill="1" applyBorder="1" applyAlignment="1">
      <alignment horizontal="center" vertical="top"/>
    </xf>
    <xf numFmtId="4" fontId="2" fillId="6" borderId="6" xfId="0" applyNumberFormat="1" applyFont="1" applyFill="1" applyBorder="1" applyAlignment="1">
      <alignment vertical="top"/>
    </xf>
    <xf numFmtId="0" fontId="5" fillId="0" borderId="0" xfId="0" applyFont="1" applyAlignment="1">
      <alignment vertical="top"/>
    </xf>
    <xf numFmtId="169" fontId="1" fillId="0" borderId="0" xfId="0" applyNumberFormat="1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49" fontId="1" fillId="4" borderId="0" xfId="0" applyNumberFormat="1" applyFont="1" applyFill="1" applyAlignment="1">
      <alignment vertical="top" wrapText="1"/>
    </xf>
    <xf numFmtId="1" fontId="1" fillId="4" borderId="0" xfId="0" applyNumberFormat="1" applyFont="1" applyFill="1" applyAlignment="1">
      <alignment horizontal="center" vertical="top" wrapText="1"/>
    </xf>
    <xf numFmtId="49" fontId="1" fillId="4" borderId="0" xfId="0" applyNumberFormat="1" applyFont="1" applyFill="1" applyAlignment="1">
      <alignment horizontal="center" vertical="top" wrapText="1"/>
    </xf>
    <xf numFmtId="169" fontId="1" fillId="4" borderId="0" xfId="0" applyNumberFormat="1" applyFont="1" applyFill="1" applyAlignment="1">
      <alignment horizontal="center" vertical="top" wrapText="1"/>
    </xf>
    <xf numFmtId="165" fontId="1" fillId="4" borderId="0" xfId="0" applyNumberFormat="1" applyFont="1" applyFill="1" applyAlignment="1">
      <alignment vertical="top" wrapText="1"/>
    </xf>
    <xf numFmtId="3" fontId="1" fillId="4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2" borderId="0" xfId="0" applyFont="1" applyFill="1" applyAlignment="1">
      <alignment vertical="center"/>
    </xf>
    <xf numFmtId="166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vertical="center" wrapText="1"/>
    </xf>
  </cellXfs>
  <cellStyles count="1">
    <cellStyle name="Normal" xfId="0" builtinId="0"/>
  </cellStyles>
  <dxfs count="23">
    <dxf>
      <font>
        <color rgb="FF2E7D32"/>
      </font>
    </dxf>
    <dxf>
      <font>
        <color rgb="FFC00000"/>
      </font>
    </dxf>
    <dxf>
      <font>
        <color rgb="FF2E7D32"/>
      </font>
    </dxf>
    <dxf>
      <font>
        <color rgb="FFC00000"/>
      </font>
    </dxf>
    <dxf>
      <font>
        <sz val="10"/>
        <name val="Calibri"/>
      </font>
      <numFmt numFmtId="165" formatCode="0.0000"/>
      <alignment vertical="top" wrapText="1"/>
    </dxf>
    <dxf>
      <font>
        <sz val="10"/>
        <name val="Calibri"/>
      </font>
      <numFmt numFmtId="3" formatCode="#,##0"/>
      <alignment vertical="top" wrapText="1"/>
    </dxf>
    <dxf>
      <font>
        <sz val="10"/>
        <name val="Calibri"/>
      </font>
      <numFmt numFmtId="3" formatCode="#,##0"/>
      <alignment vertical="top" wrapText="1"/>
    </dxf>
    <dxf>
      <font>
        <sz val="10"/>
        <name val="Calibri"/>
      </font>
      <numFmt numFmtId="30" formatCode="@"/>
      <alignment horizontal="center" vertical="top" wrapText="1"/>
    </dxf>
    <dxf>
      <font>
        <sz val="10"/>
        <name val="Calibri"/>
      </font>
      <numFmt numFmtId="30" formatCode="@"/>
      <alignment horizontal="center" vertical="top" wrapText="1"/>
    </dxf>
    <dxf>
      <font>
        <sz val="10"/>
        <name val="Calibri"/>
      </font>
      <numFmt numFmtId="165" formatCode="0.0000"/>
      <alignment vertical="top" wrapText="1"/>
    </dxf>
    <dxf>
      <font>
        <sz val="10"/>
        <name val="Calibri"/>
      </font>
      <numFmt numFmtId="169" formatCode="0;\-0;&quot;—&quot;"/>
      <alignment horizontal="center" vertical="top" wrapText="1"/>
    </dxf>
    <dxf>
      <font>
        <sz val="10"/>
        <name val="Calibri"/>
      </font>
      <numFmt numFmtId="169" formatCode="0;\-0;&quot;—&quot;"/>
      <alignment horizontal="center"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30" formatCode="@"/>
      <alignment vertical="top" wrapText="1"/>
    </dxf>
    <dxf>
      <font>
        <sz val="10"/>
        <name val="Calibri"/>
      </font>
      <numFmt numFmtId="1" formatCode="0"/>
      <alignment horizontal="center" vertical="top" wrapText="1"/>
    </dxf>
    <dxf>
      <font>
        <sz val="10"/>
        <name val="Calibri"/>
      </font>
      <alignment vertical="top" wrapText="1"/>
    </dxf>
    <dxf>
      <font>
        <b/>
        <sz val="10"/>
        <color rgb="FFFFFFFF"/>
        <name val="Calibri"/>
      </font>
      <fill>
        <patternFill patternType="solid">
          <fgColor indexed="64"/>
          <bgColor rgb="FF1F4E5F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ooyang/Downloads/Book1.xlsx" TargetMode="External"/><Relationship Id="rId2" Type="http://schemas.openxmlformats.org/officeDocument/2006/relationships/externalLinkPath" Target="https://ntums365-my.sharepoint.com/Users/ooyang/Downloads/Book1.xlsx" TargetMode="External"/><Relationship Id="rId1" Type="http://schemas.openxmlformats.org/officeDocument/2006/relationships/externalLinkPath" Target="/Users/ooyang/Downloads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ts list"/>
    </sheetNames>
    <sheetDataSet>
      <sheetData sheetId="0">
        <row r="4">
          <cell r="A4" t="str">
            <v>1 USB data port + digital power</v>
          </cell>
          <cell r="B4" t="str">
            <v>J101</v>
          </cell>
          <cell r="C4">
            <v>1</v>
          </cell>
          <cell r="K4" t="str">
            <v>Yes</v>
          </cell>
          <cell r="M4">
            <v>20</v>
          </cell>
          <cell r="O4" t="str">
            <v>Quote</v>
          </cell>
          <cell r="P4">
            <v>0.129</v>
          </cell>
        </row>
        <row r="5">
          <cell r="A5" t="str">
            <v>1 USB data port + digital power</v>
          </cell>
          <cell r="B5" t="str">
            <v>R101, R102</v>
          </cell>
          <cell r="C5">
            <v>2</v>
          </cell>
          <cell r="K5" t="str">
            <v>Yes</v>
          </cell>
          <cell r="M5">
            <v>2</v>
          </cell>
          <cell r="O5" t="str">
            <v>Estimate</v>
          </cell>
          <cell r="P5">
            <v>2E-3</v>
          </cell>
        </row>
        <row r="6">
          <cell r="A6" t="str">
            <v>1 USB data port + digital power</v>
          </cell>
          <cell r="B6" t="str">
            <v>R103</v>
          </cell>
          <cell r="C6">
            <v>1</v>
          </cell>
          <cell r="K6" t="str">
            <v>Yes</v>
          </cell>
          <cell r="M6">
            <v>2</v>
          </cell>
          <cell r="O6" t="str">
            <v>Estimate</v>
          </cell>
          <cell r="P6">
            <v>1.1999999999999999E-3</v>
          </cell>
        </row>
        <row r="7">
          <cell r="A7" t="str">
            <v>1 USB data port + digital power</v>
          </cell>
          <cell r="B7" t="str">
            <v>C101</v>
          </cell>
          <cell r="C7">
            <v>1</v>
          </cell>
          <cell r="K7" t="str">
            <v>Yes</v>
          </cell>
          <cell r="M7">
            <v>2</v>
          </cell>
          <cell r="O7" t="str">
            <v>Estimate</v>
          </cell>
          <cell r="P7">
            <v>2E-3</v>
          </cell>
        </row>
        <row r="8">
          <cell r="A8" t="str">
            <v>1 USB data port + digital power</v>
          </cell>
          <cell r="B8" t="str">
            <v>U101</v>
          </cell>
          <cell r="C8">
            <v>1</v>
          </cell>
          <cell r="K8" t="str">
            <v>Yes</v>
          </cell>
          <cell r="M8">
            <v>6</v>
          </cell>
          <cell r="O8" t="str">
            <v>Quote</v>
          </cell>
          <cell r="P8">
            <v>0.13</v>
          </cell>
        </row>
        <row r="9">
          <cell r="A9" t="str">
            <v>1 USB data port + digital power</v>
          </cell>
          <cell r="B9" t="str">
            <v>C102, C103</v>
          </cell>
          <cell r="C9">
            <v>2</v>
          </cell>
          <cell r="K9" t="str">
            <v>Yes</v>
          </cell>
          <cell r="M9">
            <v>2</v>
          </cell>
          <cell r="O9" t="str">
            <v>Estimate</v>
          </cell>
          <cell r="P9">
            <v>1.6E-2</v>
          </cell>
        </row>
        <row r="10">
          <cell r="A10" t="str">
            <v>1 USB data port + digital power</v>
          </cell>
          <cell r="B10" t="str">
            <v>U102</v>
          </cell>
          <cell r="C10">
            <v>1</v>
          </cell>
          <cell r="K10" t="str">
            <v>Yes</v>
          </cell>
          <cell r="M10">
            <v>5</v>
          </cell>
          <cell r="O10" t="str">
            <v>Quote</v>
          </cell>
          <cell r="P10">
            <v>6.3200000000000006E-2</v>
          </cell>
        </row>
        <row r="11">
          <cell r="A11" t="str">
            <v>1 USB data port + digital power</v>
          </cell>
          <cell r="B11" t="str">
            <v>L101</v>
          </cell>
          <cell r="C11">
            <v>1</v>
          </cell>
          <cell r="K11" t="str">
            <v>Yes</v>
          </cell>
          <cell r="M11">
            <v>2</v>
          </cell>
          <cell r="O11" t="str">
            <v>Quote</v>
          </cell>
          <cell r="P11">
            <v>0.06</v>
          </cell>
        </row>
        <row r="12">
          <cell r="A12" t="str">
            <v>1 USB data port + digital power</v>
          </cell>
          <cell r="B12" t="str">
            <v>C104</v>
          </cell>
          <cell r="C12">
            <v>1</v>
          </cell>
          <cell r="K12" t="str">
            <v>Yes</v>
          </cell>
          <cell r="M12">
            <v>2</v>
          </cell>
          <cell r="O12" t="str">
            <v>Estimate</v>
          </cell>
          <cell r="P12">
            <v>6.0000000000000001E-3</v>
          </cell>
        </row>
        <row r="13">
          <cell r="A13" t="str">
            <v>1 USB data port + digital power</v>
          </cell>
          <cell r="B13" t="str">
            <v>R104</v>
          </cell>
          <cell r="C13">
            <v>1</v>
          </cell>
          <cell r="K13" t="str">
            <v>Yes</v>
          </cell>
          <cell r="M13">
            <v>2</v>
          </cell>
          <cell r="O13" t="str">
            <v>Estimate</v>
          </cell>
          <cell r="P13">
            <v>1E-3</v>
          </cell>
        </row>
        <row r="14">
          <cell r="A14" t="str">
            <v>1 USB data port + digital power</v>
          </cell>
          <cell r="B14" t="str">
            <v>R105</v>
          </cell>
          <cell r="C14">
            <v>1</v>
          </cell>
          <cell r="K14" t="str">
            <v>Yes</v>
          </cell>
          <cell r="M14">
            <v>2</v>
          </cell>
          <cell r="O14" t="str">
            <v>Estimate</v>
          </cell>
          <cell r="P14">
            <v>1E-3</v>
          </cell>
        </row>
        <row r="15">
          <cell r="A15" t="str">
            <v>1 USB data port + digital power</v>
          </cell>
          <cell r="B15" t="str">
            <v>C105</v>
          </cell>
          <cell r="C15">
            <v>1</v>
          </cell>
          <cell r="K15" t="str">
            <v>DNF</v>
          </cell>
          <cell r="M15">
            <v>2</v>
          </cell>
          <cell r="O15" t="str">
            <v>Estimate</v>
          </cell>
          <cell r="P15">
            <v>0</v>
          </cell>
        </row>
        <row r="16">
          <cell r="A16" t="str">
            <v>1 USB data port + digital power</v>
          </cell>
          <cell r="B16" t="str">
            <v>U103</v>
          </cell>
          <cell r="C16">
            <v>1</v>
          </cell>
          <cell r="K16" t="str">
            <v>Yes</v>
          </cell>
          <cell r="M16">
            <v>4</v>
          </cell>
          <cell r="O16" t="str">
            <v>Quote</v>
          </cell>
          <cell r="P16">
            <v>0.17380000000000001</v>
          </cell>
        </row>
        <row r="17">
          <cell r="A17" t="str">
            <v>1 USB data port + digital power</v>
          </cell>
          <cell r="B17" t="str">
            <v>C106</v>
          </cell>
          <cell r="C17">
            <v>1</v>
          </cell>
          <cell r="K17" t="str">
            <v>Yes</v>
          </cell>
          <cell r="M17">
            <v>2</v>
          </cell>
          <cell r="O17" t="str">
            <v>Estimate</v>
          </cell>
          <cell r="P17">
            <v>0.06</v>
          </cell>
        </row>
        <row r="18">
          <cell r="A18" t="str">
            <v>1 USB data port + digital power</v>
          </cell>
          <cell r="B18" t="str">
            <v>C107</v>
          </cell>
          <cell r="C18">
            <v>1</v>
          </cell>
          <cell r="K18" t="str">
            <v>Yes</v>
          </cell>
          <cell r="M18">
            <v>2</v>
          </cell>
          <cell r="O18" t="str">
            <v>Estimate</v>
          </cell>
          <cell r="P18">
            <v>1.5E-3</v>
          </cell>
        </row>
        <row r="19">
          <cell r="A19" t="str">
            <v>1 USB data port + digital power</v>
          </cell>
          <cell r="B19" t="str">
            <v>U104, U105</v>
          </cell>
          <cell r="C19">
            <v>2</v>
          </cell>
          <cell r="K19" t="str">
            <v>Yes</v>
          </cell>
          <cell r="M19">
            <v>5</v>
          </cell>
          <cell r="O19" t="str">
            <v>Quote</v>
          </cell>
          <cell r="P19">
            <v>0.21779999999999999</v>
          </cell>
        </row>
        <row r="20">
          <cell r="A20" t="str">
            <v>1 USB data port + digital power</v>
          </cell>
          <cell r="B20" t="str">
            <v>C108–C111</v>
          </cell>
          <cell r="C20">
            <v>4</v>
          </cell>
          <cell r="K20" t="str">
            <v>Yes</v>
          </cell>
          <cell r="M20">
            <v>2</v>
          </cell>
          <cell r="O20" t="str">
            <v>Estimate</v>
          </cell>
          <cell r="P20">
            <v>1.2E-2</v>
          </cell>
        </row>
        <row r="21">
          <cell r="A21" t="str">
            <v>2 USB audio processor (XU316)</v>
          </cell>
          <cell r="B21" t="str">
            <v>U201</v>
          </cell>
          <cell r="C21">
            <v>1</v>
          </cell>
          <cell r="K21" t="str">
            <v>Yes</v>
          </cell>
          <cell r="L21" t="str">
            <v>Yes</v>
          </cell>
          <cell r="M21">
            <v>65</v>
          </cell>
          <cell r="O21" t="str">
            <v>Quote</v>
          </cell>
          <cell r="P21">
            <v>9.2058999999999997</v>
          </cell>
        </row>
        <row r="22">
          <cell r="A22" t="str">
            <v>2 USB audio processor (XU316)</v>
          </cell>
          <cell r="B22" t="str">
            <v>C201–C208</v>
          </cell>
          <cell r="C22">
            <v>8</v>
          </cell>
          <cell r="K22" t="str">
            <v>Yes</v>
          </cell>
          <cell r="M22">
            <v>2</v>
          </cell>
          <cell r="O22" t="str">
            <v>Estimate</v>
          </cell>
          <cell r="P22">
            <v>1.2E-2</v>
          </cell>
        </row>
        <row r="23">
          <cell r="A23" t="str">
            <v>2 USB audio processor (XU316)</v>
          </cell>
          <cell r="B23" t="str">
            <v>C209</v>
          </cell>
          <cell r="C23">
            <v>1</v>
          </cell>
          <cell r="K23" t="str">
            <v>Yes</v>
          </cell>
          <cell r="M23">
            <v>2</v>
          </cell>
          <cell r="O23" t="str">
            <v>Estimate</v>
          </cell>
          <cell r="P23">
            <v>6.0000000000000001E-3</v>
          </cell>
        </row>
        <row r="24">
          <cell r="A24" t="str">
            <v>2 USB audio processor (XU316)</v>
          </cell>
          <cell r="B24" t="str">
            <v>C210–C213</v>
          </cell>
          <cell r="C24">
            <v>4</v>
          </cell>
          <cell r="K24" t="str">
            <v>Yes</v>
          </cell>
          <cell r="M24">
            <v>2</v>
          </cell>
          <cell r="O24" t="str">
            <v>Estimate</v>
          </cell>
          <cell r="P24">
            <v>6.0000000000000001E-3</v>
          </cell>
        </row>
        <row r="25">
          <cell r="A25" t="str">
            <v>2 USB audio processor (XU316)</v>
          </cell>
          <cell r="B25" t="str">
            <v>C214</v>
          </cell>
          <cell r="C25">
            <v>1</v>
          </cell>
          <cell r="K25" t="str">
            <v>Yes</v>
          </cell>
          <cell r="M25">
            <v>2</v>
          </cell>
          <cell r="O25" t="str">
            <v>Estimate</v>
          </cell>
          <cell r="P25">
            <v>6.0000000000000001E-3</v>
          </cell>
        </row>
        <row r="26">
          <cell r="A26" t="str">
            <v>2 USB audio processor (XU316)</v>
          </cell>
          <cell r="B26" t="str">
            <v>C215, C216</v>
          </cell>
          <cell r="C26">
            <v>2</v>
          </cell>
          <cell r="K26" t="str">
            <v>Yes</v>
          </cell>
          <cell r="M26">
            <v>2</v>
          </cell>
          <cell r="O26" t="str">
            <v>Estimate</v>
          </cell>
          <cell r="P26">
            <v>3.0000000000000001E-3</v>
          </cell>
        </row>
        <row r="27">
          <cell r="A27" t="str">
            <v>2 USB audio processor (XU316)</v>
          </cell>
          <cell r="B27" t="str">
            <v>FB201</v>
          </cell>
          <cell r="C27">
            <v>1</v>
          </cell>
          <cell r="K27" t="str">
            <v>Yes</v>
          </cell>
          <cell r="M27">
            <v>2</v>
          </cell>
          <cell r="O27" t="str">
            <v>Quote</v>
          </cell>
          <cell r="P27">
            <v>2.58E-2</v>
          </cell>
        </row>
        <row r="28">
          <cell r="A28" t="str">
            <v>2 USB audio processor (XU316)</v>
          </cell>
          <cell r="B28" t="str">
            <v>C217</v>
          </cell>
          <cell r="C28">
            <v>1</v>
          </cell>
          <cell r="K28" t="str">
            <v>Yes</v>
          </cell>
          <cell r="M28">
            <v>2</v>
          </cell>
          <cell r="O28" t="str">
            <v>Estimate</v>
          </cell>
          <cell r="P28">
            <v>3.0000000000000001E-3</v>
          </cell>
        </row>
        <row r="29">
          <cell r="A29" t="str">
            <v>2 USB audio processor (XU316)</v>
          </cell>
          <cell r="B29" t="str">
            <v>Y201</v>
          </cell>
          <cell r="C29">
            <v>1</v>
          </cell>
          <cell r="K29" t="str">
            <v>Yes</v>
          </cell>
          <cell r="M29">
            <v>4</v>
          </cell>
          <cell r="O29" t="str">
            <v>Quote</v>
          </cell>
          <cell r="P29">
            <v>7.5899999999999995E-2</v>
          </cell>
        </row>
        <row r="30">
          <cell r="A30" t="str">
            <v>2 USB audio processor (XU316)</v>
          </cell>
          <cell r="B30" t="str">
            <v>C218, C219</v>
          </cell>
          <cell r="C30">
            <v>2</v>
          </cell>
          <cell r="K30" t="str">
            <v>Yes</v>
          </cell>
          <cell r="M30">
            <v>2</v>
          </cell>
          <cell r="O30" t="str">
            <v>Estimate</v>
          </cell>
          <cell r="P30">
            <v>3.0000000000000001E-3</v>
          </cell>
        </row>
        <row r="31">
          <cell r="A31" t="str">
            <v>2 USB audio processor (XU316)</v>
          </cell>
          <cell r="B31" t="str">
            <v>R201</v>
          </cell>
          <cell r="C31">
            <v>1</v>
          </cell>
          <cell r="K31" t="str">
            <v>Yes</v>
          </cell>
          <cell r="M31">
            <v>2</v>
          </cell>
          <cell r="O31" t="str">
            <v>Estimate</v>
          </cell>
          <cell r="P31">
            <v>1.1999999999999999E-3</v>
          </cell>
        </row>
        <row r="32">
          <cell r="A32" t="str">
            <v>2 USB audio processor (XU316)</v>
          </cell>
          <cell r="B32" t="str">
            <v>R202</v>
          </cell>
          <cell r="C32">
            <v>1</v>
          </cell>
          <cell r="K32" t="str">
            <v>Yes</v>
          </cell>
          <cell r="M32">
            <v>2</v>
          </cell>
          <cell r="O32" t="str">
            <v>Estimate</v>
          </cell>
          <cell r="P32">
            <v>1E-3</v>
          </cell>
        </row>
        <row r="33">
          <cell r="A33" t="str">
            <v>2 USB audio processor (XU316)</v>
          </cell>
          <cell r="B33" t="str">
            <v>U202</v>
          </cell>
          <cell r="C33">
            <v>1</v>
          </cell>
          <cell r="K33" t="str">
            <v>Yes</v>
          </cell>
          <cell r="M33">
            <v>8</v>
          </cell>
          <cell r="O33" t="str">
            <v>Quote</v>
          </cell>
          <cell r="P33">
            <v>1.1588000000000001</v>
          </cell>
        </row>
        <row r="34">
          <cell r="A34" t="str">
            <v>2 USB audio processor (XU316)</v>
          </cell>
          <cell r="B34" t="str">
            <v>C220</v>
          </cell>
          <cell r="C34">
            <v>1</v>
          </cell>
          <cell r="K34" t="str">
            <v>Yes</v>
          </cell>
          <cell r="M34">
            <v>2</v>
          </cell>
          <cell r="O34" t="str">
            <v>Estimate</v>
          </cell>
          <cell r="P34">
            <v>1.5E-3</v>
          </cell>
        </row>
        <row r="35">
          <cell r="A35" t="str">
            <v>2 USB audio processor (XU316)</v>
          </cell>
          <cell r="B35" t="str">
            <v>R203</v>
          </cell>
          <cell r="C35">
            <v>1</v>
          </cell>
          <cell r="K35" t="str">
            <v>Yes</v>
          </cell>
          <cell r="M35">
            <v>2</v>
          </cell>
          <cell r="O35" t="str">
            <v>Estimate</v>
          </cell>
          <cell r="P35">
            <v>1E-3</v>
          </cell>
        </row>
        <row r="36">
          <cell r="A36" t="str">
            <v>2 USB audio processor (XU316)</v>
          </cell>
          <cell r="B36" t="str">
            <v>R204</v>
          </cell>
          <cell r="C36">
            <v>1</v>
          </cell>
          <cell r="K36" t="str">
            <v>Yes</v>
          </cell>
          <cell r="M36">
            <v>2</v>
          </cell>
          <cell r="O36" t="str">
            <v>Estimate</v>
          </cell>
          <cell r="P36">
            <v>1E-3</v>
          </cell>
        </row>
        <row r="37">
          <cell r="A37" t="str">
            <v>2 USB audio processor (XU316)</v>
          </cell>
          <cell r="B37" t="str">
            <v>J201</v>
          </cell>
          <cell r="C37">
            <v>1</v>
          </cell>
          <cell r="K37" t="str">
            <v>Prototypes only</v>
          </cell>
          <cell r="M37">
            <v>10</v>
          </cell>
          <cell r="O37" t="str">
            <v>Estimate</v>
          </cell>
          <cell r="P37">
            <v>0</v>
          </cell>
        </row>
        <row r="38">
          <cell r="A38" t="str">
            <v>3 Clocks</v>
          </cell>
          <cell r="B38" t="str">
            <v>X301</v>
          </cell>
          <cell r="C38">
            <v>1</v>
          </cell>
          <cell r="K38" t="str">
            <v>Yes</v>
          </cell>
          <cell r="L38" t="str">
            <v>Yes</v>
          </cell>
          <cell r="M38">
            <v>4</v>
          </cell>
          <cell r="O38" t="str">
            <v>Quote</v>
          </cell>
          <cell r="P38">
            <v>0.873</v>
          </cell>
        </row>
        <row r="39">
          <cell r="A39" t="str">
            <v>3 Clocks</v>
          </cell>
          <cell r="B39" t="str">
            <v>X302</v>
          </cell>
          <cell r="C39">
            <v>1</v>
          </cell>
          <cell r="K39" t="str">
            <v>Yes</v>
          </cell>
          <cell r="L39" t="str">
            <v>Yes</v>
          </cell>
          <cell r="M39">
            <v>4</v>
          </cell>
          <cell r="O39" t="str">
            <v>Quote</v>
          </cell>
          <cell r="P39">
            <v>0.88300000000000001</v>
          </cell>
        </row>
        <row r="40">
          <cell r="A40" t="str">
            <v>3 Clocks</v>
          </cell>
          <cell r="B40" t="str">
            <v>FB301</v>
          </cell>
          <cell r="C40">
            <v>1</v>
          </cell>
          <cell r="K40" t="str">
            <v>Yes</v>
          </cell>
          <cell r="M40">
            <v>2</v>
          </cell>
          <cell r="O40" t="str">
            <v>Quote</v>
          </cell>
          <cell r="P40">
            <v>2.58E-2</v>
          </cell>
        </row>
        <row r="41">
          <cell r="A41" t="str">
            <v>3 Clocks</v>
          </cell>
          <cell r="B41" t="str">
            <v>C301</v>
          </cell>
          <cell r="C41">
            <v>1</v>
          </cell>
          <cell r="K41" t="str">
            <v>Yes</v>
          </cell>
          <cell r="M41">
            <v>2</v>
          </cell>
          <cell r="O41" t="str">
            <v>Estimate</v>
          </cell>
          <cell r="P41">
            <v>3.0000000000000001E-3</v>
          </cell>
        </row>
        <row r="42">
          <cell r="A42" t="str">
            <v>3 Clocks</v>
          </cell>
          <cell r="B42" t="str">
            <v>C302, C303</v>
          </cell>
          <cell r="C42">
            <v>2</v>
          </cell>
          <cell r="K42" t="str">
            <v>Yes</v>
          </cell>
          <cell r="M42">
            <v>2</v>
          </cell>
          <cell r="O42" t="str">
            <v>Estimate</v>
          </cell>
          <cell r="P42">
            <v>3.0000000000000001E-3</v>
          </cell>
        </row>
        <row r="43">
          <cell r="A43" t="str">
            <v>3 Clocks</v>
          </cell>
          <cell r="B43" t="str">
            <v>R301, R302</v>
          </cell>
          <cell r="C43">
            <v>2</v>
          </cell>
          <cell r="K43" t="str">
            <v>Yes</v>
          </cell>
          <cell r="M43">
            <v>2</v>
          </cell>
          <cell r="O43" t="str">
            <v>Estimate</v>
          </cell>
          <cell r="P43">
            <v>2E-3</v>
          </cell>
        </row>
        <row r="44">
          <cell r="A44" t="str">
            <v>3 Clocks</v>
          </cell>
          <cell r="B44" t="str">
            <v>R303, R304</v>
          </cell>
          <cell r="C44">
            <v>2</v>
          </cell>
          <cell r="K44" t="str">
            <v>Yes</v>
          </cell>
          <cell r="M44">
            <v>2</v>
          </cell>
          <cell r="O44" t="str">
            <v>Estimate</v>
          </cell>
          <cell r="P44">
            <v>2E-3</v>
          </cell>
        </row>
        <row r="45">
          <cell r="A45" t="str">
            <v>3 Clocks</v>
          </cell>
          <cell r="B45" t="str">
            <v>R305</v>
          </cell>
          <cell r="C45">
            <v>1</v>
          </cell>
          <cell r="K45" t="str">
            <v>Yes</v>
          </cell>
          <cell r="M45">
            <v>2</v>
          </cell>
          <cell r="O45" t="str">
            <v>Estimate</v>
          </cell>
          <cell r="P45">
            <v>1E-3</v>
          </cell>
        </row>
        <row r="46">
          <cell r="A46" t="str">
            <v>3 Clocks</v>
          </cell>
          <cell r="B46" t="str">
            <v>R306</v>
          </cell>
          <cell r="C46">
            <v>1</v>
          </cell>
          <cell r="K46" t="str">
            <v>Yes</v>
          </cell>
          <cell r="M46">
            <v>2</v>
          </cell>
          <cell r="O46" t="str">
            <v>Estimate</v>
          </cell>
          <cell r="P46">
            <v>1E-3</v>
          </cell>
        </row>
        <row r="47">
          <cell r="A47" t="str">
            <v>4 DAC (AK4493SEQ)</v>
          </cell>
          <cell r="B47" t="str">
            <v>U401</v>
          </cell>
          <cell r="C47">
            <v>1</v>
          </cell>
          <cell r="K47" t="str">
            <v>Yes</v>
          </cell>
          <cell r="M47">
            <v>48</v>
          </cell>
          <cell r="O47" t="str">
            <v>Quote</v>
          </cell>
          <cell r="P47">
            <v>6.08</v>
          </cell>
        </row>
        <row r="48">
          <cell r="A48" t="str">
            <v>4 DAC (AK4493SEQ)</v>
          </cell>
          <cell r="B48" t="str">
            <v>R401, R402</v>
          </cell>
          <cell r="C48">
            <v>2</v>
          </cell>
          <cell r="K48" t="str">
            <v>Yes</v>
          </cell>
          <cell r="M48">
            <v>2</v>
          </cell>
          <cell r="O48" t="str">
            <v>Estimate</v>
          </cell>
          <cell r="P48">
            <v>2.3999999999999998E-3</v>
          </cell>
        </row>
        <row r="49">
          <cell r="A49" t="str">
            <v>4 DAC (AK4493SEQ)</v>
          </cell>
          <cell r="B49" t="str">
            <v>C401, C403, C406</v>
          </cell>
          <cell r="C49">
            <v>3</v>
          </cell>
          <cell r="K49" t="str">
            <v>Yes</v>
          </cell>
          <cell r="M49">
            <v>2</v>
          </cell>
          <cell r="O49" t="str">
            <v>Estimate</v>
          </cell>
          <cell r="P49">
            <v>4.5000000000000005E-3</v>
          </cell>
        </row>
        <row r="50">
          <cell r="A50" t="str">
            <v>4 DAC (AK4493SEQ)</v>
          </cell>
          <cell r="B50" t="str">
            <v>C402, C404</v>
          </cell>
          <cell r="C50">
            <v>2</v>
          </cell>
          <cell r="K50" t="str">
            <v>Yes</v>
          </cell>
          <cell r="M50">
            <v>2</v>
          </cell>
          <cell r="O50" t="str">
            <v>Estimate</v>
          </cell>
          <cell r="P50">
            <v>1.2E-2</v>
          </cell>
        </row>
        <row r="51">
          <cell r="A51" t="str">
            <v>4 DAC (AK4493SEQ)</v>
          </cell>
          <cell r="B51" t="str">
            <v>C405</v>
          </cell>
          <cell r="C51">
            <v>1</v>
          </cell>
          <cell r="K51" t="str">
            <v>Yes</v>
          </cell>
          <cell r="M51">
            <v>2</v>
          </cell>
          <cell r="O51" t="str">
            <v>Estimate</v>
          </cell>
          <cell r="P51">
            <v>3.0000000000000001E-3</v>
          </cell>
        </row>
        <row r="52">
          <cell r="A52" t="str">
            <v>4 DAC (AK4493SEQ)</v>
          </cell>
          <cell r="B52" t="str">
            <v>C407, C409</v>
          </cell>
          <cell r="C52">
            <v>2</v>
          </cell>
          <cell r="K52" t="str">
            <v>Yes</v>
          </cell>
          <cell r="M52">
            <v>2</v>
          </cell>
          <cell r="O52" t="str">
            <v>Estimate</v>
          </cell>
          <cell r="P52">
            <v>5.0000000000000001E-3</v>
          </cell>
        </row>
        <row r="53">
          <cell r="A53" t="str">
            <v>4 DAC (AK4493SEQ)</v>
          </cell>
          <cell r="B53" t="str">
            <v>C408, C410</v>
          </cell>
          <cell r="C53">
            <v>2</v>
          </cell>
          <cell r="K53" t="str">
            <v>Yes</v>
          </cell>
          <cell r="M53">
            <v>2</v>
          </cell>
          <cell r="O53" t="str">
            <v>Estimate</v>
          </cell>
          <cell r="P53">
            <v>2.4E-2</v>
          </cell>
        </row>
        <row r="54">
          <cell r="A54" t="str">
            <v>4 DAC (AK4493SEQ)</v>
          </cell>
          <cell r="B54" t="str">
            <v>R403, R404</v>
          </cell>
          <cell r="C54">
            <v>2</v>
          </cell>
          <cell r="K54" t="str">
            <v>Yes</v>
          </cell>
          <cell r="M54">
            <v>2</v>
          </cell>
          <cell r="O54" t="str">
            <v>Estimate</v>
          </cell>
          <cell r="P54">
            <v>2.3999999999999998E-3</v>
          </cell>
        </row>
        <row r="55">
          <cell r="A55" t="str">
            <v>4 DAC (AK4493SEQ)</v>
          </cell>
          <cell r="B55" t="str">
            <v>C411, C413</v>
          </cell>
          <cell r="C55">
            <v>2</v>
          </cell>
          <cell r="K55" t="str">
            <v>Yes</v>
          </cell>
          <cell r="M55">
            <v>2</v>
          </cell>
          <cell r="O55" t="str">
            <v>Estimate</v>
          </cell>
          <cell r="P55">
            <v>5.0000000000000001E-3</v>
          </cell>
        </row>
        <row r="56">
          <cell r="A56" t="str">
            <v>4 DAC (AK4493SEQ)</v>
          </cell>
          <cell r="B56" t="str">
            <v>C412, C414</v>
          </cell>
          <cell r="C56">
            <v>2</v>
          </cell>
          <cell r="K56" t="str">
            <v>Yes</v>
          </cell>
          <cell r="M56">
            <v>2</v>
          </cell>
          <cell r="O56" t="str">
            <v>Estimate</v>
          </cell>
          <cell r="P56">
            <v>0.1</v>
          </cell>
        </row>
        <row r="57">
          <cell r="A57" t="str">
            <v>4 DAC (AK4493SEQ)</v>
          </cell>
          <cell r="B57" t="str">
            <v>R405, R406</v>
          </cell>
          <cell r="C57">
            <v>2</v>
          </cell>
          <cell r="K57" t="str">
            <v>Yes</v>
          </cell>
          <cell r="M57">
            <v>2</v>
          </cell>
          <cell r="O57" t="str">
            <v>Estimate</v>
          </cell>
          <cell r="P57">
            <v>2E-3</v>
          </cell>
        </row>
        <row r="58">
          <cell r="A58" t="str">
            <v>4 DAC (AK4493SEQ)</v>
          </cell>
          <cell r="B58" t="str">
            <v>C415, C416</v>
          </cell>
          <cell r="C58">
            <v>2</v>
          </cell>
          <cell r="K58" t="str">
            <v>Yes</v>
          </cell>
          <cell r="M58">
            <v>2</v>
          </cell>
          <cell r="O58" t="str">
            <v>Estimate</v>
          </cell>
          <cell r="P58">
            <v>2.4E-2</v>
          </cell>
        </row>
        <row r="59">
          <cell r="A59" t="str">
            <v>4 DAC (AK4493SEQ)</v>
          </cell>
          <cell r="B59" t="str">
            <v>R407, R408</v>
          </cell>
          <cell r="C59">
            <v>2</v>
          </cell>
          <cell r="K59" t="str">
            <v>Yes</v>
          </cell>
          <cell r="M59">
            <v>2</v>
          </cell>
          <cell r="O59" t="str">
            <v>Estimate</v>
          </cell>
          <cell r="P59">
            <v>2E-3</v>
          </cell>
        </row>
        <row r="60">
          <cell r="A60" t="str">
            <v>4 DAC (AK4493SEQ)</v>
          </cell>
          <cell r="B60" t="str">
            <v>R409</v>
          </cell>
          <cell r="C60">
            <v>1</v>
          </cell>
          <cell r="K60" t="str">
            <v>Yes</v>
          </cell>
          <cell r="M60">
            <v>2</v>
          </cell>
          <cell r="O60" t="str">
            <v>Estimate</v>
          </cell>
          <cell r="P60">
            <v>1E-3</v>
          </cell>
        </row>
        <row r="61">
          <cell r="A61" t="str">
            <v>4 DAC (AK4493SEQ)</v>
          </cell>
          <cell r="B61" t="str">
            <v>R410–R412</v>
          </cell>
          <cell r="C61">
            <v>3</v>
          </cell>
          <cell r="K61" t="str">
            <v>Yes</v>
          </cell>
          <cell r="M61">
            <v>2</v>
          </cell>
          <cell r="O61" t="str">
            <v>Estimate</v>
          </cell>
          <cell r="P61">
            <v>3.0000000000000001E-3</v>
          </cell>
        </row>
        <row r="62">
          <cell r="A62" t="str">
            <v>5 DAC interface + stage 1</v>
          </cell>
          <cell r="B62" t="str">
            <v>R501–R504</v>
          </cell>
          <cell r="C62">
            <v>4</v>
          </cell>
          <cell r="K62" t="str">
            <v>Yes</v>
          </cell>
          <cell r="M62">
            <v>2</v>
          </cell>
          <cell r="O62" t="str">
            <v>Estimate</v>
          </cell>
          <cell r="P62">
            <v>0.12</v>
          </cell>
        </row>
        <row r="63">
          <cell r="A63" t="str">
            <v>5 DAC interface + stage 1</v>
          </cell>
          <cell r="B63" t="str">
            <v>C501, C502</v>
          </cell>
          <cell r="C63">
            <v>2</v>
          </cell>
          <cell r="K63" t="str">
            <v>Yes</v>
          </cell>
          <cell r="M63">
            <v>2</v>
          </cell>
          <cell r="O63" t="str">
            <v>Estimate</v>
          </cell>
          <cell r="P63">
            <v>8.0000000000000002E-3</v>
          </cell>
        </row>
        <row r="64">
          <cell r="A64" t="str">
            <v>5 DAC interface + stage 1</v>
          </cell>
          <cell r="B64" t="str">
            <v>C503–C506</v>
          </cell>
          <cell r="C64">
            <v>4</v>
          </cell>
          <cell r="K64" t="str">
            <v>Yes</v>
          </cell>
          <cell r="M64">
            <v>2</v>
          </cell>
          <cell r="O64" t="str">
            <v>Estimate</v>
          </cell>
          <cell r="P64">
            <v>0.12</v>
          </cell>
        </row>
        <row r="65">
          <cell r="A65" t="str">
            <v>5 DAC interface + stage 1</v>
          </cell>
          <cell r="B65" t="str">
            <v>R505–R508</v>
          </cell>
          <cell r="C65">
            <v>4</v>
          </cell>
          <cell r="K65" t="str">
            <v>Yes</v>
          </cell>
          <cell r="M65">
            <v>2</v>
          </cell>
          <cell r="O65" t="str">
            <v>Estimate</v>
          </cell>
          <cell r="P65">
            <v>0.12</v>
          </cell>
        </row>
        <row r="66">
          <cell r="A66" t="str">
            <v>5 DAC interface + stage 1</v>
          </cell>
          <cell r="B66" t="str">
            <v>R509–R516</v>
          </cell>
          <cell r="C66">
            <v>8</v>
          </cell>
          <cell r="K66" t="str">
            <v>Yes</v>
          </cell>
          <cell r="M66">
            <v>2</v>
          </cell>
          <cell r="O66" t="str">
            <v>Estimate</v>
          </cell>
          <cell r="P66">
            <v>0.24</v>
          </cell>
        </row>
        <row r="67">
          <cell r="A67" t="str">
            <v>5 DAC interface + stage 1</v>
          </cell>
          <cell r="B67" t="str">
            <v>C507–C510</v>
          </cell>
          <cell r="C67">
            <v>4</v>
          </cell>
          <cell r="K67" t="str">
            <v>Yes</v>
          </cell>
          <cell r="M67">
            <v>2</v>
          </cell>
          <cell r="O67" t="str">
            <v>Estimate</v>
          </cell>
          <cell r="P67">
            <v>1.6E-2</v>
          </cell>
        </row>
        <row r="68">
          <cell r="A68" t="str">
            <v>5 DAC interface + stage 1</v>
          </cell>
          <cell r="B68" t="str">
            <v>U501</v>
          </cell>
          <cell r="C68">
            <v>1</v>
          </cell>
          <cell r="K68" t="str">
            <v>Yes</v>
          </cell>
          <cell r="M68">
            <v>8</v>
          </cell>
          <cell r="O68" t="str">
            <v>Quote</v>
          </cell>
          <cell r="P68">
            <v>0.87660000000000005</v>
          </cell>
        </row>
        <row r="69">
          <cell r="A69" t="str">
            <v>5 DAC interface + stage 1</v>
          </cell>
          <cell r="B69" t="str">
            <v>C511, C512</v>
          </cell>
          <cell r="C69">
            <v>2</v>
          </cell>
          <cell r="K69" t="str">
            <v>Yes</v>
          </cell>
          <cell r="M69">
            <v>2</v>
          </cell>
          <cell r="O69" t="str">
            <v>Estimate</v>
          </cell>
          <cell r="P69">
            <v>5.0000000000000001E-3</v>
          </cell>
        </row>
        <row r="70">
          <cell r="A70" t="str">
            <v>5 DAC interface + stage 1</v>
          </cell>
          <cell r="B70" t="str">
            <v>C513, C514</v>
          </cell>
          <cell r="C70">
            <v>2</v>
          </cell>
          <cell r="K70" t="str">
            <v>Yes</v>
          </cell>
          <cell r="M70">
            <v>2</v>
          </cell>
          <cell r="O70" t="str">
            <v>Estimate</v>
          </cell>
          <cell r="P70">
            <v>2.4E-2</v>
          </cell>
        </row>
        <row r="71">
          <cell r="A71" t="str">
            <v>6 Output stage (4 legs) + gain switch</v>
          </cell>
          <cell r="B71" t="str">
            <v>U601–U604</v>
          </cell>
          <cell r="C71">
            <v>4</v>
          </cell>
          <cell r="K71" t="str">
            <v>Yes</v>
          </cell>
          <cell r="L71" t="str">
            <v>Yes</v>
          </cell>
          <cell r="M71">
            <v>11</v>
          </cell>
          <cell r="O71" t="str">
            <v>Quote</v>
          </cell>
          <cell r="P71">
            <v>8.4431999999999992</v>
          </cell>
        </row>
        <row r="72">
          <cell r="A72" t="str">
            <v>6 Output stage (4 legs) + gain switch</v>
          </cell>
          <cell r="B72" t="str">
            <v>R601, R602</v>
          </cell>
          <cell r="C72">
            <v>2</v>
          </cell>
          <cell r="K72" t="str">
            <v>Yes</v>
          </cell>
          <cell r="M72">
            <v>2</v>
          </cell>
          <cell r="O72" t="str">
            <v>Estimate</v>
          </cell>
          <cell r="P72">
            <v>0.06</v>
          </cell>
        </row>
        <row r="73">
          <cell r="A73" t="str">
            <v>6 Output stage (4 legs) + gain switch</v>
          </cell>
          <cell r="B73" t="str">
            <v>R603, R604</v>
          </cell>
          <cell r="C73">
            <v>2</v>
          </cell>
          <cell r="K73" t="str">
            <v>Yes</v>
          </cell>
          <cell r="M73">
            <v>2</v>
          </cell>
          <cell r="O73" t="str">
            <v>Estimate</v>
          </cell>
          <cell r="P73">
            <v>0.06</v>
          </cell>
        </row>
        <row r="74">
          <cell r="A74" t="str">
            <v>6 Output stage (4 legs) + gain switch</v>
          </cell>
          <cell r="B74" t="str">
            <v>C601, C602</v>
          </cell>
          <cell r="C74">
            <v>2</v>
          </cell>
          <cell r="K74" t="str">
            <v>Yes</v>
          </cell>
          <cell r="M74">
            <v>2</v>
          </cell>
          <cell r="O74" t="str">
            <v>Estimate</v>
          </cell>
          <cell r="P74">
            <v>8.0000000000000002E-3</v>
          </cell>
        </row>
        <row r="75">
          <cell r="A75" t="str">
            <v>6 Output stage (4 legs) + gain switch</v>
          </cell>
          <cell r="B75" t="str">
            <v>R605–R608</v>
          </cell>
          <cell r="C75">
            <v>4</v>
          </cell>
          <cell r="K75" t="str">
            <v>Yes</v>
          </cell>
          <cell r="M75">
            <v>2</v>
          </cell>
          <cell r="O75" t="str">
            <v>Estimate</v>
          </cell>
          <cell r="P75">
            <v>0.12</v>
          </cell>
        </row>
        <row r="76">
          <cell r="A76" t="str">
            <v>6 Output stage (4 legs) + gain switch</v>
          </cell>
          <cell r="B76" t="str">
            <v>R609, R610</v>
          </cell>
          <cell r="C76">
            <v>2</v>
          </cell>
          <cell r="K76" t="str">
            <v>Yes</v>
          </cell>
          <cell r="M76">
            <v>2</v>
          </cell>
          <cell r="O76" t="str">
            <v>Estimate</v>
          </cell>
          <cell r="P76">
            <v>2.3999999999999998E-3</v>
          </cell>
        </row>
        <row r="77">
          <cell r="A77" t="str">
            <v>6 Output stage (4 legs) + gain switch</v>
          </cell>
          <cell r="B77" t="str">
            <v>C603, C604</v>
          </cell>
          <cell r="C77">
            <v>2</v>
          </cell>
          <cell r="K77" t="str">
            <v>Yes</v>
          </cell>
          <cell r="M77">
            <v>2</v>
          </cell>
          <cell r="O77" t="str">
            <v>Estimate</v>
          </cell>
          <cell r="P77">
            <v>3.0000000000000001E-3</v>
          </cell>
        </row>
        <row r="78">
          <cell r="A78" t="str">
            <v>6 Output stage (4 legs) + gain switch</v>
          </cell>
          <cell r="B78" t="str">
            <v>R611–R618</v>
          </cell>
          <cell r="C78">
            <v>8</v>
          </cell>
          <cell r="K78" t="str">
            <v>Yes</v>
          </cell>
          <cell r="M78">
            <v>2</v>
          </cell>
          <cell r="O78" t="str">
            <v>Estimate</v>
          </cell>
          <cell r="P78">
            <v>0.04</v>
          </cell>
        </row>
        <row r="79">
          <cell r="A79" t="str">
            <v>6 Output stage (4 legs) + gain switch</v>
          </cell>
          <cell r="B79" t="str">
            <v>R619–R626</v>
          </cell>
          <cell r="C79">
            <v>8</v>
          </cell>
          <cell r="K79" t="str">
            <v>Yes</v>
          </cell>
          <cell r="M79">
            <v>2</v>
          </cell>
          <cell r="O79" t="str">
            <v>Estimate</v>
          </cell>
          <cell r="P79">
            <v>6.4000000000000003E-3</v>
          </cell>
        </row>
        <row r="80">
          <cell r="A80" t="str">
            <v>6 Output stage (4 legs) + gain switch</v>
          </cell>
          <cell r="B80" t="str">
            <v>R627–R634</v>
          </cell>
          <cell r="C80">
            <v>8</v>
          </cell>
          <cell r="K80" t="str">
            <v>DNF</v>
          </cell>
          <cell r="M80">
            <v>2</v>
          </cell>
          <cell r="O80" t="str">
            <v>Estimate</v>
          </cell>
          <cell r="P80">
            <v>0</v>
          </cell>
        </row>
        <row r="81">
          <cell r="A81" t="str">
            <v>6 Output stage (4 legs) + gain switch</v>
          </cell>
          <cell r="B81" t="str">
            <v>C605–C612</v>
          </cell>
          <cell r="C81">
            <v>8</v>
          </cell>
          <cell r="K81" t="str">
            <v>Yes</v>
          </cell>
          <cell r="M81">
            <v>2</v>
          </cell>
          <cell r="O81" t="str">
            <v>Estimate</v>
          </cell>
          <cell r="P81">
            <v>0.02</v>
          </cell>
        </row>
        <row r="82">
          <cell r="A82" t="str">
            <v>6 Output stage (4 legs) + gain switch</v>
          </cell>
          <cell r="B82" t="str">
            <v>C613–C620</v>
          </cell>
          <cell r="C82">
            <v>8</v>
          </cell>
          <cell r="K82" t="str">
            <v>Yes</v>
          </cell>
          <cell r="M82">
            <v>2</v>
          </cell>
          <cell r="O82" t="str">
            <v>Estimate</v>
          </cell>
          <cell r="P82">
            <v>9.6000000000000002E-2</v>
          </cell>
        </row>
        <row r="83">
          <cell r="A83" t="str">
            <v>6 Output stage (4 legs) + gain switch</v>
          </cell>
          <cell r="B83" t="str">
            <v>C621, C622</v>
          </cell>
          <cell r="C83">
            <v>2</v>
          </cell>
          <cell r="K83" t="str">
            <v>Yes</v>
          </cell>
          <cell r="M83">
            <v>2</v>
          </cell>
          <cell r="O83" t="str">
            <v>Estimate</v>
          </cell>
          <cell r="P83">
            <v>0.1</v>
          </cell>
        </row>
        <row r="84">
          <cell r="A84" t="str">
            <v>6 Output stage (4 legs) + gain switch</v>
          </cell>
          <cell r="B84" t="str">
            <v>SW601</v>
          </cell>
          <cell r="C84">
            <v>1</v>
          </cell>
          <cell r="K84" t="str">
            <v>Yes</v>
          </cell>
          <cell r="M84">
            <v>8</v>
          </cell>
          <cell r="O84" t="str">
            <v>Quote</v>
          </cell>
          <cell r="P84">
            <v>9.5799999999999996E-2</v>
          </cell>
        </row>
        <row r="85">
          <cell r="A85" t="str">
            <v>6 Output stage (4 legs) + gain switch</v>
          </cell>
          <cell r="B85" t="str">
            <v>R635–R638</v>
          </cell>
          <cell r="C85">
            <v>4</v>
          </cell>
          <cell r="K85" t="str">
            <v>DNF</v>
          </cell>
          <cell r="M85">
            <v>2</v>
          </cell>
          <cell r="O85" t="str">
            <v>Estimate</v>
          </cell>
          <cell r="P85">
            <v>0</v>
          </cell>
        </row>
        <row r="86">
          <cell r="A86" t="str">
            <v>6 Output stage (4 legs) + gain switch</v>
          </cell>
          <cell r="B86" t="str">
            <v>C623–C626</v>
          </cell>
          <cell r="C86">
            <v>4</v>
          </cell>
          <cell r="K86" t="str">
            <v>DNF</v>
          </cell>
          <cell r="M86">
            <v>2</v>
          </cell>
          <cell r="O86" t="str">
            <v>Estimate</v>
          </cell>
          <cell r="P86">
            <v>0</v>
          </cell>
        </row>
        <row r="87">
          <cell r="A87" t="str">
            <v>6 Output stage (4 legs) + gain switch</v>
          </cell>
          <cell r="B87" t="str">
            <v>U605 + RC</v>
          </cell>
          <cell r="C87">
            <v>1</v>
          </cell>
          <cell r="K87" t="str">
            <v>DNF</v>
          </cell>
          <cell r="M87">
            <v>0</v>
          </cell>
          <cell r="O87" t="str">
            <v>Estimate</v>
          </cell>
          <cell r="P87">
            <v>0</v>
          </cell>
        </row>
        <row r="88">
          <cell r="A88" t="str">
            <v>7 Protection, relays, amplifier enable</v>
          </cell>
          <cell r="B88" t="str">
            <v>U701</v>
          </cell>
          <cell r="C88">
            <v>1</v>
          </cell>
          <cell r="K88" t="str">
            <v>Yes</v>
          </cell>
          <cell r="M88">
            <v>14</v>
          </cell>
          <cell r="O88" t="str">
            <v>Quote</v>
          </cell>
          <cell r="P88">
            <v>0.1358</v>
          </cell>
        </row>
        <row r="89">
          <cell r="A89" t="str">
            <v>7 Protection, relays, amplifier enable</v>
          </cell>
          <cell r="B89" t="str">
            <v>C701, C702</v>
          </cell>
          <cell r="C89">
            <v>2</v>
          </cell>
          <cell r="K89" t="str">
            <v>Yes</v>
          </cell>
          <cell r="M89">
            <v>2</v>
          </cell>
          <cell r="O89" t="str">
            <v>Estimate</v>
          </cell>
          <cell r="P89">
            <v>5.0000000000000001E-3</v>
          </cell>
        </row>
        <row r="90">
          <cell r="A90" t="str">
            <v>7 Protection, relays, amplifier enable</v>
          </cell>
          <cell r="B90" t="str">
            <v>R701–R704</v>
          </cell>
          <cell r="C90">
            <v>4</v>
          </cell>
          <cell r="K90" t="str">
            <v>Yes</v>
          </cell>
          <cell r="M90">
            <v>2</v>
          </cell>
          <cell r="O90" t="str">
            <v>Estimate</v>
          </cell>
          <cell r="P90">
            <v>4.0000000000000001E-3</v>
          </cell>
        </row>
        <row r="91">
          <cell r="A91" t="str">
            <v>7 Protection, relays, amplifier enable</v>
          </cell>
          <cell r="B91" t="str">
            <v>C703–C706</v>
          </cell>
          <cell r="C91">
            <v>4</v>
          </cell>
          <cell r="K91" t="str">
            <v>Yes</v>
          </cell>
          <cell r="M91">
            <v>2</v>
          </cell>
          <cell r="O91" t="str">
            <v>Estimate</v>
          </cell>
          <cell r="P91">
            <v>0.02</v>
          </cell>
        </row>
        <row r="92">
          <cell r="A92" t="str">
            <v>7 Protection, relays, amplifier enable</v>
          </cell>
          <cell r="B92" t="str">
            <v>D701–D704</v>
          </cell>
          <cell r="C92">
            <v>4</v>
          </cell>
          <cell r="K92" t="str">
            <v>Yes</v>
          </cell>
          <cell r="M92">
            <v>3</v>
          </cell>
          <cell r="O92" t="str">
            <v>Estimate</v>
          </cell>
          <cell r="P92">
            <v>2.4E-2</v>
          </cell>
        </row>
        <row r="93">
          <cell r="A93" t="str">
            <v>7 Protection, relays, amplifier enable</v>
          </cell>
          <cell r="B93" t="str">
            <v>R705, R706</v>
          </cell>
          <cell r="C93">
            <v>2</v>
          </cell>
          <cell r="K93" t="str">
            <v>Yes</v>
          </cell>
          <cell r="M93">
            <v>2</v>
          </cell>
          <cell r="O93" t="str">
            <v>Estimate</v>
          </cell>
          <cell r="P93">
            <v>2.3999999999999998E-3</v>
          </cell>
        </row>
        <row r="94">
          <cell r="A94" t="str">
            <v>7 Protection, relays, amplifier enable</v>
          </cell>
          <cell r="B94" t="str">
            <v>R707, R709</v>
          </cell>
          <cell r="C94">
            <v>2</v>
          </cell>
          <cell r="K94" t="str">
            <v>Yes</v>
          </cell>
          <cell r="M94">
            <v>2</v>
          </cell>
          <cell r="O94" t="str">
            <v>Estimate</v>
          </cell>
          <cell r="P94">
            <v>2E-3</v>
          </cell>
        </row>
        <row r="95">
          <cell r="A95" t="str">
            <v>7 Protection, relays, amplifier enable</v>
          </cell>
          <cell r="B95" t="str">
            <v>R708, R710</v>
          </cell>
          <cell r="C95">
            <v>2</v>
          </cell>
          <cell r="K95" t="str">
            <v>Yes</v>
          </cell>
          <cell r="M95">
            <v>2</v>
          </cell>
          <cell r="O95" t="str">
            <v>Estimate</v>
          </cell>
          <cell r="P95">
            <v>2E-3</v>
          </cell>
        </row>
        <row r="96">
          <cell r="A96" t="str">
            <v>7 Protection, relays, amplifier enable</v>
          </cell>
          <cell r="B96" t="str">
            <v>C707, C708</v>
          </cell>
          <cell r="C96">
            <v>2</v>
          </cell>
          <cell r="K96" t="str">
            <v>Yes</v>
          </cell>
          <cell r="M96">
            <v>2</v>
          </cell>
          <cell r="O96" t="str">
            <v>Estimate</v>
          </cell>
          <cell r="P96">
            <v>5.0000000000000001E-3</v>
          </cell>
        </row>
        <row r="97">
          <cell r="A97" t="str">
            <v>7 Protection, relays, amplifier enable</v>
          </cell>
          <cell r="B97" t="str">
            <v>R711</v>
          </cell>
          <cell r="C97">
            <v>1</v>
          </cell>
          <cell r="K97" t="str">
            <v>Yes</v>
          </cell>
          <cell r="M97">
            <v>2</v>
          </cell>
          <cell r="O97" t="str">
            <v>Estimate</v>
          </cell>
          <cell r="P97">
            <v>1E-3</v>
          </cell>
        </row>
        <row r="98">
          <cell r="A98" t="str">
            <v>7 Protection, relays, amplifier enable</v>
          </cell>
          <cell r="B98" t="str">
            <v>R712</v>
          </cell>
          <cell r="C98">
            <v>1</v>
          </cell>
          <cell r="K98" t="str">
            <v>Yes</v>
          </cell>
          <cell r="M98">
            <v>2</v>
          </cell>
          <cell r="O98" t="str">
            <v>Estimate</v>
          </cell>
          <cell r="P98">
            <v>1.1999999999999999E-3</v>
          </cell>
        </row>
        <row r="99">
          <cell r="A99" t="str">
            <v>7 Protection, relays, amplifier enable</v>
          </cell>
          <cell r="B99" t="str">
            <v>C709</v>
          </cell>
          <cell r="C99">
            <v>1</v>
          </cell>
          <cell r="K99" t="str">
            <v>Yes</v>
          </cell>
          <cell r="M99">
            <v>2</v>
          </cell>
          <cell r="O99" t="str">
            <v>Estimate</v>
          </cell>
          <cell r="P99">
            <v>2.5000000000000001E-3</v>
          </cell>
        </row>
        <row r="100">
          <cell r="A100" t="str">
            <v>7 Protection, relays, amplifier enable</v>
          </cell>
          <cell r="B100" t="str">
            <v>R713</v>
          </cell>
          <cell r="C100">
            <v>1</v>
          </cell>
          <cell r="K100" t="str">
            <v>Yes</v>
          </cell>
          <cell r="M100">
            <v>2</v>
          </cell>
          <cell r="O100" t="str">
            <v>Estimate</v>
          </cell>
          <cell r="P100">
            <v>1.1999999999999999E-3</v>
          </cell>
        </row>
        <row r="101">
          <cell r="A101" t="str">
            <v>7 Protection, relays, amplifier enable</v>
          </cell>
          <cell r="B101" t="str">
            <v>R714, R715</v>
          </cell>
          <cell r="C101">
            <v>2</v>
          </cell>
          <cell r="K101" t="str">
            <v>Yes</v>
          </cell>
          <cell r="M101">
            <v>2</v>
          </cell>
          <cell r="O101" t="str">
            <v>Estimate</v>
          </cell>
          <cell r="P101">
            <v>2.3999999999999998E-3</v>
          </cell>
        </row>
        <row r="102">
          <cell r="A102" t="str">
            <v>7 Protection, relays, amplifier enable</v>
          </cell>
          <cell r="B102" t="str">
            <v>D705, D706</v>
          </cell>
          <cell r="C102">
            <v>2</v>
          </cell>
          <cell r="K102" t="str">
            <v>Yes</v>
          </cell>
          <cell r="M102">
            <v>3</v>
          </cell>
          <cell r="O102" t="str">
            <v>Estimate</v>
          </cell>
          <cell r="P102">
            <v>1.2E-2</v>
          </cell>
        </row>
        <row r="103">
          <cell r="A103" t="str">
            <v>7 Protection, relays, amplifier enable</v>
          </cell>
          <cell r="B103" t="str">
            <v>Q701</v>
          </cell>
          <cell r="C103">
            <v>1</v>
          </cell>
          <cell r="K103" t="str">
            <v>Yes</v>
          </cell>
          <cell r="M103">
            <v>3</v>
          </cell>
          <cell r="O103" t="str">
            <v>Quote</v>
          </cell>
          <cell r="P103">
            <v>1.29E-2</v>
          </cell>
        </row>
        <row r="104">
          <cell r="A104" t="str">
            <v>7 Protection, relays, amplifier enable</v>
          </cell>
          <cell r="B104" t="str">
            <v>R716</v>
          </cell>
          <cell r="C104">
            <v>1</v>
          </cell>
          <cell r="K104" t="str">
            <v>Yes</v>
          </cell>
          <cell r="M104">
            <v>2</v>
          </cell>
          <cell r="O104" t="str">
            <v>Estimate</v>
          </cell>
          <cell r="P104">
            <v>1E-3</v>
          </cell>
        </row>
        <row r="105">
          <cell r="A105" t="str">
            <v>7 Protection, relays, amplifier enable</v>
          </cell>
          <cell r="B105" t="str">
            <v>R717</v>
          </cell>
          <cell r="C105">
            <v>1</v>
          </cell>
          <cell r="K105" t="str">
            <v>Yes</v>
          </cell>
          <cell r="M105">
            <v>2</v>
          </cell>
          <cell r="O105" t="str">
            <v>Estimate</v>
          </cell>
          <cell r="P105">
            <v>1E-3</v>
          </cell>
        </row>
        <row r="106">
          <cell r="A106" t="str">
            <v>7 Protection, relays, amplifier enable</v>
          </cell>
          <cell r="B106" t="str">
            <v>D707, D708</v>
          </cell>
          <cell r="C106">
            <v>2</v>
          </cell>
          <cell r="K106" t="str">
            <v>Yes</v>
          </cell>
          <cell r="M106">
            <v>2</v>
          </cell>
          <cell r="O106" t="str">
            <v>Estimate</v>
          </cell>
          <cell r="P106">
            <v>8.0000000000000002E-3</v>
          </cell>
        </row>
        <row r="107">
          <cell r="A107" t="str">
            <v>7 Protection, relays, amplifier enable</v>
          </cell>
          <cell r="B107" t="str">
            <v>K701, K702</v>
          </cell>
          <cell r="C107">
            <v>2</v>
          </cell>
          <cell r="K107" t="str">
            <v>Yes</v>
          </cell>
          <cell r="M107">
            <v>8</v>
          </cell>
          <cell r="O107" t="str">
            <v>Quote</v>
          </cell>
          <cell r="P107">
            <v>2.4462000000000002</v>
          </cell>
        </row>
        <row r="108">
          <cell r="A108" t="str">
            <v>7 Protection, relays, amplifier enable</v>
          </cell>
          <cell r="B108" t="str">
            <v>R718</v>
          </cell>
          <cell r="C108">
            <v>1</v>
          </cell>
          <cell r="K108" t="str">
            <v>Yes</v>
          </cell>
          <cell r="M108">
            <v>2</v>
          </cell>
          <cell r="O108" t="str">
            <v>Estimate</v>
          </cell>
          <cell r="P108">
            <v>1E-3</v>
          </cell>
        </row>
        <row r="109">
          <cell r="A109" t="str">
            <v>7 Protection, relays, amplifier enable</v>
          </cell>
          <cell r="B109" t="str">
            <v>R719</v>
          </cell>
          <cell r="C109">
            <v>1</v>
          </cell>
          <cell r="K109" t="str">
            <v>Yes</v>
          </cell>
          <cell r="M109">
            <v>2</v>
          </cell>
          <cell r="O109" t="str">
            <v>Estimate</v>
          </cell>
          <cell r="P109">
            <v>1E-3</v>
          </cell>
        </row>
        <row r="110">
          <cell r="A110" t="str">
            <v>8 PD input + analog power</v>
          </cell>
          <cell r="B110" t="str">
            <v>J801</v>
          </cell>
          <cell r="C110">
            <v>1</v>
          </cell>
          <cell r="K110" t="str">
            <v>Yes</v>
          </cell>
          <cell r="M110">
            <v>20</v>
          </cell>
          <cell r="O110" t="str">
            <v>Quote</v>
          </cell>
          <cell r="P110">
            <v>0.129</v>
          </cell>
        </row>
        <row r="111">
          <cell r="A111" t="str">
            <v>8 PD input + analog power</v>
          </cell>
          <cell r="B111" t="str">
            <v>R801</v>
          </cell>
          <cell r="C111">
            <v>1</v>
          </cell>
          <cell r="K111" t="str">
            <v>Yes</v>
          </cell>
          <cell r="M111">
            <v>2</v>
          </cell>
          <cell r="O111" t="str">
            <v>Estimate</v>
          </cell>
          <cell r="P111">
            <v>1.1999999999999999E-3</v>
          </cell>
        </row>
        <row r="112">
          <cell r="A112" t="str">
            <v>8 PD input + analog power</v>
          </cell>
          <cell r="B112" t="str">
            <v>C801</v>
          </cell>
          <cell r="C112">
            <v>1</v>
          </cell>
          <cell r="K112" t="str">
            <v>Yes</v>
          </cell>
          <cell r="M112">
            <v>2</v>
          </cell>
          <cell r="O112" t="str">
            <v>Estimate</v>
          </cell>
          <cell r="P112">
            <v>2E-3</v>
          </cell>
        </row>
        <row r="113">
          <cell r="A113" t="str">
            <v>8 PD input + analog power</v>
          </cell>
          <cell r="B113" t="str">
            <v>U801</v>
          </cell>
          <cell r="C113">
            <v>1</v>
          </cell>
          <cell r="K113" t="str">
            <v>Yes</v>
          </cell>
          <cell r="M113">
            <v>11</v>
          </cell>
          <cell r="O113" t="str">
            <v>Quote</v>
          </cell>
          <cell r="P113">
            <v>0.2727</v>
          </cell>
        </row>
        <row r="114">
          <cell r="A114" t="str">
            <v>8 PD input + analog power</v>
          </cell>
          <cell r="B114" t="str">
            <v>C802</v>
          </cell>
          <cell r="C114">
            <v>1</v>
          </cell>
          <cell r="K114" t="str">
            <v>Yes</v>
          </cell>
          <cell r="M114">
            <v>2</v>
          </cell>
          <cell r="O114" t="str">
            <v>Estimate</v>
          </cell>
          <cell r="P114">
            <v>8.0000000000000002E-3</v>
          </cell>
        </row>
        <row r="115">
          <cell r="A115" t="str">
            <v>8 PD input + analog power</v>
          </cell>
          <cell r="B115" t="str">
            <v>R802</v>
          </cell>
          <cell r="C115">
            <v>1</v>
          </cell>
          <cell r="K115" t="str">
            <v>Yes</v>
          </cell>
          <cell r="M115">
            <v>2</v>
          </cell>
          <cell r="O115" t="str">
            <v>Estimate</v>
          </cell>
          <cell r="P115">
            <v>1E-3</v>
          </cell>
        </row>
        <row r="116">
          <cell r="A116" t="str">
            <v>8 PD input + analog power</v>
          </cell>
          <cell r="B116" t="str">
            <v>R803</v>
          </cell>
          <cell r="C116">
            <v>1</v>
          </cell>
          <cell r="K116" t="str">
            <v>Yes</v>
          </cell>
          <cell r="M116">
            <v>2</v>
          </cell>
          <cell r="O116" t="str">
            <v>Estimate</v>
          </cell>
          <cell r="P116">
            <v>1E-3</v>
          </cell>
        </row>
        <row r="117">
          <cell r="A117" t="str">
            <v>8 PD input + analog power</v>
          </cell>
          <cell r="B117" t="str">
            <v>D801</v>
          </cell>
          <cell r="C117">
            <v>1</v>
          </cell>
          <cell r="K117" t="str">
            <v>Yes</v>
          </cell>
          <cell r="M117">
            <v>2</v>
          </cell>
          <cell r="O117" t="str">
            <v>Quote</v>
          </cell>
          <cell r="P117">
            <v>0.12</v>
          </cell>
        </row>
        <row r="118">
          <cell r="A118" t="str">
            <v>8 PD input + analog power</v>
          </cell>
          <cell r="B118" t="str">
            <v>C803</v>
          </cell>
          <cell r="C118">
            <v>1</v>
          </cell>
          <cell r="K118" t="str">
            <v>Yes</v>
          </cell>
          <cell r="M118">
            <v>2</v>
          </cell>
          <cell r="O118" t="str">
            <v>Estimate</v>
          </cell>
          <cell r="P118">
            <v>7.0000000000000007E-2</v>
          </cell>
        </row>
        <row r="119">
          <cell r="A119" t="str">
            <v>8 PD input + analog power</v>
          </cell>
          <cell r="B119" t="str">
            <v>C804</v>
          </cell>
          <cell r="C119">
            <v>1</v>
          </cell>
          <cell r="K119" t="str">
            <v>Yes</v>
          </cell>
          <cell r="M119">
            <v>2</v>
          </cell>
          <cell r="O119" t="str">
            <v>Estimate</v>
          </cell>
          <cell r="P119">
            <v>4.4999999999999998E-2</v>
          </cell>
        </row>
        <row r="120">
          <cell r="A120" t="str">
            <v>8 PD input + analog power</v>
          </cell>
          <cell r="B120" t="str">
            <v>FB801</v>
          </cell>
          <cell r="C120">
            <v>1</v>
          </cell>
          <cell r="K120" t="str">
            <v>Yes</v>
          </cell>
          <cell r="M120">
            <v>2</v>
          </cell>
          <cell r="O120" t="str">
            <v>Quote</v>
          </cell>
          <cell r="P120">
            <v>2.58E-2</v>
          </cell>
        </row>
        <row r="121">
          <cell r="A121" t="str">
            <v>8 PD input + analog power</v>
          </cell>
          <cell r="B121" t="str">
            <v>C805, C806</v>
          </cell>
          <cell r="C121">
            <v>2</v>
          </cell>
          <cell r="K121" t="str">
            <v>Yes</v>
          </cell>
          <cell r="M121">
            <v>2</v>
          </cell>
          <cell r="O121" t="str">
            <v>Estimate</v>
          </cell>
          <cell r="P121">
            <v>0.09</v>
          </cell>
        </row>
        <row r="122">
          <cell r="A122" t="str">
            <v>8 PD input + analog power</v>
          </cell>
          <cell r="B122" t="str">
            <v>C807</v>
          </cell>
          <cell r="C122">
            <v>1</v>
          </cell>
          <cell r="K122" t="str">
            <v>Yes</v>
          </cell>
          <cell r="M122">
            <v>2</v>
          </cell>
          <cell r="O122" t="str">
            <v>Estimate</v>
          </cell>
          <cell r="P122">
            <v>2.5000000000000001E-3</v>
          </cell>
        </row>
        <row r="123">
          <cell r="A123" t="str">
            <v>8 PD input + analog power</v>
          </cell>
          <cell r="B123" t="str">
            <v>U802</v>
          </cell>
          <cell r="C123">
            <v>1</v>
          </cell>
          <cell r="K123" t="str">
            <v>Yes</v>
          </cell>
          <cell r="M123">
            <v>9</v>
          </cell>
          <cell r="O123" t="str">
            <v>Quote</v>
          </cell>
          <cell r="P123">
            <v>0.4642</v>
          </cell>
        </row>
        <row r="124">
          <cell r="A124" t="str">
            <v>8 PD input + analog power</v>
          </cell>
          <cell r="B124" t="str">
            <v>L801</v>
          </cell>
          <cell r="C124">
            <v>1</v>
          </cell>
          <cell r="K124" t="str">
            <v>Yes</v>
          </cell>
          <cell r="M124">
            <v>2</v>
          </cell>
          <cell r="O124" t="str">
            <v>Quote</v>
          </cell>
          <cell r="P124">
            <v>0.11</v>
          </cell>
        </row>
        <row r="125">
          <cell r="A125" t="str">
            <v>8 PD input + analog power</v>
          </cell>
          <cell r="B125" t="str">
            <v>C808</v>
          </cell>
          <cell r="C125">
            <v>1</v>
          </cell>
          <cell r="K125" t="str">
            <v>Yes</v>
          </cell>
          <cell r="M125">
            <v>2</v>
          </cell>
          <cell r="O125" t="str">
            <v>Estimate</v>
          </cell>
          <cell r="P125">
            <v>1.5E-3</v>
          </cell>
        </row>
        <row r="126">
          <cell r="A126" t="str">
            <v>8 PD input + analog power</v>
          </cell>
          <cell r="B126" t="str">
            <v>C809</v>
          </cell>
          <cell r="C126">
            <v>1</v>
          </cell>
          <cell r="K126" t="str">
            <v>Yes</v>
          </cell>
          <cell r="M126">
            <v>2</v>
          </cell>
          <cell r="O126" t="str">
            <v>Estimate</v>
          </cell>
          <cell r="P126">
            <v>5.0000000000000001E-3</v>
          </cell>
        </row>
        <row r="127">
          <cell r="A127" t="str">
            <v>8 PD input + analog power</v>
          </cell>
          <cell r="B127" t="str">
            <v>R804</v>
          </cell>
          <cell r="C127">
            <v>1</v>
          </cell>
          <cell r="K127" t="str">
            <v>Yes</v>
          </cell>
          <cell r="M127">
            <v>2</v>
          </cell>
          <cell r="O127" t="str">
            <v>Estimate</v>
          </cell>
          <cell r="P127">
            <v>1E-3</v>
          </cell>
        </row>
        <row r="128">
          <cell r="A128" t="str">
            <v>8 PD input + analog power</v>
          </cell>
          <cell r="B128" t="str">
            <v>R805</v>
          </cell>
          <cell r="C128">
            <v>1</v>
          </cell>
          <cell r="K128" t="str">
            <v>Yes</v>
          </cell>
          <cell r="M128">
            <v>2</v>
          </cell>
          <cell r="O128" t="str">
            <v>Estimate</v>
          </cell>
          <cell r="P128">
            <v>1E-3</v>
          </cell>
        </row>
        <row r="129">
          <cell r="A129" t="str">
            <v>8 PD input + analog power</v>
          </cell>
          <cell r="B129" t="str">
            <v>C810</v>
          </cell>
          <cell r="C129">
            <v>1</v>
          </cell>
          <cell r="K129" t="str">
            <v>DNF</v>
          </cell>
          <cell r="M129">
            <v>2</v>
          </cell>
          <cell r="O129" t="str">
            <v>Estimate</v>
          </cell>
          <cell r="P129">
            <v>0</v>
          </cell>
        </row>
        <row r="130">
          <cell r="A130" t="str">
            <v>8 PD input + analog power</v>
          </cell>
          <cell r="B130" t="str">
            <v>R806</v>
          </cell>
          <cell r="C130">
            <v>1</v>
          </cell>
          <cell r="K130" t="str">
            <v>Yes</v>
          </cell>
          <cell r="M130">
            <v>2</v>
          </cell>
          <cell r="O130" t="str">
            <v>Estimate</v>
          </cell>
          <cell r="P130">
            <v>8.0000000000000004E-4</v>
          </cell>
        </row>
        <row r="131">
          <cell r="A131" t="str">
            <v>8 PD input + analog power</v>
          </cell>
          <cell r="B131" t="str">
            <v>R807</v>
          </cell>
          <cell r="C131">
            <v>1</v>
          </cell>
          <cell r="K131" t="str">
            <v>DNF</v>
          </cell>
          <cell r="M131">
            <v>2</v>
          </cell>
          <cell r="O131" t="str">
            <v>Estimate</v>
          </cell>
          <cell r="P131">
            <v>0</v>
          </cell>
        </row>
        <row r="132">
          <cell r="A132" t="str">
            <v>8 PD input + analog power</v>
          </cell>
          <cell r="B132" t="str">
            <v>C811–C813</v>
          </cell>
          <cell r="C132">
            <v>3</v>
          </cell>
          <cell r="K132" t="str">
            <v>Yes</v>
          </cell>
          <cell r="M132">
            <v>2</v>
          </cell>
          <cell r="O132" t="str">
            <v>Estimate</v>
          </cell>
          <cell r="P132">
            <v>0.10500000000000001</v>
          </cell>
        </row>
        <row r="133">
          <cell r="A133" t="str">
            <v>8 PD input + analog power</v>
          </cell>
          <cell r="B133" t="str">
            <v>C814</v>
          </cell>
          <cell r="C133">
            <v>1</v>
          </cell>
          <cell r="K133" t="str">
            <v>Yes</v>
          </cell>
          <cell r="M133">
            <v>2</v>
          </cell>
          <cell r="O133" t="str">
            <v>Estimate</v>
          </cell>
          <cell r="P133">
            <v>2.5000000000000001E-3</v>
          </cell>
        </row>
        <row r="134">
          <cell r="A134" t="str">
            <v>8 PD input + analog power</v>
          </cell>
          <cell r="B134" t="str">
            <v>FB802</v>
          </cell>
          <cell r="C134">
            <v>1</v>
          </cell>
          <cell r="K134" t="str">
            <v>Yes</v>
          </cell>
          <cell r="M134">
            <v>2</v>
          </cell>
          <cell r="O134" t="str">
            <v>Quote</v>
          </cell>
          <cell r="P134">
            <v>2.58E-2</v>
          </cell>
        </row>
        <row r="135">
          <cell r="A135" t="str">
            <v>8 PD input + analog power</v>
          </cell>
          <cell r="B135" t="str">
            <v>C815</v>
          </cell>
          <cell r="C135">
            <v>1</v>
          </cell>
          <cell r="K135" t="str">
            <v>Yes</v>
          </cell>
          <cell r="M135">
            <v>2</v>
          </cell>
          <cell r="O135" t="str">
            <v>Estimate</v>
          </cell>
          <cell r="P135">
            <v>1.2E-2</v>
          </cell>
        </row>
        <row r="136">
          <cell r="A136" t="str">
            <v>8 PD input + analog power</v>
          </cell>
          <cell r="B136" t="str">
            <v>U803</v>
          </cell>
          <cell r="C136">
            <v>1</v>
          </cell>
          <cell r="K136" t="str">
            <v>Yes</v>
          </cell>
          <cell r="M136">
            <v>3</v>
          </cell>
          <cell r="O136" t="str">
            <v>Quote</v>
          </cell>
          <cell r="P136">
            <v>0.36930000000000002</v>
          </cell>
        </row>
        <row r="137">
          <cell r="A137" t="str">
            <v>8 PD input + analog power</v>
          </cell>
          <cell r="B137" t="str">
            <v>R808, R810</v>
          </cell>
          <cell r="C137">
            <v>2</v>
          </cell>
          <cell r="K137" t="str">
            <v>Yes</v>
          </cell>
          <cell r="M137">
            <v>2</v>
          </cell>
          <cell r="O137" t="str">
            <v>Estimate</v>
          </cell>
          <cell r="P137">
            <v>2.3999999999999998E-3</v>
          </cell>
        </row>
        <row r="138">
          <cell r="A138" t="str">
            <v>8 PD input + analog power</v>
          </cell>
          <cell r="B138" t="str">
            <v>R809, R811</v>
          </cell>
          <cell r="C138">
            <v>2</v>
          </cell>
          <cell r="K138" t="str">
            <v>Yes</v>
          </cell>
          <cell r="M138">
            <v>2</v>
          </cell>
          <cell r="O138" t="str">
            <v>Estimate</v>
          </cell>
          <cell r="P138">
            <v>2.3999999999999998E-3</v>
          </cell>
        </row>
        <row r="139">
          <cell r="A139" t="str">
            <v>8 PD input + analog power</v>
          </cell>
          <cell r="B139" t="str">
            <v>C816–C819</v>
          </cell>
          <cell r="C139">
            <v>4</v>
          </cell>
          <cell r="K139" t="str">
            <v>Yes</v>
          </cell>
          <cell r="M139">
            <v>2</v>
          </cell>
          <cell r="O139" t="str">
            <v>Estimate</v>
          </cell>
          <cell r="P139">
            <v>4.8000000000000001E-2</v>
          </cell>
        </row>
        <row r="140">
          <cell r="A140" t="str">
            <v>8 PD input + analog power</v>
          </cell>
          <cell r="B140" t="str">
            <v>D802, D804</v>
          </cell>
          <cell r="C140">
            <v>2</v>
          </cell>
          <cell r="K140" t="str">
            <v>Yes</v>
          </cell>
          <cell r="M140">
            <v>2</v>
          </cell>
          <cell r="O140" t="str">
            <v>Estimate</v>
          </cell>
          <cell r="P140">
            <v>8.0000000000000002E-3</v>
          </cell>
        </row>
        <row r="141">
          <cell r="A141" t="str">
            <v>8 PD input + analog power</v>
          </cell>
          <cell r="B141" t="str">
            <v>D803, D805</v>
          </cell>
          <cell r="C141">
            <v>2</v>
          </cell>
          <cell r="K141" t="str">
            <v>Yes</v>
          </cell>
          <cell r="M141">
            <v>2</v>
          </cell>
          <cell r="O141" t="str">
            <v>Estimate</v>
          </cell>
          <cell r="P141">
            <v>2.4E-2</v>
          </cell>
        </row>
        <row r="142">
          <cell r="A142" t="str">
            <v>8 PD input + analog power</v>
          </cell>
          <cell r="B142" t="str">
            <v>U804</v>
          </cell>
          <cell r="C142">
            <v>1</v>
          </cell>
          <cell r="K142" t="str">
            <v>Yes</v>
          </cell>
          <cell r="M142">
            <v>3</v>
          </cell>
          <cell r="O142" t="str">
            <v>Quote</v>
          </cell>
          <cell r="P142">
            <v>0.31330000000000002</v>
          </cell>
        </row>
        <row r="143">
          <cell r="A143" t="str">
            <v>8 PD input + analog power</v>
          </cell>
          <cell r="B143" t="str">
            <v>U805</v>
          </cell>
          <cell r="C143">
            <v>1</v>
          </cell>
          <cell r="K143" t="str">
            <v>Yes</v>
          </cell>
          <cell r="M143">
            <v>9</v>
          </cell>
          <cell r="O143" t="str">
            <v>Quote</v>
          </cell>
          <cell r="P143">
            <v>1.0471999999999999</v>
          </cell>
        </row>
        <row r="144">
          <cell r="A144" t="str">
            <v>8 PD input + analog power</v>
          </cell>
          <cell r="B144" t="str">
            <v>C820, C821</v>
          </cell>
          <cell r="C144">
            <v>2</v>
          </cell>
          <cell r="K144" t="str">
            <v>Yes</v>
          </cell>
          <cell r="M144">
            <v>2</v>
          </cell>
          <cell r="O144" t="str">
            <v>Estimate</v>
          </cell>
          <cell r="P144">
            <v>2.4E-2</v>
          </cell>
        </row>
        <row r="145">
          <cell r="A145" t="str">
            <v>8 PD input + analog power</v>
          </cell>
          <cell r="B145" t="str">
            <v>C822, C823</v>
          </cell>
          <cell r="C145">
            <v>2</v>
          </cell>
          <cell r="K145" t="str">
            <v>Yes</v>
          </cell>
          <cell r="M145">
            <v>2</v>
          </cell>
          <cell r="O145" t="str">
            <v>Estimate</v>
          </cell>
          <cell r="P145">
            <v>3.0000000000000001E-3</v>
          </cell>
        </row>
        <row r="146">
          <cell r="A146" t="str">
            <v>8 PD input + analog power</v>
          </cell>
          <cell r="B146" t="str">
            <v>R812</v>
          </cell>
          <cell r="C146">
            <v>1</v>
          </cell>
          <cell r="K146" t="str">
            <v>Yes</v>
          </cell>
          <cell r="M146">
            <v>2</v>
          </cell>
          <cell r="O146" t="str">
            <v>Estimate</v>
          </cell>
          <cell r="P146">
            <v>1E-3</v>
          </cell>
        </row>
        <row r="147">
          <cell r="A147" t="str">
            <v>8 PD input + analog power</v>
          </cell>
          <cell r="B147" t="str">
            <v>R813</v>
          </cell>
          <cell r="C147">
            <v>1</v>
          </cell>
          <cell r="K147" t="str">
            <v>Yes</v>
          </cell>
          <cell r="M147">
            <v>2</v>
          </cell>
          <cell r="O147" t="str">
            <v>Estimate</v>
          </cell>
          <cell r="P147">
            <v>1E-3</v>
          </cell>
        </row>
        <row r="148">
          <cell r="A148" t="str">
            <v>9 Outputs, indicators, test, board</v>
          </cell>
          <cell r="B148" t="str">
            <v>J901</v>
          </cell>
          <cell r="C148">
            <v>1</v>
          </cell>
          <cell r="K148" t="str">
            <v>Yes</v>
          </cell>
          <cell r="M148">
            <v>0</v>
          </cell>
          <cell r="O148" t="str">
            <v>Quote</v>
          </cell>
          <cell r="P148">
            <v>4.2767999999999997</v>
          </cell>
        </row>
        <row r="149">
          <cell r="A149" t="str">
            <v>9 Outputs, indicators, test, board</v>
          </cell>
          <cell r="B149" t="str">
            <v>J902</v>
          </cell>
          <cell r="C149">
            <v>1</v>
          </cell>
          <cell r="K149" t="str">
            <v>Yes</v>
          </cell>
          <cell r="M149">
            <v>6</v>
          </cell>
          <cell r="O149" t="str">
            <v>Quote</v>
          </cell>
          <cell r="P149">
            <v>0.2326</v>
          </cell>
        </row>
        <row r="150">
          <cell r="A150" t="str">
            <v>9 Outputs, indicators, test, board</v>
          </cell>
          <cell r="B150" t="str">
            <v>D901</v>
          </cell>
          <cell r="C150">
            <v>1</v>
          </cell>
          <cell r="K150" t="str">
            <v>Yes</v>
          </cell>
          <cell r="M150">
            <v>2</v>
          </cell>
          <cell r="O150" t="str">
            <v>Estimate</v>
          </cell>
          <cell r="P150">
            <v>6.0000000000000001E-3</v>
          </cell>
        </row>
        <row r="151">
          <cell r="A151" t="str">
            <v>9 Outputs, indicators, test, board</v>
          </cell>
          <cell r="B151" t="str">
            <v>D902</v>
          </cell>
          <cell r="C151">
            <v>1</v>
          </cell>
          <cell r="K151" t="str">
            <v>Yes</v>
          </cell>
          <cell r="M151">
            <v>2</v>
          </cell>
          <cell r="O151" t="str">
            <v>Estimate</v>
          </cell>
          <cell r="P151">
            <v>6.0000000000000001E-3</v>
          </cell>
        </row>
        <row r="152">
          <cell r="A152" t="str">
            <v>9 Outputs, indicators, test, board</v>
          </cell>
          <cell r="B152" t="str">
            <v>R901, R902</v>
          </cell>
          <cell r="C152">
            <v>2</v>
          </cell>
          <cell r="K152" t="str">
            <v>Yes</v>
          </cell>
          <cell r="M152">
            <v>2</v>
          </cell>
          <cell r="O152" t="str">
            <v>Estimate</v>
          </cell>
          <cell r="P152">
            <v>2E-3</v>
          </cell>
        </row>
        <row r="153">
          <cell r="A153" t="str">
            <v>9 Outputs, indicators, test, board</v>
          </cell>
          <cell r="B153" t="str">
            <v>Q901, Q902</v>
          </cell>
          <cell r="C153">
            <v>2</v>
          </cell>
          <cell r="K153" t="str">
            <v>Yes</v>
          </cell>
          <cell r="M153">
            <v>3</v>
          </cell>
          <cell r="O153" t="str">
            <v>Quote</v>
          </cell>
          <cell r="P153">
            <v>2.58E-2</v>
          </cell>
        </row>
        <row r="154">
          <cell r="A154" t="str">
            <v>9 Outputs, indicators, test, board</v>
          </cell>
          <cell r="B154" t="str">
            <v>R903, R904</v>
          </cell>
          <cell r="C154">
            <v>2</v>
          </cell>
          <cell r="K154" t="str">
            <v>Yes</v>
          </cell>
          <cell r="M154">
            <v>2</v>
          </cell>
          <cell r="O154" t="str">
            <v>Estimate</v>
          </cell>
          <cell r="P154">
            <v>2E-3</v>
          </cell>
        </row>
        <row r="155">
          <cell r="A155" t="str">
            <v>9 Outputs, indicators, test, board</v>
          </cell>
          <cell r="B155" t="str">
            <v>J903</v>
          </cell>
          <cell r="C155">
            <v>1</v>
          </cell>
          <cell r="K155" t="str">
            <v>DNF</v>
          </cell>
          <cell r="M155">
            <v>0</v>
          </cell>
          <cell r="O155" t="str">
            <v>Estimate</v>
          </cell>
          <cell r="P155">
            <v>0</v>
          </cell>
        </row>
        <row r="156">
          <cell r="A156" t="str">
            <v>9 Outputs, indicators, test, board</v>
          </cell>
          <cell r="B156" t="str">
            <v>TP901–TP929</v>
          </cell>
          <cell r="C156">
            <v>29</v>
          </cell>
          <cell r="K156" t="str">
            <v>No part</v>
          </cell>
          <cell r="M156">
            <v>0</v>
          </cell>
          <cell r="O156" t="str">
            <v>Estimate</v>
          </cell>
          <cell r="P156">
            <v>0</v>
          </cell>
        </row>
        <row r="157">
          <cell r="A157" t="str">
            <v>9 Outputs, indicators, test, board</v>
          </cell>
          <cell r="B157" t="str">
            <v>Debug pads</v>
          </cell>
          <cell r="C157">
            <v>1</v>
          </cell>
          <cell r="K157" t="str">
            <v>No part</v>
          </cell>
          <cell r="M157">
            <v>0</v>
          </cell>
          <cell r="O157" t="str">
            <v>Estimate</v>
          </cell>
          <cell r="P157">
            <v>0</v>
          </cell>
        </row>
        <row r="158">
          <cell r="A158" t="str">
            <v>9 Outputs, indicators, test, board</v>
          </cell>
          <cell r="B158" t="str">
            <v>MH1–MH4, FID1–FID3</v>
          </cell>
          <cell r="C158">
            <v>7</v>
          </cell>
          <cell r="K158" t="str">
            <v>No part</v>
          </cell>
          <cell r="M158">
            <v>0</v>
          </cell>
          <cell r="O158" t="str">
            <v>Estimate</v>
          </cell>
          <cell r="P158">
            <v>0</v>
          </cell>
        </row>
        <row r="159">
          <cell r="A159" t="str">
            <v>9 Outputs, indicators, test, board</v>
          </cell>
          <cell r="B159" t="str">
            <v>PCB</v>
          </cell>
          <cell r="C159">
            <v>1</v>
          </cell>
          <cell r="K159" t="str">
            <v>Yes</v>
          </cell>
          <cell r="M159">
            <v>0</v>
          </cell>
          <cell r="O159" t="str">
            <v>Estimate</v>
          </cell>
          <cell r="P159">
            <v>0.8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9F967-E006-4C59-A3D6-79A8AB116FE3}" name="PurchasingList" displayName="PurchasingList" ref="A3:Q87" totalsRowShown="0" headerRowDxfId="22" dataDxfId="21">
  <autoFilter ref="A3:Q87" xr:uid="{50B9F967-E006-4C59-A3D6-79A8AB116FE3}"/>
  <tableColumns count="17">
    <tableColumn id="1" xr3:uid="{AB169CD3-4F3B-43A0-BE63-31E30F6E0BD6}" name="Item" dataDxfId="20"/>
    <tableColumn id="2" xr3:uid="{72170118-AB70-4FC2-A56E-498E5364634F}" name="Part type" dataDxfId="19"/>
    <tableColumn id="3" xr3:uid="{1E12E901-82A0-4F51-B5FF-27DB1ED5F03C}" name="Part number (MPN)" dataDxfId="18"/>
    <tableColumn id="4" xr3:uid="{8D244549-949F-48E6-B6C0-E506FCCADED8}" name="Value" dataDxfId="17"/>
    <tableColumn id="5" xr3:uid="{E51CFDE7-0363-4410-B525-AC1CE0CDFD79}" name="Package" dataDxfId="16"/>
    <tableColumn id="6" xr3:uid="{6444BF23-B710-4423-9551-331E70CFEF72}" name="Rating / tolerance" dataDxfId="15"/>
    <tableColumn id="7" xr3:uid="{ECF6914F-6C96-46EA-842D-86F07C884D05}" name="Source / LCSC no." dataDxfId="14"/>
    <tableColumn id="8" xr3:uid="{281A48D4-5DDD-426A-840D-BDEEA6CB8C01}" name="JLCPCB library type" dataDxfId="13"/>
    <tableColumn id="9" xr3:uid="{8033994E-6675-4614-AA8A-46245428929D}" name="Designators" dataDxfId="12"/>
    <tableColumn id="10" xr3:uid="{85EFEA6E-5FB8-469B-B129-7CDA0BE15797}" name="Qty per production board" dataDxfId="11"/>
    <tableColumn id="11" xr3:uid="{B016A648-7D52-430E-A1F7-1816430EEDD2}" name="Extra qty per prototype board (prototype-only parts)" dataDxfId="10"/>
    <tableColumn id="12" xr3:uid="{EA0B97B6-F064-4C3B-922D-C91D5BF9AE61}" name="Unit price US$ (100-board tier)" dataDxfId="9"/>
    <tableColumn id="13" xr3:uid="{5FE97901-9897-46CE-9DBC-2B9508D10731}" name="Price basis" dataDxfId="8"/>
    <tableColumn id="14" xr3:uid="{AC61F5BD-2DEF-49A0-A966-3E2DC5F87193}" name="Leadless (X-ray)" dataDxfId="7"/>
    <tableColumn id="15" xr3:uid="{0936D269-5F16-4962-806F-1812FC5DA6C8}" name="Qty for 5 prototypes" dataDxfId="6">
      <calculatedColumnFormula>($J4+$K4)*Cost!$B$7</calculatedColumnFormula>
    </tableColumn>
    <tableColumn id="16" xr3:uid="{7888005A-5ECA-40F0-8E4C-C10083B0E1F7}" name="Qty for 100 boards" dataDxfId="5">
      <calculatedColumnFormula>$J4*Cost!$B$6</calculatedColumnFormula>
    </tableColumn>
    <tableColumn id="17" xr3:uid="{0F4052FC-C4F4-4B3F-95F0-98AE327F720A}" name="Ext. per board US$" dataDxfId="4">
      <calculatedColumnFormula>$J4*$L4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46.6640625" customWidth="1"/>
    <col min="2" max="2" width="13.6640625" customWidth="1"/>
    <col min="3" max="4" width="15.6640625" customWidth="1"/>
    <col min="5" max="5" width="19.6640625" customWidth="1"/>
    <col min="6" max="6" width="34.6640625" customWidth="1"/>
  </cols>
  <sheetData>
    <row r="1" spans="1:6" ht="26.25" customHeight="1" x14ac:dyDescent="0.2">
      <c r="A1" s="79" t="s">
        <v>0</v>
      </c>
      <c r="B1" s="79"/>
      <c r="C1" s="79"/>
      <c r="D1" s="79"/>
      <c r="E1" s="79"/>
      <c r="F1" s="79"/>
    </row>
    <row r="2" spans="1:6" ht="18" customHeight="1" x14ac:dyDescent="0.2">
      <c r="A2" s="80" t="s">
        <v>1</v>
      </c>
      <c r="B2" s="80"/>
      <c r="C2" s="80"/>
      <c r="D2" s="80"/>
      <c r="E2" s="80"/>
      <c r="F2" s="80"/>
    </row>
    <row r="3" spans="1:6" ht="8.25" customHeight="1" x14ac:dyDescent="0.2">
      <c r="A3" s="1"/>
      <c r="B3" s="1"/>
      <c r="C3" s="1"/>
      <c r="D3" s="1"/>
      <c r="E3" s="1"/>
      <c r="F3" s="1"/>
    </row>
    <row r="4" spans="1:6" ht="20.25" customHeight="1" x14ac:dyDescent="0.2">
      <c r="A4" s="40" t="s">
        <v>2</v>
      </c>
      <c r="B4" s="40"/>
      <c r="C4" s="40"/>
      <c r="D4" s="40"/>
      <c r="E4" s="40"/>
      <c r="F4" s="40"/>
    </row>
    <row r="5" spans="1:6" x14ac:dyDescent="0.2">
      <c r="A5" s="3" t="s">
        <v>3</v>
      </c>
      <c r="B5" s="6" t="s">
        <v>4</v>
      </c>
      <c r="C5" s="6" t="s">
        <v>5</v>
      </c>
      <c r="D5" s="3" t="s">
        <v>6</v>
      </c>
      <c r="E5" s="3"/>
      <c r="F5" s="3"/>
    </row>
    <row r="6" spans="1:6" x14ac:dyDescent="0.2">
      <c r="A6" s="1" t="s">
        <v>7</v>
      </c>
      <c r="B6" s="27">
        <f>Cost!B14</f>
        <v>273</v>
      </c>
      <c r="C6" s="14" t="s">
        <v>8</v>
      </c>
      <c r="D6" s="42" t="s">
        <v>9</v>
      </c>
      <c r="E6" s="42"/>
      <c r="F6" s="42"/>
    </row>
    <row r="7" spans="1:6" x14ac:dyDescent="0.2">
      <c r="A7" s="7" t="s">
        <v>10</v>
      </c>
      <c r="B7" s="48">
        <f>Cost!B15</f>
        <v>274</v>
      </c>
      <c r="C7" s="15" t="s">
        <v>8</v>
      </c>
      <c r="D7" s="43" t="s">
        <v>11</v>
      </c>
      <c r="E7" s="43"/>
      <c r="F7" s="43"/>
    </row>
    <row r="8" spans="1:6" x14ac:dyDescent="0.2">
      <c r="A8" s="1" t="s">
        <v>12</v>
      </c>
      <c r="B8" s="27">
        <f>COUNTA('Purchasing list'!$C$4:$C$87)</f>
        <v>84</v>
      </c>
      <c r="C8" s="14" t="s">
        <v>13</v>
      </c>
      <c r="D8" s="42" t="s">
        <v>14</v>
      </c>
      <c r="E8" s="42"/>
      <c r="F8" s="42"/>
    </row>
    <row r="9" spans="1:6" x14ac:dyDescent="0.2">
      <c r="A9" s="7" t="s">
        <v>15</v>
      </c>
      <c r="B9" s="48">
        <f>Cost!B20</f>
        <v>7</v>
      </c>
      <c r="C9" s="15" t="s">
        <v>8</v>
      </c>
      <c r="D9" s="43" t="s">
        <v>16</v>
      </c>
      <c r="E9" s="43"/>
      <c r="F9" s="43"/>
    </row>
    <row r="10" spans="1:6" x14ac:dyDescent="0.2">
      <c r="A10" s="1" t="s">
        <v>17</v>
      </c>
      <c r="B10" s="27">
        <f>Cost!B18</f>
        <v>826</v>
      </c>
      <c r="C10" s="14" t="s">
        <v>18</v>
      </c>
      <c r="D10" s="42" t="s">
        <v>19</v>
      </c>
      <c r="E10" s="42"/>
      <c r="F10" s="42"/>
    </row>
    <row r="11" spans="1:6" x14ac:dyDescent="0.2">
      <c r="A11" s="7" t="s">
        <v>20</v>
      </c>
      <c r="B11" s="49">
        <f>Cost!B12</f>
        <v>40.619499999999981</v>
      </c>
      <c r="C11" s="15" t="s">
        <v>21</v>
      </c>
      <c r="D11" s="43" t="s">
        <v>22</v>
      </c>
      <c r="E11" s="43"/>
      <c r="F11" s="43"/>
    </row>
    <row r="12" spans="1:6" x14ac:dyDescent="0.2">
      <c r="A12" s="1" t="s">
        <v>20</v>
      </c>
      <c r="B12" s="27">
        <f>Cost!B12*Cost!B5</f>
        <v>1287.6381499999993</v>
      </c>
      <c r="C12" s="14" t="s">
        <v>23</v>
      </c>
      <c r="D12" s="42" t="str">
        <f>"at "&amp;TEXT(Cost!B5,"0.0")&amp;" NTD per US$"</f>
        <v>at 31.7 NTD per US$</v>
      </c>
      <c r="E12" s="42"/>
      <c r="F12" s="42"/>
    </row>
    <row r="13" spans="1:6" x14ac:dyDescent="0.2">
      <c r="A13" s="44" t="str">
        <f>"Total cost per board at "&amp;TEXT(Cost!B6,"#,##0")&amp;" units"</f>
        <v>Total cost per board at 100 units</v>
      </c>
      <c r="B13" s="45">
        <f>Cost!F42</f>
        <v>1478.7701299999992</v>
      </c>
      <c r="C13" s="46" t="s">
        <v>23</v>
      </c>
      <c r="D13" s="47" t="s">
        <v>24</v>
      </c>
      <c r="E13" s="47"/>
      <c r="F13" s="47"/>
    </row>
    <row r="14" spans="1:6" x14ac:dyDescent="0.2">
      <c r="A14" s="1" t="s">
        <v>25</v>
      </c>
      <c r="B14" s="27">
        <f>Cost!F43</f>
        <v>1500</v>
      </c>
      <c r="C14" s="14" t="s">
        <v>23</v>
      </c>
      <c r="D14" s="42" t="s">
        <v>26</v>
      </c>
      <c r="E14" s="42"/>
      <c r="F14" s="42"/>
    </row>
    <row r="15" spans="1:6" x14ac:dyDescent="0.2">
      <c r="A15" s="7" t="s">
        <v>27</v>
      </c>
      <c r="B15" s="48">
        <f>Cost!F44</f>
        <v>21.229870000000801</v>
      </c>
      <c r="C15" s="15" t="s">
        <v>23</v>
      </c>
      <c r="D15" s="43" t="str">
        <f>IF(B15&gt;=0,"within the limit","over the limit")</f>
        <v>within the limit</v>
      </c>
      <c r="E15" s="43"/>
      <c r="F15" s="43"/>
    </row>
    <row r="16" spans="1:6" x14ac:dyDescent="0.2">
      <c r="A16" s="1" t="str">
        <f>"Prototype order total, "&amp;TEXT(Cost!B7,"0")&amp;" boards"</f>
        <v>Prototype order total, 5 boards</v>
      </c>
      <c r="B16" s="27">
        <f>Cost!F61</f>
        <v>15894.4434</v>
      </c>
      <c r="C16" s="14" t="s">
        <v>23</v>
      </c>
      <c r="D16" s="42" t="str">
        <f>"≈ "&amp;TEXT(Cost!F62,"#,##0")&amp;" NTD per board; JLCPCB Economic PCBA"</f>
        <v>≈ 3,179 NTD per board; JLCPCB Economic PCBA</v>
      </c>
      <c r="E16" s="42"/>
      <c r="F16" s="42"/>
    </row>
    <row r="17" spans="1:6" ht="9.75" customHeight="1" x14ac:dyDescent="0.2">
      <c r="A17" s="1"/>
      <c r="B17" s="1"/>
      <c r="C17" s="1"/>
      <c r="D17" s="1"/>
      <c r="E17" s="1"/>
      <c r="F17" s="1"/>
    </row>
    <row r="18" spans="1:6" ht="20.25" customHeight="1" x14ac:dyDescent="0.2">
      <c r="A18" s="40" t="s">
        <v>28</v>
      </c>
      <c r="B18" s="40"/>
      <c r="C18" s="40"/>
      <c r="D18" s="40"/>
      <c r="E18" s="40"/>
      <c r="F18" s="40"/>
    </row>
    <row r="19" spans="1:6" x14ac:dyDescent="0.2">
      <c r="A19" s="41" t="s">
        <v>29</v>
      </c>
      <c r="B19" s="6" t="s">
        <v>30</v>
      </c>
      <c r="C19" s="6" t="s">
        <v>31</v>
      </c>
      <c r="D19" s="6" t="s">
        <v>32</v>
      </c>
      <c r="E19" s="6" t="s">
        <v>33</v>
      </c>
      <c r="F19" s="1"/>
    </row>
    <row r="20" spans="1:6" x14ac:dyDescent="0.2">
      <c r="A20" s="1" t="s">
        <v>34</v>
      </c>
      <c r="B20" s="50">
        <f>SUMIFS('[1]Parts list'!$C$4:$C$159,'[1]Parts list'!$A$4:$A$159,$A20,'[1]Parts list'!$K$4:$K$159,"Yes",'[1]Parts list'!$B$4:$B$159,"&lt;&gt;PCB")</f>
        <v>22</v>
      </c>
      <c r="C20" s="10">
        <f>SUMIFS('[1]Parts list'!$P$4:$P$159,'[1]Parts list'!$A$4:$A$159,$A20,'[1]Parts list'!$B$4:$B$159,"&lt;&gt;PCB")</f>
        <v>0.87649999999999995</v>
      </c>
      <c r="D20" s="9">
        <f>C20*Cost!$B$5</f>
        <v>27.785049999999998</v>
      </c>
      <c r="E20" s="9">
        <f>SUMIFS('[1]Parts list'!$P$4:$P$159,'[1]Parts list'!$A$4:$A$159,$A20,'[1]Parts list'!$O$4:$O$159,"Quote",'[1]Parts list'!$B$4:$B$159,"&lt;&gt;PCB")*Cost!$B$5</f>
        <v>24.52946</v>
      </c>
      <c r="F20" s="1"/>
    </row>
    <row r="21" spans="1:6" x14ac:dyDescent="0.2">
      <c r="A21" s="7" t="s">
        <v>35</v>
      </c>
      <c r="B21" s="51">
        <f>SUMIFS('[1]Parts list'!$C$4:$C$159,'[1]Parts list'!$A$4:$A$159,$A21,'[1]Parts list'!$K$4:$K$159,"Yes",'[1]Parts list'!$B$4:$B$159,"&lt;&gt;PCB")</f>
        <v>28</v>
      </c>
      <c r="C21" s="11">
        <f>SUMIFS('[1]Parts list'!$P$4:$P$159,'[1]Parts list'!$A$4:$A$159,$A21,'[1]Parts list'!$B$4:$B$159,"&lt;&gt;PCB")</f>
        <v>10.511100000000001</v>
      </c>
      <c r="D21" s="8">
        <f>C21*Cost!$B$5</f>
        <v>333.20187000000004</v>
      </c>
      <c r="E21" s="8">
        <f>SUMIFS('[1]Parts list'!$P$4:$P$159,'[1]Parts list'!$A$4:$A$159,$A21,'[1]Parts list'!$O$4:$O$159,"Quote",'[1]Parts list'!$B$4:$B$159,"&lt;&gt;PCB")*Cost!$B$5</f>
        <v>331.78487999999999</v>
      </c>
      <c r="F21" s="1"/>
    </row>
    <row r="22" spans="1:6" x14ac:dyDescent="0.2">
      <c r="A22" s="1" t="s">
        <v>36</v>
      </c>
      <c r="B22" s="50">
        <f>SUMIFS('[1]Parts list'!$C$4:$C$159,'[1]Parts list'!$A$4:$A$159,$A22,'[1]Parts list'!$K$4:$K$159,"Yes",'[1]Parts list'!$B$4:$B$159,"&lt;&gt;PCB")</f>
        <v>12</v>
      </c>
      <c r="C22" s="10">
        <f>SUMIFS('[1]Parts list'!$P$4:$P$159,'[1]Parts list'!$A$4:$A$159,$A22,'[1]Parts list'!$B$4:$B$159,"&lt;&gt;PCB")</f>
        <v>1.7937999999999996</v>
      </c>
      <c r="D22" s="9">
        <f>C22*Cost!$B$5</f>
        <v>56.863459999999989</v>
      </c>
      <c r="E22" s="9">
        <f>SUMIFS('[1]Parts list'!$P$4:$P$159,'[1]Parts list'!$A$4:$A$159,$A22,'[1]Parts list'!$O$4:$O$159,"Quote",'[1]Parts list'!$B$4:$B$159,"&lt;&gt;PCB")*Cost!$B$5</f>
        <v>56.483060000000002</v>
      </c>
      <c r="F22" s="1"/>
    </row>
    <row r="23" spans="1:6" x14ac:dyDescent="0.2">
      <c r="A23" s="7" t="s">
        <v>37</v>
      </c>
      <c r="B23" s="51">
        <f>SUMIFS('[1]Parts list'!$C$4:$C$159,'[1]Parts list'!$A$4:$A$159,$A23,'[1]Parts list'!$K$4:$K$159,"Yes",'[1]Parts list'!$B$4:$B$159,"&lt;&gt;PCB")</f>
        <v>29</v>
      </c>
      <c r="C23" s="11">
        <f>SUMIFS('[1]Parts list'!$P$4:$P$159,'[1]Parts list'!$A$4:$A$159,$A23,'[1]Parts list'!$B$4:$B$159,"&lt;&gt;PCB")</f>
        <v>6.2702999999999989</v>
      </c>
      <c r="D23" s="8">
        <f>C23*Cost!$B$5</f>
        <v>198.76850999999996</v>
      </c>
      <c r="E23" s="8">
        <f>SUMIFS('[1]Parts list'!$P$4:$P$159,'[1]Parts list'!$A$4:$A$159,$A23,'[1]Parts list'!$O$4:$O$159,"Quote",'[1]Parts list'!$B$4:$B$159,"&lt;&gt;PCB")*Cost!$B$5</f>
        <v>192.73599999999999</v>
      </c>
      <c r="F23" s="1"/>
    </row>
    <row r="24" spans="1:6" x14ac:dyDescent="0.2">
      <c r="A24" s="1" t="s">
        <v>38</v>
      </c>
      <c r="B24" s="50">
        <f>SUMIFS('[1]Parts list'!$C$4:$C$159,'[1]Parts list'!$A$4:$A$159,$A24,'[1]Parts list'!$K$4:$K$159,"Yes",'[1]Parts list'!$B$4:$B$159,"&lt;&gt;PCB")</f>
        <v>31</v>
      </c>
      <c r="C24" s="10">
        <f>SUMIFS('[1]Parts list'!$P$4:$P$159,'[1]Parts list'!$A$4:$A$159,$A24,'[1]Parts list'!$B$4:$B$159,"&lt;&gt;PCB")</f>
        <v>1.5295999999999998</v>
      </c>
      <c r="D24" s="9">
        <f>C24*Cost!$B$5</f>
        <v>48.488319999999995</v>
      </c>
      <c r="E24" s="9">
        <f>SUMIFS('[1]Parts list'!$P$4:$P$159,'[1]Parts list'!$A$4:$A$159,$A24,'[1]Parts list'!$O$4:$O$159,"Quote",'[1]Parts list'!$B$4:$B$159,"&lt;&gt;PCB")*Cost!$B$5</f>
        <v>27.788220000000003</v>
      </c>
      <c r="F24" s="1"/>
    </row>
    <row r="25" spans="1:6" x14ac:dyDescent="0.2">
      <c r="A25" s="7" t="s">
        <v>39</v>
      </c>
      <c r="B25" s="51">
        <f>SUMIFS('[1]Parts list'!$C$4:$C$159,'[1]Parts list'!$A$4:$A$159,$A25,'[1]Parts list'!$K$4:$K$159,"Yes",'[1]Parts list'!$B$4:$B$159,"&lt;&gt;PCB")</f>
        <v>53</v>
      </c>
      <c r="C25" s="11">
        <f>SUMIFS('[1]Parts list'!$P$4:$P$159,'[1]Parts list'!$A$4:$A$159,$A25,'[1]Parts list'!$B$4:$B$159,"&lt;&gt;PCB")</f>
        <v>9.0547999999999966</v>
      </c>
      <c r="D25" s="8">
        <f>C25*Cost!$B$5</f>
        <v>287.03715999999991</v>
      </c>
      <c r="E25" s="8">
        <f>SUMIFS('[1]Parts list'!$P$4:$P$159,'[1]Parts list'!$A$4:$A$159,$A25,'[1]Parts list'!$O$4:$O$159,"Quote",'[1]Parts list'!$B$4:$B$159,"&lt;&gt;PCB")*Cost!$B$5</f>
        <v>270.68629999999996</v>
      </c>
      <c r="F25" s="1"/>
    </row>
    <row r="26" spans="1:6" x14ac:dyDescent="0.2">
      <c r="A26" s="1" t="s">
        <v>40</v>
      </c>
      <c r="B26" s="50">
        <f>SUMIFS('[1]Parts list'!$C$4:$C$159,'[1]Parts list'!$A$4:$A$159,$A26,'[1]Parts list'!$K$4:$K$159,"Yes",'[1]Parts list'!$B$4:$B$159,"&lt;&gt;PCB")</f>
        <v>40</v>
      </c>
      <c r="C26" s="10">
        <f>SUMIFS('[1]Parts list'!$P$4:$P$159,'[1]Parts list'!$A$4:$A$159,$A26,'[1]Parts list'!$B$4:$B$159,"&lt;&gt;PCB")</f>
        <v>2.6916000000000002</v>
      </c>
      <c r="D26" s="9">
        <f>C26*Cost!$B$5</f>
        <v>85.323720000000009</v>
      </c>
      <c r="E26" s="9">
        <f>SUMIFS('[1]Parts list'!$P$4:$P$159,'[1]Parts list'!$A$4:$A$159,$A26,'[1]Parts list'!$O$4:$O$159,"Quote",'[1]Parts list'!$B$4:$B$159,"&lt;&gt;PCB")*Cost!$B$5</f>
        <v>82.258330000000001</v>
      </c>
      <c r="F26" s="1"/>
    </row>
    <row r="27" spans="1:6" x14ac:dyDescent="0.2">
      <c r="A27" s="7" t="s">
        <v>41</v>
      </c>
      <c r="B27" s="51">
        <f>SUMIFS('[1]Parts list'!$C$4:$C$159,'[1]Parts list'!$A$4:$A$159,$A27,'[1]Parts list'!$K$4:$K$159,"Yes",'[1]Parts list'!$B$4:$B$159,"&lt;&gt;PCB")</f>
        <v>48</v>
      </c>
      <c r="C27" s="11">
        <f>SUMIFS('[1]Parts list'!$P$4:$P$159,'[1]Parts list'!$A$4:$A$159,$A27,'[1]Parts list'!$B$4:$B$159,"&lt;&gt;PCB")</f>
        <v>3.3405999999999993</v>
      </c>
      <c r="D27" s="8">
        <f>C27*Cost!$B$5</f>
        <v>105.89701999999998</v>
      </c>
      <c r="E27" s="8">
        <f>SUMIFS('[1]Parts list'!$P$4:$P$159,'[1]Parts list'!$A$4:$A$159,$A27,'[1]Parts list'!$O$4:$O$159,"Quote",'[1]Parts list'!$B$4:$B$159,"&lt;&gt;PCB")*Cost!$B$5</f>
        <v>91.210409999999996</v>
      </c>
      <c r="F27" s="1"/>
    </row>
    <row r="28" spans="1:6" x14ac:dyDescent="0.2">
      <c r="A28" s="1" t="s">
        <v>42</v>
      </c>
      <c r="B28" s="50">
        <f>SUMIFS('[1]Parts list'!$C$4:$C$159,'[1]Parts list'!$A$4:$A$159,$A28,'[1]Parts list'!$K$4:$K$159,"Yes",'[1]Parts list'!$B$4:$B$159,"&lt;&gt;PCB")</f>
        <v>10</v>
      </c>
      <c r="C28" s="10">
        <f>SUMIFS('[1]Parts list'!$P$4:$P$159,'[1]Parts list'!$A$4:$A$159,$A28,'[1]Parts list'!$B$4:$B$159,"&lt;&gt;PCB")</f>
        <v>4.5511999999999997</v>
      </c>
      <c r="D28" s="9">
        <f>C28*Cost!$B$5</f>
        <v>144.27303999999998</v>
      </c>
      <c r="E28" s="9">
        <f>SUMIFS('[1]Parts list'!$P$4:$P$159,'[1]Parts list'!$A$4:$A$159,$A28,'[1]Parts list'!$O$4:$O$159,"Quote",'[1]Parts list'!$B$4:$B$159,"&lt;&gt;PCB")*Cost!$B$5</f>
        <v>143.76584</v>
      </c>
      <c r="F28" s="1"/>
    </row>
    <row r="29" spans="1:6" x14ac:dyDescent="0.2">
      <c r="A29" s="30" t="s">
        <v>43</v>
      </c>
      <c r="B29" s="52">
        <f>SUM(B20:B28)</f>
        <v>273</v>
      </c>
      <c r="C29" s="33">
        <f>SUM(C20:C28)</f>
        <v>40.619499999999995</v>
      </c>
      <c r="D29" s="31">
        <f>SUM(D20:D28)</f>
        <v>1287.63815</v>
      </c>
      <c r="E29" s="31">
        <f>SUM(E20:E28)</f>
        <v>1221.2425000000001</v>
      </c>
      <c r="F29" s="1"/>
    </row>
    <row r="30" spans="1:6" ht="9.75" customHeight="1" x14ac:dyDescent="0.2">
      <c r="A30" s="1"/>
      <c r="B30" s="1"/>
      <c r="C30" s="1"/>
      <c r="D30" s="1"/>
      <c r="E30" s="1"/>
      <c r="F30" s="1"/>
    </row>
    <row r="31" spans="1:6" ht="20.25" customHeight="1" x14ac:dyDescent="0.2">
      <c r="A31" s="40" t="s">
        <v>44</v>
      </c>
      <c r="B31" s="40"/>
      <c r="C31" s="40"/>
      <c r="D31" s="40"/>
      <c r="E31" s="40"/>
      <c r="F31" s="40"/>
    </row>
    <row r="32" spans="1:6" x14ac:dyDescent="0.2">
      <c r="A32" s="3" t="s">
        <v>45</v>
      </c>
      <c r="B32" s="81" t="s">
        <v>46</v>
      </c>
      <c r="C32" s="81"/>
      <c r="D32" s="81"/>
      <c r="E32" s="81"/>
      <c r="F32" s="81"/>
    </row>
    <row r="33" spans="1:6" ht="15" customHeight="1" x14ac:dyDescent="0.2">
      <c r="A33" s="53" t="s">
        <v>47</v>
      </c>
      <c r="B33" s="78" t="s">
        <v>48</v>
      </c>
      <c r="C33" s="78"/>
      <c r="D33" s="78"/>
      <c r="E33" s="78"/>
      <c r="F33" s="78"/>
    </row>
    <row r="34" spans="1:6" ht="15" customHeight="1" x14ac:dyDescent="0.2">
      <c r="A34" s="54" t="s">
        <v>49</v>
      </c>
      <c r="B34" s="77" t="s">
        <v>50</v>
      </c>
      <c r="C34" s="77"/>
      <c r="D34" s="77"/>
      <c r="E34" s="77"/>
      <c r="F34" s="77"/>
    </row>
    <row r="35" spans="1:6" ht="15" customHeight="1" x14ac:dyDescent="0.2">
      <c r="A35" s="53" t="s">
        <v>51</v>
      </c>
      <c r="B35" s="78" t="s">
        <v>52</v>
      </c>
      <c r="C35" s="78"/>
      <c r="D35" s="78"/>
      <c r="E35" s="78"/>
      <c r="F35" s="78"/>
    </row>
    <row r="36" spans="1:6" ht="15" customHeight="1" x14ac:dyDescent="0.2">
      <c r="A36" s="54" t="s">
        <v>53</v>
      </c>
      <c r="B36" s="77" t="s">
        <v>54</v>
      </c>
      <c r="C36" s="77"/>
      <c r="D36" s="77"/>
      <c r="E36" s="77"/>
      <c r="F36" s="77"/>
    </row>
    <row r="37" spans="1:6" ht="15" customHeight="1" x14ac:dyDescent="0.2">
      <c r="A37" s="53" t="s">
        <v>55</v>
      </c>
      <c r="B37" s="78" t="s">
        <v>56</v>
      </c>
      <c r="C37" s="78"/>
      <c r="D37" s="78"/>
      <c r="E37" s="78"/>
      <c r="F37" s="78"/>
    </row>
    <row r="38" spans="1:6" ht="15" customHeight="1" x14ac:dyDescent="0.2">
      <c r="A38" s="54" t="s">
        <v>57</v>
      </c>
      <c r="B38" s="77" t="s">
        <v>58</v>
      </c>
      <c r="C38" s="77"/>
      <c r="D38" s="77"/>
      <c r="E38" s="77"/>
      <c r="F38" s="77"/>
    </row>
    <row r="39" spans="1:6" ht="27.75" customHeight="1" x14ac:dyDescent="0.2">
      <c r="A39" s="53" t="s">
        <v>59</v>
      </c>
      <c r="B39" s="78" t="s">
        <v>60</v>
      </c>
      <c r="C39" s="78"/>
      <c r="D39" s="78"/>
      <c r="E39" s="78"/>
      <c r="F39" s="78"/>
    </row>
  </sheetData>
  <mergeCells count="10">
    <mergeCell ref="B36:F36"/>
    <mergeCell ref="B37:F37"/>
    <mergeCell ref="B38:F38"/>
    <mergeCell ref="B39:F39"/>
    <mergeCell ref="A1:F1"/>
    <mergeCell ref="A2:F2"/>
    <mergeCell ref="B32:F32"/>
    <mergeCell ref="B33:F33"/>
    <mergeCell ref="B34:F34"/>
    <mergeCell ref="B35:F35"/>
  </mergeCells>
  <conditionalFormatting sqref="B15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192E-3648-48E7-A026-2BCC142F2CE4}">
  <dimension ref="A1:Q90"/>
  <sheetViews>
    <sheetView tabSelected="1" workbookViewId="0">
      <pane xSplit="3" ySplit="3" topLeftCell="D4" activePane="bottomRight" state="frozen"/>
      <selection pane="topRight"/>
      <selection pane="bottomLeft"/>
      <selection pane="bottomRight" sqref="A1:Q1"/>
    </sheetView>
  </sheetViews>
  <sheetFormatPr baseColWidth="10" defaultColWidth="8.83203125" defaultRowHeight="15" x14ac:dyDescent="0.2"/>
  <cols>
    <col min="1" max="1" width="6.6640625" customWidth="1"/>
    <col min="2" max="2" width="28.6640625" customWidth="1"/>
    <col min="3" max="3" width="26.6640625" customWidth="1"/>
    <col min="4" max="4" width="13.6640625" customWidth="1"/>
    <col min="5" max="7" width="20.6640625" customWidth="1"/>
    <col min="8" max="8" width="14.6640625" customWidth="1"/>
    <col min="9" max="9" width="40.6640625" customWidth="1"/>
    <col min="10" max="10" width="10.6640625" customWidth="1"/>
    <col min="11" max="11" width="16.6640625" customWidth="1"/>
    <col min="12" max="12" width="11.6640625" customWidth="1"/>
    <col min="13" max="14" width="9.6640625" customWidth="1"/>
    <col min="15" max="17" width="10.6640625" customWidth="1"/>
  </cols>
  <sheetData>
    <row r="1" spans="1:17" ht="21.75" customHeight="1" x14ac:dyDescent="0.2">
      <c r="A1" s="82" t="s">
        <v>338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</row>
    <row r="2" spans="1:17" ht="15.75" customHeight="1" x14ac:dyDescent="0.2">
      <c r="A2" s="83" t="s">
        <v>339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</row>
    <row r="3" spans="1:17" ht="56.25" customHeight="1" x14ac:dyDescent="0.2">
      <c r="A3" s="59" t="s">
        <v>340</v>
      </c>
      <c r="B3" s="59" t="s">
        <v>341</v>
      </c>
      <c r="C3" s="59" t="s">
        <v>64</v>
      </c>
      <c r="D3" s="59" t="s">
        <v>4</v>
      </c>
      <c r="E3" s="59" t="s">
        <v>62</v>
      </c>
      <c r="F3" s="59" t="s">
        <v>63</v>
      </c>
      <c r="G3" s="59" t="s">
        <v>65</v>
      </c>
      <c r="H3" s="59" t="s">
        <v>66</v>
      </c>
      <c r="I3" s="59" t="s">
        <v>61</v>
      </c>
      <c r="J3" s="59" t="s">
        <v>342</v>
      </c>
      <c r="K3" s="59" t="s">
        <v>343</v>
      </c>
      <c r="L3" s="59" t="s">
        <v>68</v>
      </c>
      <c r="M3" s="59" t="s">
        <v>69</v>
      </c>
      <c r="N3" s="59" t="s">
        <v>67</v>
      </c>
      <c r="O3" s="59" t="s">
        <v>71</v>
      </c>
      <c r="P3" s="59" t="s">
        <v>72</v>
      </c>
      <c r="Q3" s="59" t="s">
        <v>70</v>
      </c>
    </row>
    <row r="4" spans="1:17" ht="15" customHeight="1" x14ac:dyDescent="0.2">
      <c r="A4" s="62">
        <v>1</v>
      </c>
      <c r="B4" s="60" t="s">
        <v>344</v>
      </c>
      <c r="C4" s="60" t="s">
        <v>103</v>
      </c>
      <c r="D4" s="60" t="s">
        <v>100</v>
      </c>
      <c r="E4" s="60" t="s">
        <v>101</v>
      </c>
      <c r="F4" s="60" t="s">
        <v>102</v>
      </c>
      <c r="G4" s="60" t="s">
        <v>104</v>
      </c>
      <c r="H4" s="60" t="s">
        <v>78</v>
      </c>
      <c r="I4" s="60" t="s">
        <v>99</v>
      </c>
      <c r="J4" s="68">
        <v>1</v>
      </c>
      <c r="K4" s="68">
        <v>0</v>
      </c>
      <c r="L4" s="69">
        <v>6.3200000000000006E-2</v>
      </c>
      <c r="M4" s="61" t="s">
        <v>47</v>
      </c>
      <c r="N4" s="61"/>
      <c r="O4" s="70">
        <f>($J4+$K4)*Cost!$B$7</f>
        <v>5</v>
      </c>
      <c r="P4" s="70">
        <f>$J4*Cost!$B$6</f>
        <v>100</v>
      </c>
      <c r="Q4" s="69">
        <f t="shared" ref="Q4:Q35" si="0">$J4*$L4</f>
        <v>6.3200000000000006E-2</v>
      </c>
    </row>
    <row r="5" spans="1:17" ht="27.75" customHeight="1" x14ac:dyDescent="0.2">
      <c r="A5" s="72">
        <v>2</v>
      </c>
      <c r="B5" s="71" t="s">
        <v>280</v>
      </c>
      <c r="C5" s="71" t="s">
        <v>284</v>
      </c>
      <c r="D5" s="71" t="s">
        <v>281</v>
      </c>
      <c r="E5" s="71" t="s">
        <v>282</v>
      </c>
      <c r="F5" s="71" t="s">
        <v>283</v>
      </c>
      <c r="G5" s="71" t="s">
        <v>285</v>
      </c>
      <c r="H5" s="71" t="s">
        <v>78</v>
      </c>
      <c r="I5" s="71" t="s">
        <v>279</v>
      </c>
      <c r="J5" s="74">
        <v>1</v>
      </c>
      <c r="K5" s="74">
        <v>0</v>
      </c>
      <c r="L5" s="75">
        <v>0.4642</v>
      </c>
      <c r="M5" s="73" t="s">
        <v>47</v>
      </c>
      <c r="N5" s="73"/>
      <c r="O5" s="76">
        <f>($J5+$K5)*Cost!$B$7</f>
        <v>5</v>
      </c>
      <c r="P5" s="76">
        <f>$J5*Cost!$B$6</f>
        <v>100</v>
      </c>
      <c r="Q5" s="75">
        <f t="shared" si="0"/>
        <v>0.4642</v>
      </c>
    </row>
    <row r="6" spans="1:17" ht="15" customHeight="1" x14ac:dyDescent="0.2">
      <c r="A6" s="62">
        <v>3</v>
      </c>
      <c r="B6" s="60" t="s">
        <v>345</v>
      </c>
      <c r="C6" s="60" t="s">
        <v>235</v>
      </c>
      <c r="D6" s="60" t="s">
        <v>73</v>
      </c>
      <c r="E6" s="60" t="s">
        <v>233</v>
      </c>
      <c r="F6" s="60" t="s">
        <v>234</v>
      </c>
      <c r="G6" s="60" t="s">
        <v>236</v>
      </c>
      <c r="H6" s="60" t="s">
        <v>78</v>
      </c>
      <c r="I6" s="60" t="s">
        <v>232</v>
      </c>
      <c r="J6" s="68">
        <v>1</v>
      </c>
      <c r="K6" s="68">
        <v>0</v>
      </c>
      <c r="L6" s="69">
        <v>0.1358</v>
      </c>
      <c r="M6" s="61" t="s">
        <v>47</v>
      </c>
      <c r="N6" s="61"/>
      <c r="O6" s="70">
        <f>($J6+$K6)*Cost!$B$7</f>
        <v>5</v>
      </c>
      <c r="P6" s="70">
        <f>$J6*Cost!$B$6</f>
        <v>100</v>
      </c>
      <c r="Q6" s="69">
        <f t="shared" si="0"/>
        <v>0.1358</v>
      </c>
    </row>
    <row r="7" spans="1:17" ht="27.75" customHeight="1" x14ac:dyDescent="0.2">
      <c r="A7" s="72">
        <v>4</v>
      </c>
      <c r="B7" s="71" t="s">
        <v>346</v>
      </c>
      <c r="C7" s="71" t="s">
        <v>152</v>
      </c>
      <c r="D7" s="71" t="s">
        <v>149</v>
      </c>
      <c r="E7" s="71" t="s">
        <v>150</v>
      </c>
      <c r="F7" s="71" t="s">
        <v>151</v>
      </c>
      <c r="G7" s="71" t="s">
        <v>153</v>
      </c>
      <c r="H7" s="71" t="s">
        <v>78</v>
      </c>
      <c r="I7" s="71" t="s">
        <v>148</v>
      </c>
      <c r="J7" s="74">
        <v>1</v>
      </c>
      <c r="K7" s="74">
        <v>0</v>
      </c>
      <c r="L7" s="75">
        <v>7.5899999999999995E-2</v>
      </c>
      <c r="M7" s="73" t="s">
        <v>47</v>
      </c>
      <c r="N7" s="73"/>
      <c r="O7" s="76">
        <f>($J7+$K7)*Cost!$B$7</f>
        <v>5</v>
      </c>
      <c r="P7" s="76">
        <f>$J7*Cost!$B$6</f>
        <v>100</v>
      </c>
      <c r="Q7" s="75">
        <f t="shared" si="0"/>
        <v>7.5899999999999995E-2</v>
      </c>
    </row>
    <row r="8" spans="1:17" ht="27.75" customHeight="1" x14ac:dyDescent="0.2">
      <c r="A8" s="62">
        <v>5</v>
      </c>
      <c r="B8" s="60" t="s">
        <v>347</v>
      </c>
      <c r="C8" s="60" t="s">
        <v>177</v>
      </c>
      <c r="D8" s="60" t="s">
        <v>73</v>
      </c>
      <c r="E8" s="60" t="s">
        <v>175</v>
      </c>
      <c r="F8" s="60" t="s">
        <v>176</v>
      </c>
      <c r="G8" s="60" t="s">
        <v>178</v>
      </c>
      <c r="H8" s="60" t="s">
        <v>143</v>
      </c>
      <c r="I8" s="60" t="s">
        <v>174</v>
      </c>
      <c r="J8" s="68">
        <v>1</v>
      </c>
      <c r="K8" s="68">
        <v>0</v>
      </c>
      <c r="L8" s="69">
        <v>6.08</v>
      </c>
      <c r="M8" s="61" t="s">
        <v>47</v>
      </c>
      <c r="N8" s="61"/>
      <c r="O8" s="70">
        <f>($J8+$K8)*Cost!$B$7</f>
        <v>5</v>
      </c>
      <c r="P8" s="70">
        <f>$J8*Cost!$B$6</f>
        <v>100</v>
      </c>
      <c r="Q8" s="69">
        <f t="shared" si="0"/>
        <v>6.08</v>
      </c>
    </row>
    <row r="9" spans="1:17" ht="15" customHeight="1" x14ac:dyDescent="0.2">
      <c r="A9" s="72">
        <v>6</v>
      </c>
      <c r="B9" s="71" t="s">
        <v>348</v>
      </c>
      <c r="C9" s="71" t="s">
        <v>146</v>
      </c>
      <c r="D9" s="71" t="s">
        <v>144</v>
      </c>
      <c r="E9" s="71" t="s">
        <v>87</v>
      </c>
      <c r="F9" s="71" t="s">
        <v>145</v>
      </c>
      <c r="G9" s="71" t="s">
        <v>147</v>
      </c>
      <c r="H9" s="71" t="s">
        <v>78</v>
      </c>
      <c r="I9" s="71" t="s">
        <v>349</v>
      </c>
      <c r="J9" s="74">
        <v>4</v>
      </c>
      <c r="K9" s="74">
        <v>0</v>
      </c>
      <c r="L9" s="75">
        <v>2.58E-2</v>
      </c>
      <c r="M9" s="73" t="s">
        <v>47</v>
      </c>
      <c r="N9" s="73"/>
      <c r="O9" s="76">
        <f>($J9+$K9)*Cost!$B$7</f>
        <v>20</v>
      </c>
      <c r="P9" s="76">
        <f>$J9*Cost!$B$6</f>
        <v>400</v>
      </c>
      <c r="Q9" s="75">
        <f t="shared" si="0"/>
        <v>0.1032</v>
      </c>
    </row>
    <row r="10" spans="1:17" ht="15" customHeight="1" x14ac:dyDescent="0.2">
      <c r="A10" s="62">
        <v>7</v>
      </c>
      <c r="B10" s="60" t="s">
        <v>350</v>
      </c>
      <c r="C10" s="60" t="s">
        <v>109</v>
      </c>
      <c r="D10" s="60" t="s">
        <v>106</v>
      </c>
      <c r="E10" s="60" t="s">
        <v>107</v>
      </c>
      <c r="F10" s="60" t="s">
        <v>108</v>
      </c>
      <c r="G10" s="60" t="s">
        <v>110</v>
      </c>
      <c r="H10" s="60" t="s">
        <v>78</v>
      </c>
      <c r="I10" s="60" t="s">
        <v>105</v>
      </c>
      <c r="J10" s="68">
        <v>1</v>
      </c>
      <c r="K10" s="68">
        <v>0</v>
      </c>
      <c r="L10" s="69">
        <v>0.06</v>
      </c>
      <c r="M10" s="61" t="s">
        <v>47</v>
      </c>
      <c r="N10" s="61"/>
      <c r="O10" s="70">
        <f>($J10+$K10)*Cost!$B$7</f>
        <v>5</v>
      </c>
      <c r="P10" s="70">
        <f>$J10*Cost!$B$6</f>
        <v>100</v>
      </c>
      <c r="Q10" s="69">
        <f t="shared" si="0"/>
        <v>0.06</v>
      </c>
    </row>
    <row r="11" spans="1:17" ht="15" customHeight="1" x14ac:dyDescent="0.2">
      <c r="A11" s="72">
        <v>8</v>
      </c>
      <c r="B11" s="71" t="s">
        <v>350</v>
      </c>
      <c r="C11" s="71" t="s">
        <v>290</v>
      </c>
      <c r="D11" s="71" t="s">
        <v>287</v>
      </c>
      <c r="E11" s="71" t="s">
        <v>288</v>
      </c>
      <c r="F11" s="71" t="s">
        <v>289</v>
      </c>
      <c r="G11" s="71" t="s">
        <v>291</v>
      </c>
      <c r="H11" s="71" t="s">
        <v>78</v>
      </c>
      <c r="I11" s="71" t="s">
        <v>286</v>
      </c>
      <c r="J11" s="74">
        <v>1</v>
      </c>
      <c r="K11" s="74">
        <v>0</v>
      </c>
      <c r="L11" s="75">
        <v>0.11</v>
      </c>
      <c r="M11" s="73" t="s">
        <v>47</v>
      </c>
      <c r="N11" s="73"/>
      <c r="O11" s="76">
        <f>($J11+$K11)*Cost!$B$7</f>
        <v>5</v>
      </c>
      <c r="P11" s="76">
        <f>$J11*Cost!$B$6</f>
        <v>100</v>
      </c>
      <c r="Q11" s="75">
        <f t="shared" si="0"/>
        <v>0.11</v>
      </c>
    </row>
    <row r="12" spans="1:17" ht="15" customHeight="1" x14ac:dyDescent="0.2">
      <c r="A12" s="62">
        <v>9</v>
      </c>
      <c r="B12" s="60" t="s">
        <v>351</v>
      </c>
      <c r="C12" s="60" t="s">
        <v>330</v>
      </c>
      <c r="D12" s="60" t="s">
        <v>73</v>
      </c>
      <c r="E12" s="60" t="s">
        <v>74</v>
      </c>
      <c r="F12" s="60" t="s">
        <v>329</v>
      </c>
      <c r="G12" s="60" t="s">
        <v>331</v>
      </c>
      <c r="H12" s="60" t="s">
        <v>78</v>
      </c>
      <c r="I12" s="60" t="s">
        <v>328</v>
      </c>
      <c r="J12" s="68">
        <v>1</v>
      </c>
      <c r="K12" s="68">
        <v>0</v>
      </c>
      <c r="L12" s="69">
        <v>0.2326</v>
      </c>
      <c r="M12" s="61" t="s">
        <v>47</v>
      </c>
      <c r="N12" s="61"/>
      <c r="O12" s="70">
        <f>($J12+$K12)*Cost!$B$7</f>
        <v>5</v>
      </c>
      <c r="P12" s="70">
        <f>$J12*Cost!$B$6</f>
        <v>100</v>
      </c>
      <c r="Q12" s="69">
        <f t="shared" si="0"/>
        <v>0.2326</v>
      </c>
    </row>
    <row r="13" spans="1:17" ht="15" customHeight="1" x14ac:dyDescent="0.2">
      <c r="A13" s="72">
        <v>10</v>
      </c>
      <c r="B13" s="71" t="s">
        <v>351</v>
      </c>
      <c r="C13" s="71" t="s">
        <v>326</v>
      </c>
      <c r="D13" s="71" t="s">
        <v>73</v>
      </c>
      <c r="E13" s="71" t="s">
        <v>324</v>
      </c>
      <c r="F13" s="71" t="s">
        <v>325</v>
      </c>
      <c r="G13" s="71" t="s">
        <v>327</v>
      </c>
      <c r="H13" s="71" t="s">
        <v>78</v>
      </c>
      <c r="I13" s="71" t="s">
        <v>323</v>
      </c>
      <c r="J13" s="74">
        <v>1</v>
      </c>
      <c r="K13" s="74">
        <v>0</v>
      </c>
      <c r="L13" s="75">
        <v>4.2767999999999997</v>
      </c>
      <c r="M13" s="73" t="s">
        <v>47</v>
      </c>
      <c r="N13" s="73"/>
      <c r="O13" s="76">
        <f>($J13+$K13)*Cost!$B$7</f>
        <v>5</v>
      </c>
      <c r="P13" s="76">
        <f>$J13*Cost!$B$6</f>
        <v>100</v>
      </c>
      <c r="Q13" s="75">
        <f t="shared" si="0"/>
        <v>4.2767999999999997</v>
      </c>
    </row>
    <row r="14" spans="1:17" ht="15" customHeight="1" x14ac:dyDescent="0.2">
      <c r="A14" s="62">
        <v>11</v>
      </c>
      <c r="B14" s="60" t="s">
        <v>352</v>
      </c>
      <c r="C14" s="60" t="s">
        <v>311</v>
      </c>
      <c r="D14" s="60" t="s">
        <v>310</v>
      </c>
      <c r="E14" s="60" t="s">
        <v>298</v>
      </c>
      <c r="F14" s="60" t="s">
        <v>299</v>
      </c>
      <c r="G14" s="60" t="s">
        <v>312</v>
      </c>
      <c r="H14" s="60" t="s">
        <v>78</v>
      </c>
      <c r="I14" s="60" t="s">
        <v>309</v>
      </c>
      <c r="J14" s="68">
        <v>1</v>
      </c>
      <c r="K14" s="68">
        <v>0</v>
      </c>
      <c r="L14" s="69">
        <v>0.31330000000000002</v>
      </c>
      <c r="M14" s="61" t="s">
        <v>47</v>
      </c>
      <c r="N14" s="61"/>
      <c r="O14" s="70">
        <f>($J14+$K14)*Cost!$B$7</f>
        <v>5</v>
      </c>
      <c r="P14" s="70">
        <f>$J14*Cost!$B$6</f>
        <v>100</v>
      </c>
      <c r="Q14" s="69">
        <f t="shared" si="0"/>
        <v>0.31330000000000002</v>
      </c>
    </row>
    <row r="15" spans="1:17" ht="15" customHeight="1" x14ac:dyDescent="0.2">
      <c r="A15" s="72">
        <v>12</v>
      </c>
      <c r="B15" s="71" t="s">
        <v>352</v>
      </c>
      <c r="C15" s="71" t="s">
        <v>300</v>
      </c>
      <c r="D15" s="71" t="s">
        <v>297</v>
      </c>
      <c r="E15" s="71" t="s">
        <v>298</v>
      </c>
      <c r="F15" s="71" t="s">
        <v>299</v>
      </c>
      <c r="G15" s="71" t="s">
        <v>301</v>
      </c>
      <c r="H15" s="71" t="s">
        <v>78</v>
      </c>
      <c r="I15" s="71" t="s">
        <v>296</v>
      </c>
      <c r="J15" s="74">
        <v>1</v>
      </c>
      <c r="K15" s="74">
        <v>0</v>
      </c>
      <c r="L15" s="75">
        <v>0.36930000000000002</v>
      </c>
      <c r="M15" s="73" t="s">
        <v>47</v>
      </c>
      <c r="N15" s="73"/>
      <c r="O15" s="76">
        <f>($J15+$K15)*Cost!$B$7</f>
        <v>5</v>
      </c>
      <c r="P15" s="76">
        <f>$J15*Cost!$B$6</f>
        <v>100</v>
      </c>
      <c r="Q15" s="75">
        <f t="shared" si="0"/>
        <v>0.36930000000000002</v>
      </c>
    </row>
    <row r="16" spans="1:17" ht="15" customHeight="1" x14ac:dyDescent="0.2">
      <c r="A16" s="62">
        <v>13</v>
      </c>
      <c r="B16" s="60" t="s">
        <v>352</v>
      </c>
      <c r="C16" s="60" t="s">
        <v>317</v>
      </c>
      <c r="D16" s="60" t="s">
        <v>314</v>
      </c>
      <c r="E16" s="60" t="s">
        <v>315</v>
      </c>
      <c r="F16" s="60" t="s">
        <v>316</v>
      </c>
      <c r="G16" s="60" t="s">
        <v>318</v>
      </c>
      <c r="H16" s="60" t="s">
        <v>78</v>
      </c>
      <c r="I16" s="60" t="s">
        <v>313</v>
      </c>
      <c r="J16" s="68">
        <v>1</v>
      </c>
      <c r="K16" s="68">
        <v>0</v>
      </c>
      <c r="L16" s="69">
        <v>1.0471999999999999</v>
      </c>
      <c r="M16" s="61" t="s">
        <v>47</v>
      </c>
      <c r="N16" s="61"/>
      <c r="O16" s="70">
        <f>($J16+$K16)*Cost!$B$7</f>
        <v>5</v>
      </c>
      <c r="P16" s="70">
        <f>$J16*Cost!$B$6</f>
        <v>100</v>
      </c>
      <c r="Q16" s="69">
        <f t="shared" si="0"/>
        <v>1.0471999999999999</v>
      </c>
    </row>
    <row r="17" spans="1:17" ht="15" customHeight="1" x14ac:dyDescent="0.2">
      <c r="A17" s="72">
        <v>14</v>
      </c>
      <c r="B17" s="71" t="s">
        <v>352</v>
      </c>
      <c r="C17" s="71" t="s">
        <v>122</v>
      </c>
      <c r="D17" s="71" t="s">
        <v>119</v>
      </c>
      <c r="E17" s="71" t="s">
        <v>120</v>
      </c>
      <c r="F17" s="71" t="s">
        <v>121</v>
      </c>
      <c r="G17" s="71" t="s">
        <v>123</v>
      </c>
      <c r="H17" s="71" t="s">
        <v>124</v>
      </c>
      <c r="I17" s="71" t="s">
        <v>118</v>
      </c>
      <c r="J17" s="74">
        <v>1</v>
      </c>
      <c r="K17" s="74">
        <v>0</v>
      </c>
      <c r="L17" s="75">
        <v>0.17380000000000001</v>
      </c>
      <c r="M17" s="73" t="s">
        <v>47</v>
      </c>
      <c r="N17" s="73"/>
      <c r="O17" s="76">
        <f>($J17+$K17)*Cost!$B$7</f>
        <v>5</v>
      </c>
      <c r="P17" s="76">
        <f>$J17*Cost!$B$6</f>
        <v>100</v>
      </c>
      <c r="Q17" s="75">
        <f t="shared" si="0"/>
        <v>0.17380000000000001</v>
      </c>
    </row>
    <row r="18" spans="1:17" ht="15" customHeight="1" x14ac:dyDescent="0.2">
      <c r="A18" s="62">
        <v>15</v>
      </c>
      <c r="B18" s="60" t="s">
        <v>352</v>
      </c>
      <c r="C18" s="60" t="s">
        <v>135</v>
      </c>
      <c r="D18" s="60" t="s">
        <v>133</v>
      </c>
      <c r="E18" s="60" t="s">
        <v>101</v>
      </c>
      <c r="F18" s="60" t="s">
        <v>134</v>
      </c>
      <c r="G18" s="60" t="s">
        <v>136</v>
      </c>
      <c r="H18" s="60" t="s">
        <v>78</v>
      </c>
      <c r="I18" s="60" t="s">
        <v>132</v>
      </c>
      <c r="J18" s="68">
        <v>2</v>
      </c>
      <c r="K18" s="68">
        <v>0</v>
      </c>
      <c r="L18" s="69">
        <v>0.1089</v>
      </c>
      <c r="M18" s="61" t="s">
        <v>47</v>
      </c>
      <c r="N18" s="61"/>
      <c r="O18" s="70">
        <f>($J18+$K18)*Cost!$B$7</f>
        <v>10</v>
      </c>
      <c r="P18" s="70">
        <f>$J18*Cost!$B$6</f>
        <v>200</v>
      </c>
      <c r="Q18" s="69">
        <f t="shared" si="0"/>
        <v>0.21779999999999999</v>
      </c>
    </row>
    <row r="19" spans="1:17" ht="15" customHeight="1" x14ac:dyDescent="0.2">
      <c r="A19" s="72">
        <v>16</v>
      </c>
      <c r="B19" s="71" t="s">
        <v>353</v>
      </c>
      <c r="C19" s="71" t="s">
        <v>252</v>
      </c>
      <c r="D19" s="71" t="s">
        <v>250</v>
      </c>
      <c r="E19" s="71" t="s">
        <v>240</v>
      </c>
      <c r="F19" s="71" t="s">
        <v>251</v>
      </c>
      <c r="G19" s="71" t="s">
        <v>253</v>
      </c>
      <c r="H19" s="71" t="s">
        <v>124</v>
      </c>
      <c r="I19" s="71" t="s">
        <v>354</v>
      </c>
      <c r="J19" s="74">
        <v>3</v>
      </c>
      <c r="K19" s="74">
        <v>0</v>
      </c>
      <c r="L19" s="75">
        <v>1.29E-2</v>
      </c>
      <c r="M19" s="73" t="s">
        <v>47</v>
      </c>
      <c r="N19" s="73"/>
      <c r="O19" s="76">
        <f>($J19+$K19)*Cost!$B$7</f>
        <v>15</v>
      </c>
      <c r="P19" s="76">
        <f>$J19*Cost!$B$6</f>
        <v>300</v>
      </c>
      <c r="Q19" s="75">
        <f t="shared" si="0"/>
        <v>3.8699999999999998E-2</v>
      </c>
    </row>
    <row r="20" spans="1:17" ht="15" customHeight="1" x14ac:dyDescent="0.2">
      <c r="A20" s="62">
        <v>17</v>
      </c>
      <c r="B20" s="60" t="s">
        <v>355</v>
      </c>
      <c r="C20" s="60" t="s">
        <v>206</v>
      </c>
      <c r="D20" s="60" t="s">
        <v>73</v>
      </c>
      <c r="E20" s="60" t="s">
        <v>204</v>
      </c>
      <c r="F20" s="60" t="s">
        <v>205</v>
      </c>
      <c r="G20" s="60" t="s">
        <v>207</v>
      </c>
      <c r="H20" s="60" t="s">
        <v>78</v>
      </c>
      <c r="I20" s="60" t="s">
        <v>203</v>
      </c>
      <c r="J20" s="68">
        <v>1</v>
      </c>
      <c r="K20" s="68">
        <v>0</v>
      </c>
      <c r="L20" s="69">
        <v>0.87660000000000005</v>
      </c>
      <c r="M20" s="61" t="s">
        <v>47</v>
      </c>
      <c r="N20" s="61"/>
      <c r="O20" s="70">
        <f>($J20+$K20)*Cost!$B$7</f>
        <v>5</v>
      </c>
      <c r="P20" s="70">
        <f>$J20*Cost!$B$6</f>
        <v>100</v>
      </c>
      <c r="Q20" s="69">
        <f t="shared" si="0"/>
        <v>0.87660000000000005</v>
      </c>
    </row>
    <row r="21" spans="1:17" ht="27.75" customHeight="1" x14ac:dyDescent="0.2">
      <c r="A21" s="72">
        <v>18</v>
      </c>
      <c r="B21" s="71" t="s">
        <v>355</v>
      </c>
      <c r="C21" s="71" t="s">
        <v>211</v>
      </c>
      <c r="D21" s="71" t="s">
        <v>73</v>
      </c>
      <c r="E21" s="71" t="s">
        <v>209</v>
      </c>
      <c r="F21" s="71" t="s">
        <v>210</v>
      </c>
      <c r="G21" s="71" t="s">
        <v>212</v>
      </c>
      <c r="H21" s="71" t="s">
        <v>78</v>
      </c>
      <c r="I21" s="71" t="s">
        <v>208</v>
      </c>
      <c r="J21" s="74">
        <v>4</v>
      </c>
      <c r="K21" s="74">
        <v>0</v>
      </c>
      <c r="L21" s="75">
        <v>2.1107999999999998</v>
      </c>
      <c r="M21" s="73" t="s">
        <v>47</v>
      </c>
      <c r="N21" s="73" t="s">
        <v>79</v>
      </c>
      <c r="O21" s="76">
        <f>($J21+$K21)*Cost!$B$7</f>
        <v>20</v>
      </c>
      <c r="P21" s="76">
        <f>$J21*Cost!$B$6</f>
        <v>400</v>
      </c>
      <c r="Q21" s="75">
        <f t="shared" si="0"/>
        <v>8.4431999999999992</v>
      </c>
    </row>
    <row r="22" spans="1:17" ht="27.75" customHeight="1" x14ac:dyDescent="0.2">
      <c r="A22" s="62">
        <v>19</v>
      </c>
      <c r="B22" s="60" t="s">
        <v>356</v>
      </c>
      <c r="C22" s="60" t="s">
        <v>170</v>
      </c>
      <c r="D22" s="60" t="s">
        <v>167</v>
      </c>
      <c r="E22" s="60" t="s">
        <v>168</v>
      </c>
      <c r="F22" s="60" t="s">
        <v>169</v>
      </c>
      <c r="G22" s="60" t="s">
        <v>142</v>
      </c>
      <c r="H22" s="60" t="s">
        <v>143</v>
      </c>
      <c r="I22" s="60" t="s">
        <v>166</v>
      </c>
      <c r="J22" s="68">
        <v>1</v>
      </c>
      <c r="K22" s="68">
        <v>0</v>
      </c>
      <c r="L22" s="69">
        <v>0.873</v>
      </c>
      <c r="M22" s="61" t="s">
        <v>47</v>
      </c>
      <c r="N22" s="61" t="s">
        <v>79</v>
      </c>
      <c r="O22" s="70">
        <f>($J22+$K22)*Cost!$B$7</f>
        <v>5</v>
      </c>
      <c r="P22" s="70">
        <f>$J22*Cost!$B$6</f>
        <v>100</v>
      </c>
      <c r="Q22" s="69">
        <f t="shared" si="0"/>
        <v>0.873</v>
      </c>
    </row>
    <row r="23" spans="1:17" ht="27.75" customHeight="1" x14ac:dyDescent="0.2">
      <c r="A23" s="72">
        <v>20</v>
      </c>
      <c r="B23" s="71" t="s">
        <v>356</v>
      </c>
      <c r="C23" s="71" t="s">
        <v>173</v>
      </c>
      <c r="D23" s="71" t="s">
        <v>172</v>
      </c>
      <c r="E23" s="71" t="s">
        <v>168</v>
      </c>
      <c r="F23" s="71" t="s">
        <v>169</v>
      </c>
      <c r="G23" s="71" t="s">
        <v>142</v>
      </c>
      <c r="H23" s="71" t="s">
        <v>143</v>
      </c>
      <c r="I23" s="71" t="s">
        <v>171</v>
      </c>
      <c r="J23" s="74">
        <v>1</v>
      </c>
      <c r="K23" s="74">
        <v>0</v>
      </c>
      <c r="L23" s="75">
        <v>0.88300000000000001</v>
      </c>
      <c r="M23" s="73" t="s">
        <v>47</v>
      </c>
      <c r="N23" s="73" t="s">
        <v>79</v>
      </c>
      <c r="O23" s="76">
        <f>($J23+$K23)*Cost!$B$7</f>
        <v>5</v>
      </c>
      <c r="P23" s="76">
        <f>$J23*Cost!$B$6</f>
        <v>100</v>
      </c>
      <c r="Q23" s="75">
        <f t="shared" si="0"/>
        <v>0.88300000000000001</v>
      </c>
    </row>
    <row r="24" spans="1:17" ht="15" customHeight="1" x14ac:dyDescent="0.2">
      <c r="A24" s="62">
        <v>21</v>
      </c>
      <c r="B24" s="60" t="s">
        <v>357</v>
      </c>
      <c r="C24" s="60" t="s">
        <v>160</v>
      </c>
      <c r="D24" s="60" t="s">
        <v>157</v>
      </c>
      <c r="E24" s="60" t="s">
        <v>158</v>
      </c>
      <c r="F24" s="60" t="s">
        <v>159</v>
      </c>
      <c r="G24" s="60" t="s">
        <v>161</v>
      </c>
      <c r="H24" s="60" t="s">
        <v>78</v>
      </c>
      <c r="I24" s="60" t="s">
        <v>156</v>
      </c>
      <c r="J24" s="68">
        <v>1</v>
      </c>
      <c r="K24" s="68">
        <v>0</v>
      </c>
      <c r="L24" s="69">
        <v>1.1588000000000001</v>
      </c>
      <c r="M24" s="61" t="s">
        <v>47</v>
      </c>
      <c r="N24" s="61"/>
      <c r="O24" s="70">
        <f>($J24+$K24)*Cost!$B$7</f>
        <v>5</v>
      </c>
      <c r="P24" s="70">
        <f>$J24*Cost!$B$6</f>
        <v>100</v>
      </c>
      <c r="Q24" s="69">
        <f t="shared" si="0"/>
        <v>1.1588000000000001</v>
      </c>
    </row>
    <row r="25" spans="1:17" ht="27.75" customHeight="1" x14ac:dyDescent="0.2">
      <c r="A25" s="72">
        <v>22</v>
      </c>
      <c r="B25" s="71" t="s">
        <v>358</v>
      </c>
      <c r="C25" s="71" t="s">
        <v>260</v>
      </c>
      <c r="D25" s="71" t="s">
        <v>73</v>
      </c>
      <c r="E25" s="71" t="s">
        <v>258</v>
      </c>
      <c r="F25" s="71" t="s">
        <v>259</v>
      </c>
      <c r="G25" s="71" t="s">
        <v>261</v>
      </c>
      <c r="H25" s="71" t="s">
        <v>78</v>
      </c>
      <c r="I25" s="71" t="s">
        <v>257</v>
      </c>
      <c r="J25" s="74">
        <v>2</v>
      </c>
      <c r="K25" s="74">
        <v>0</v>
      </c>
      <c r="L25" s="75">
        <v>1.2231000000000001</v>
      </c>
      <c r="M25" s="73" t="s">
        <v>47</v>
      </c>
      <c r="N25" s="73"/>
      <c r="O25" s="76">
        <f>($J25+$K25)*Cost!$B$7</f>
        <v>10</v>
      </c>
      <c r="P25" s="76">
        <f>$J25*Cost!$B$6</f>
        <v>200</v>
      </c>
      <c r="Q25" s="75">
        <f t="shared" si="0"/>
        <v>2.4462000000000002</v>
      </c>
    </row>
    <row r="26" spans="1:17" ht="15" customHeight="1" x14ac:dyDescent="0.2">
      <c r="A26" s="62">
        <v>23</v>
      </c>
      <c r="B26" s="60" t="s">
        <v>359</v>
      </c>
      <c r="C26" s="60" t="s">
        <v>230</v>
      </c>
      <c r="D26" s="60" t="s">
        <v>229</v>
      </c>
      <c r="E26" s="60" t="s">
        <v>74</v>
      </c>
      <c r="F26" s="60" t="s">
        <v>73</v>
      </c>
      <c r="G26" s="60" t="s">
        <v>231</v>
      </c>
      <c r="H26" s="60" t="s">
        <v>78</v>
      </c>
      <c r="I26" s="60" t="s">
        <v>228</v>
      </c>
      <c r="J26" s="68">
        <v>1</v>
      </c>
      <c r="K26" s="68">
        <v>0</v>
      </c>
      <c r="L26" s="69">
        <v>9.5799999999999996E-2</v>
      </c>
      <c r="M26" s="61" t="s">
        <v>47</v>
      </c>
      <c r="N26" s="61"/>
      <c r="O26" s="70">
        <f>($J26+$K26)*Cost!$B$7</f>
        <v>5</v>
      </c>
      <c r="P26" s="70">
        <f>$J26*Cost!$B$6</f>
        <v>100</v>
      </c>
      <c r="Q26" s="69">
        <f t="shared" si="0"/>
        <v>9.5799999999999996E-2</v>
      </c>
    </row>
    <row r="27" spans="1:17" ht="27.75" customHeight="1" x14ac:dyDescent="0.2">
      <c r="A27" s="72">
        <v>24</v>
      </c>
      <c r="B27" s="71" t="s">
        <v>360</v>
      </c>
      <c r="C27" s="71" t="s">
        <v>274</v>
      </c>
      <c r="D27" s="71" t="s">
        <v>271</v>
      </c>
      <c r="E27" s="71" t="s">
        <v>272</v>
      </c>
      <c r="F27" s="71" t="s">
        <v>273</v>
      </c>
      <c r="G27" s="71" t="s">
        <v>275</v>
      </c>
      <c r="H27" s="71" t="s">
        <v>78</v>
      </c>
      <c r="I27" s="71" t="s">
        <v>270</v>
      </c>
      <c r="J27" s="74">
        <v>1</v>
      </c>
      <c r="K27" s="74">
        <v>0</v>
      </c>
      <c r="L27" s="75">
        <v>0.12</v>
      </c>
      <c r="M27" s="73" t="s">
        <v>47</v>
      </c>
      <c r="N27" s="73"/>
      <c r="O27" s="76">
        <f>($J27+$K27)*Cost!$B$7</f>
        <v>5</v>
      </c>
      <c r="P27" s="76">
        <f>$J27*Cost!$B$6</f>
        <v>100</v>
      </c>
      <c r="Q27" s="75">
        <f t="shared" si="0"/>
        <v>0.12</v>
      </c>
    </row>
    <row r="28" spans="1:17" ht="15" customHeight="1" x14ac:dyDescent="0.2">
      <c r="A28" s="62">
        <v>25</v>
      </c>
      <c r="B28" s="60" t="s">
        <v>361</v>
      </c>
      <c r="C28" s="60" t="s">
        <v>93</v>
      </c>
      <c r="D28" s="60" t="s">
        <v>73</v>
      </c>
      <c r="E28" s="60" t="s">
        <v>91</v>
      </c>
      <c r="F28" s="60" t="s">
        <v>92</v>
      </c>
      <c r="G28" s="60" t="s">
        <v>94</v>
      </c>
      <c r="H28" s="60" t="s">
        <v>78</v>
      </c>
      <c r="I28" s="60" t="s">
        <v>90</v>
      </c>
      <c r="J28" s="68">
        <v>1</v>
      </c>
      <c r="K28" s="68">
        <v>0</v>
      </c>
      <c r="L28" s="69">
        <v>0.13</v>
      </c>
      <c r="M28" s="61" t="s">
        <v>47</v>
      </c>
      <c r="N28" s="61"/>
      <c r="O28" s="70">
        <f>($J28+$K28)*Cost!$B$7</f>
        <v>5</v>
      </c>
      <c r="P28" s="70">
        <f>$J28*Cost!$B$6</f>
        <v>100</v>
      </c>
      <c r="Q28" s="69">
        <f t="shared" si="0"/>
        <v>0.13</v>
      </c>
    </row>
    <row r="29" spans="1:17" ht="15" customHeight="1" x14ac:dyDescent="0.2">
      <c r="A29" s="72">
        <v>26</v>
      </c>
      <c r="B29" s="71" t="s">
        <v>362</v>
      </c>
      <c r="C29" s="71" t="s">
        <v>265</v>
      </c>
      <c r="D29" s="71" t="s">
        <v>73</v>
      </c>
      <c r="E29" s="71" t="s">
        <v>263</v>
      </c>
      <c r="F29" s="71" t="s">
        <v>264</v>
      </c>
      <c r="G29" s="71" t="s">
        <v>266</v>
      </c>
      <c r="H29" s="71" t="s">
        <v>78</v>
      </c>
      <c r="I29" s="71" t="s">
        <v>262</v>
      </c>
      <c r="J29" s="74">
        <v>1</v>
      </c>
      <c r="K29" s="74">
        <v>0</v>
      </c>
      <c r="L29" s="75">
        <v>0.2727</v>
      </c>
      <c r="M29" s="73" t="s">
        <v>47</v>
      </c>
      <c r="N29" s="73"/>
      <c r="O29" s="76">
        <f>($J29+$K29)*Cost!$B$7</f>
        <v>5</v>
      </c>
      <c r="P29" s="76">
        <f>$J29*Cost!$B$6</f>
        <v>100</v>
      </c>
      <c r="Q29" s="75">
        <f t="shared" si="0"/>
        <v>0.2727</v>
      </c>
    </row>
    <row r="30" spans="1:17" ht="27.75" customHeight="1" x14ac:dyDescent="0.2">
      <c r="A30" s="62">
        <v>27</v>
      </c>
      <c r="B30" s="60" t="s">
        <v>363</v>
      </c>
      <c r="C30" s="60" t="s">
        <v>141</v>
      </c>
      <c r="D30" s="60" t="s">
        <v>73</v>
      </c>
      <c r="E30" s="60" t="s">
        <v>139</v>
      </c>
      <c r="F30" s="60" t="s">
        <v>140</v>
      </c>
      <c r="G30" s="60" t="s">
        <v>142</v>
      </c>
      <c r="H30" s="60" t="s">
        <v>143</v>
      </c>
      <c r="I30" s="60" t="s">
        <v>138</v>
      </c>
      <c r="J30" s="68">
        <v>1</v>
      </c>
      <c r="K30" s="68">
        <v>0</v>
      </c>
      <c r="L30" s="69">
        <v>9.2058999999999997</v>
      </c>
      <c r="M30" s="61" t="s">
        <v>47</v>
      </c>
      <c r="N30" s="61" t="s">
        <v>79</v>
      </c>
      <c r="O30" s="70">
        <f>($J30+$K30)*Cost!$B$7</f>
        <v>5</v>
      </c>
      <c r="P30" s="70">
        <f>$J30*Cost!$B$6</f>
        <v>100</v>
      </c>
      <c r="Q30" s="69">
        <f t="shared" si="0"/>
        <v>9.2058999999999997</v>
      </c>
    </row>
    <row r="31" spans="1:17" ht="15" customHeight="1" x14ac:dyDescent="0.2">
      <c r="A31" s="72">
        <v>28</v>
      </c>
      <c r="B31" s="71" t="s">
        <v>364</v>
      </c>
      <c r="C31" s="71" t="s">
        <v>76</v>
      </c>
      <c r="D31" s="71" t="s">
        <v>73</v>
      </c>
      <c r="E31" s="71" t="s">
        <v>74</v>
      </c>
      <c r="F31" s="71" t="s">
        <v>75</v>
      </c>
      <c r="G31" s="71" t="s">
        <v>77</v>
      </c>
      <c r="H31" s="71" t="s">
        <v>78</v>
      </c>
      <c r="I31" s="71" t="s">
        <v>365</v>
      </c>
      <c r="J31" s="74">
        <v>2</v>
      </c>
      <c r="K31" s="74">
        <v>0</v>
      </c>
      <c r="L31" s="75">
        <v>0.129</v>
      </c>
      <c r="M31" s="73" t="s">
        <v>47</v>
      </c>
      <c r="N31" s="73"/>
      <c r="O31" s="76">
        <f>($J31+$K31)*Cost!$B$7</f>
        <v>10</v>
      </c>
      <c r="P31" s="76">
        <f>$J31*Cost!$B$6</f>
        <v>200</v>
      </c>
      <c r="Q31" s="75">
        <f t="shared" si="0"/>
        <v>0.25800000000000001</v>
      </c>
    </row>
    <row r="32" spans="1:17" ht="27.75" customHeight="1" x14ac:dyDescent="0.2">
      <c r="A32" s="62">
        <v>29</v>
      </c>
      <c r="B32" s="60" t="s">
        <v>366</v>
      </c>
      <c r="C32" s="60" t="s">
        <v>83</v>
      </c>
      <c r="D32" s="60" t="s">
        <v>137</v>
      </c>
      <c r="E32" s="60" t="s">
        <v>81</v>
      </c>
      <c r="F32" s="60" t="s">
        <v>112</v>
      </c>
      <c r="G32" s="60" t="s">
        <v>84</v>
      </c>
      <c r="H32" s="60" t="s">
        <v>85</v>
      </c>
      <c r="I32" s="60" t="s">
        <v>367</v>
      </c>
      <c r="J32" s="68">
        <v>7</v>
      </c>
      <c r="K32" s="68">
        <v>0</v>
      </c>
      <c r="L32" s="69">
        <v>3.0000000000000001E-3</v>
      </c>
      <c r="M32" s="61" t="s">
        <v>49</v>
      </c>
      <c r="N32" s="61"/>
      <c r="O32" s="70">
        <f>($J32+$K32)*Cost!$B$7</f>
        <v>35</v>
      </c>
      <c r="P32" s="70">
        <f>$J32*Cost!$B$6</f>
        <v>700</v>
      </c>
      <c r="Q32" s="69">
        <f t="shared" si="0"/>
        <v>2.1000000000000001E-2</v>
      </c>
    </row>
    <row r="33" spans="1:17" ht="27.75" customHeight="1" x14ac:dyDescent="0.2">
      <c r="A33" s="72">
        <v>30</v>
      </c>
      <c r="B33" s="71" t="s">
        <v>366</v>
      </c>
      <c r="C33" s="71" t="s">
        <v>83</v>
      </c>
      <c r="D33" s="71" t="s">
        <v>320</v>
      </c>
      <c r="E33" s="71" t="s">
        <v>81</v>
      </c>
      <c r="F33" s="71" t="s">
        <v>89</v>
      </c>
      <c r="G33" s="71" t="s">
        <v>84</v>
      </c>
      <c r="H33" s="71" t="s">
        <v>85</v>
      </c>
      <c r="I33" s="71" t="s">
        <v>319</v>
      </c>
      <c r="J33" s="74">
        <v>2</v>
      </c>
      <c r="K33" s="74">
        <v>0</v>
      </c>
      <c r="L33" s="75">
        <v>1.5E-3</v>
      </c>
      <c r="M33" s="73" t="s">
        <v>49</v>
      </c>
      <c r="N33" s="73"/>
      <c r="O33" s="76">
        <f>($J33+$K33)*Cost!$B$7</f>
        <v>10</v>
      </c>
      <c r="P33" s="76">
        <f>$J33*Cost!$B$6</f>
        <v>200</v>
      </c>
      <c r="Q33" s="75">
        <f t="shared" si="0"/>
        <v>3.0000000000000001E-3</v>
      </c>
    </row>
    <row r="34" spans="1:17" ht="27.75" customHeight="1" x14ac:dyDescent="0.2">
      <c r="A34" s="62">
        <v>31</v>
      </c>
      <c r="B34" s="60" t="s">
        <v>366</v>
      </c>
      <c r="C34" s="60" t="s">
        <v>83</v>
      </c>
      <c r="D34" s="60" t="s">
        <v>130</v>
      </c>
      <c r="E34" s="60" t="s">
        <v>81</v>
      </c>
      <c r="F34" s="60" t="s">
        <v>131</v>
      </c>
      <c r="G34" s="60" t="s">
        <v>84</v>
      </c>
      <c r="H34" s="60" t="s">
        <v>85</v>
      </c>
      <c r="I34" s="60" t="s">
        <v>368</v>
      </c>
      <c r="J34" s="68">
        <v>22</v>
      </c>
      <c r="K34" s="68">
        <v>0</v>
      </c>
      <c r="L34" s="69">
        <v>1.5E-3</v>
      </c>
      <c r="M34" s="61" t="s">
        <v>49</v>
      </c>
      <c r="N34" s="61"/>
      <c r="O34" s="70">
        <f>($J34+$K34)*Cost!$B$7</f>
        <v>110</v>
      </c>
      <c r="P34" s="70">
        <f>$J34*Cost!$B$6</f>
        <v>2200</v>
      </c>
      <c r="Q34" s="69">
        <f t="shared" si="0"/>
        <v>3.3000000000000002E-2</v>
      </c>
    </row>
    <row r="35" spans="1:17" ht="27.75" customHeight="1" x14ac:dyDescent="0.2">
      <c r="A35" s="72">
        <v>32</v>
      </c>
      <c r="B35" s="71" t="s">
        <v>366</v>
      </c>
      <c r="C35" s="71" t="s">
        <v>83</v>
      </c>
      <c r="D35" s="71" t="s">
        <v>116</v>
      </c>
      <c r="E35" s="71" t="s">
        <v>81</v>
      </c>
      <c r="F35" s="71" t="s">
        <v>117</v>
      </c>
      <c r="G35" s="71" t="s">
        <v>84</v>
      </c>
      <c r="H35" s="71" t="s">
        <v>85</v>
      </c>
      <c r="I35" s="71" t="s">
        <v>369</v>
      </c>
      <c r="J35" s="74">
        <v>4</v>
      </c>
      <c r="K35" s="74">
        <v>0</v>
      </c>
      <c r="L35" s="75">
        <v>1.5E-3</v>
      </c>
      <c r="M35" s="73" t="s">
        <v>49</v>
      </c>
      <c r="N35" s="73"/>
      <c r="O35" s="76">
        <f>($J35+$K35)*Cost!$B$7</f>
        <v>20</v>
      </c>
      <c r="P35" s="76">
        <f>$J35*Cost!$B$6</f>
        <v>400</v>
      </c>
      <c r="Q35" s="75">
        <f t="shared" si="0"/>
        <v>6.0000000000000001E-3</v>
      </c>
    </row>
    <row r="36" spans="1:17" ht="27.75" customHeight="1" x14ac:dyDescent="0.2">
      <c r="A36" s="62">
        <v>33</v>
      </c>
      <c r="B36" s="60" t="s">
        <v>366</v>
      </c>
      <c r="C36" s="60" t="s">
        <v>83</v>
      </c>
      <c r="D36" s="60" t="s">
        <v>137</v>
      </c>
      <c r="E36" s="60" t="s">
        <v>87</v>
      </c>
      <c r="F36" s="60" t="s">
        <v>237</v>
      </c>
      <c r="G36" s="60" t="s">
        <v>84</v>
      </c>
      <c r="H36" s="60" t="s">
        <v>85</v>
      </c>
      <c r="I36" s="60" t="s">
        <v>370</v>
      </c>
      <c r="J36" s="68">
        <v>5</v>
      </c>
      <c r="K36" s="68">
        <v>0</v>
      </c>
      <c r="L36" s="69">
        <v>5.0000000000000001E-3</v>
      </c>
      <c r="M36" s="61" t="s">
        <v>49</v>
      </c>
      <c r="N36" s="61"/>
      <c r="O36" s="70">
        <f>($J36+$K36)*Cost!$B$7</f>
        <v>25</v>
      </c>
      <c r="P36" s="70">
        <f>$J36*Cost!$B$6</f>
        <v>500</v>
      </c>
      <c r="Q36" s="69">
        <f t="shared" ref="Q36:Q67" si="1">$J36*$L36</f>
        <v>2.5000000000000001E-2</v>
      </c>
    </row>
    <row r="37" spans="1:17" ht="27.75" customHeight="1" x14ac:dyDescent="0.2">
      <c r="A37" s="72">
        <v>34</v>
      </c>
      <c r="B37" s="71" t="s">
        <v>366</v>
      </c>
      <c r="C37" s="71" t="s">
        <v>129</v>
      </c>
      <c r="D37" s="71" t="s">
        <v>137</v>
      </c>
      <c r="E37" s="71" t="s">
        <v>87</v>
      </c>
      <c r="F37" s="71" t="s">
        <v>89</v>
      </c>
      <c r="G37" s="71" t="s">
        <v>84</v>
      </c>
      <c r="H37" s="71" t="s">
        <v>78</v>
      </c>
      <c r="I37" s="71" t="s">
        <v>267</v>
      </c>
      <c r="J37" s="74">
        <v>1</v>
      </c>
      <c r="K37" s="74">
        <v>0</v>
      </c>
      <c r="L37" s="75">
        <v>8.0000000000000002E-3</v>
      </c>
      <c r="M37" s="73" t="s">
        <v>49</v>
      </c>
      <c r="N37" s="73"/>
      <c r="O37" s="76">
        <f>($J37+$K37)*Cost!$B$7</f>
        <v>5</v>
      </c>
      <c r="P37" s="76">
        <f>$J37*Cost!$B$6</f>
        <v>100</v>
      </c>
      <c r="Q37" s="75">
        <f t="shared" si="1"/>
        <v>8.0000000000000002E-3</v>
      </c>
    </row>
    <row r="38" spans="1:17" ht="27.75" customHeight="1" x14ac:dyDescent="0.2">
      <c r="A38" s="62">
        <v>35</v>
      </c>
      <c r="B38" s="60" t="s">
        <v>366</v>
      </c>
      <c r="C38" s="60" t="s">
        <v>83</v>
      </c>
      <c r="D38" s="60" t="s">
        <v>111</v>
      </c>
      <c r="E38" s="60" t="s">
        <v>87</v>
      </c>
      <c r="F38" s="60" t="s">
        <v>112</v>
      </c>
      <c r="G38" s="60" t="s">
        <v>84</v>
      </c>
      <c r="H38" s="60" t="s">
        <v>85</v>
      </c>
      <c r="I38" s="60" t="s">
        <v>371</v>
      </c>
      <c r="J38" s="68">
        <v>5</v>
      </c>
      <c r="K38" s="68">
        <v>0</v>
      </c>
      <c r="L38" s="69">
        <v>6.0000000000000001E-3</v>
      </c>
      <c r="M38" s="61" t="s">
        <v>49</v>
      </c>
      <c r="N38" s="61"/>
      <c r="O38" s="70">
        <f>($J38+$K38)*Cost!$B$7</f>
        <v>25</v>
      </c>
      <c r="P38" s="70">
        <f>$J38*Cost!$B$6</f>
        <v>500</v>
      </c>
      <c r="Q38" s="69">
        <f t="shared" si="1"/>
        <v>0.03</v>
      </c>
    </row>
    <row r="39" spans="1:17" ht="41.25" customHeight="1" x14ac:dyDescent="0.2">
      <c r="A39" s="72">
        <v>36</v>
      </c>
      <c r="B39" s="71" t="s">
        <v>366</v>
      </c>
      <c r="C39" s="71" t="s">
        <v>83</v>
      </c>
      <c r="D39" s="71" t="s">
        <v>130</v>
      </c>
      <c r="E39" s="71" t="s">
        <v>87</v>
      </c>
      <c r="F39" s="71" t="s">
        <v>89</v>
      </c>
      <c r="G39" s="71" t="s">
        <v>84</v>
      </c>
      <c r="H39" s="71" t="s">
        <v>85</v>
      </c>
      <c r="I39" s="71" t="s">
        <v>372</v>
      </c>
      <c r="J39" s="74">
        <v>21</v>
      </c>
      <c r="K39" s="74">
        <v>0</v>
      </c>
      <c r="L39" s="75">
        <v>2.5000000000000001E-3</v>
      </c>
      <c r="M39" s="73" t="s">
        <v>49</v>
      </c>
      <c r="N39" s="73"/>
      <c r="O39" s="76">
        <f>($J39+$K39)*Cost!$B$7</f>
        <v>105</v>
      </c>
      <c r="P39" s="76">
        <f>$J39*Cost!$B$6</f>
        <v>2100</v>
      </c>
      <c r="Q39" s="75">
        <f t="shared" si="1"/>
        <v>5.2499999999999998E-2</v>
      </c>
    </row>
    <row r="40" spans="1:17" ht="27.75" customHeight="1" x14ac:dyDescent="0.2">
      <c r="A40" s="62">
        <v>37</v>
      </c>
      <c r="B40" s="60" t="s">
        <v>366</v>
      </c>
      <c r="C40" s="60" t="s">
        <v>129</v>
      </c>
      <c r="D40" s="60" t="s">
        <v>194</v>
      </c>
      <c r="E40" s="60" t="s">
        <v>87</v>
      </c>
      <c r="F40" s="60" t="s">
        <v>117</v>
      </c>
      <c r="G40" s="60" t="s">
        <v>84</v>
      </c>
      <c r="H40" s="60" t="s">
        <v>78</v>
      </c>
      <c r="I40" s="60" t="s">
        <v>193</v>
      </c>
      <c r="J40" s="68">
        <v>2</v>
      </c>
      <c r="K40" s="68">
        <v>0</v>
      </c>
      <c r="L40" s="69">
        <v>4.0000000000000001E-3</v>
      </c>
      <c r="M40" s="61" t="s">
        <v>49</v>
      </c>
      <c r="N40" s="61"/>
      <c r="O40" s="70">
        <f>($J40+$K40)*Cost!$B$7</f>
        <v>10</v>
      </c>
      <c r="P40" s="70">
        <f>$J40*Cost!$B$6</f>
        <v>200</v>
      </c>
      <c r="Q40" s="69">
        <f t="shared" si="1"/>
        <v>8.0000000000000002E-3</v>
      </c>
    </row>
    <row r="41" spans="1:17" ht="27.75" customHeight="1" x14ac:dyDescent="0.2">
      <c r="A41" s="72">
        <v>38</v>
      </c>
      <c r="B41" s="71" t="s">
        <v>366</v>
      </c>
      <c r="C41" s="71" t="s">
        <v>129</v>
      </c>
      <c r="D41" s="71" t="s">
        <v>218</v>
      </c>
      <c r="E41" s="71" t="s">
        <v>87</v>
      </c>
      <c r="F41" s="71" t="s">
        <v>117</v>
      </c>
      <c r="G41" s="71" t="s">
        <v>84</v>
      </c>
      <c r="H41" s="71" t="s">
        <v>78</v>
      </c>
      <c r="I41" s="71" t="s">
        <v>217</v>
      </c>
      <c r="J41" s="74">
        <v>2</v>
      </c>
      <c r="K41" s="74">
        <v>0</v>
      </c>
      <c r="L41" s="75">
        <v>4.0000000000000001E-3</v>
      </c>
      <c r="M41" s="73" t="s">
        <v>49</v>
      </c>
      <c r="N41" s="73"/>
      <c r="O41" s="76">
        <f>($J41+$K41)*Cost!$B$7</f>
        <v>10</v>
      </c>
      <c r="P41" s="76">
        <f>$J41*Cost!$B$6</f>
        <v>200</v>
      </c>
      <c r="Q41" s="75">
        <f t="shared" si="1"/>
        <v>8.0000000000000002E-3</v>
      </c>
    </row>
    <row r="42" spans="1:17" ht="27.75" customHeight="1" x14ac:dyDescent="0.2">
      <c r="A42" s="62">
        <v>39</v>
      </c>
      <c r="B42" s="60" t="s">
        <v>366</v>
      </c>
      <c r="C42" s="60" t="s">
        <v>83</v>
      </c>
      <c r="D42" s="60" t="s">
        <v>88</v>
      </c>
      <c r="E42" s="60" t="s">
        <v>87</v>
      </c>
      <c r="F42" s="60" t="s">
        <v>89</v>
      </c>
      <c r="G42" s="60" t="s">
        <v>84</v>
      </c>
      <c r="H42" s="60" t="s">
        <v>85</v>
      </c>
      <c r="I42" s="60" t="s">
        <v>373</v>
      </c>
      <c r="J42" s="68">
        <v>2</v>
      </c>
      <c r="K42" s="68">
        <v>0</v>
      </c>
      <c r="L42" s="69">
        <v>2E-3</v>
      </c>
      <c r="M42" s="61" t="s">
        <v>49</v>
      </c>
      <c r="N42" s="61"/>
      <c r="O42" s="70">
        <f>($J42+$K42)*Cost!$B$7</f>
        <v>10</v>
      </c>
      <c r="P42" s="70">
        <f>$J42*Cost!$B$6</f>
        <v>200</v>
      </c>
      <c r="Q42" s="69">
        <f t="shared" si="1"/>
        <v>4.0000000000000001E-3</v>
      </c>
    </row>
    <row r="43" spans="1:17" ht="27.75" customHeight="1" x14ac:dyDescent="0.2">
      <c r="A43" s="72">
        <v>40</v>
      </c>
      <c r="B43" s="71" t="s">
        <v>366</v>
      </c>
      <c r="C43" s="71" t="s">
        <v>129</v>
      </c>
      <c r="D43" s="71" t="s">
        <v>202</v>
      </c>
      <c r="E43" s="71" t="s">
        <v>87</v>
      </c>
      <c r="F43" s="71" t="s">
        <v>117</v>
      </c>
      <c r="G43" s="71" t="s">
        <v>84</v>
      </c>
      <c r="H43" s="71" t="s">
        <v>78</v>
      </c>
      <c r="I43" s="71" t="s">
        <v>201</v>
      </c>
      <c r="J43" s="74">
        <v>4</v>
      </c>
      <c r="K43" s="74">
        <v>0</v>
      </c>
      <c r="L43" s="75">
        <v>4.0000000000000001E-3</v>
      </c>
      <c r="M43" s="73" t="s">
        <v>49</v>
      </c>
      <c r="N43" s="73"/>
      <c r="O43" s="76">
        <f>($J43+$K43)*Cost!$B$7</f>
        <v>20</v>
      </c>
      <c r="P43" s="76">
        <f>$J43*Cost!$B$6</f>
        <v>400</v>
      </c>
      <c r="Q43" s="75">
        <f t="shared" si="1"/>
        <v>1.6E-2</v>
      </c>
    </row>
    <row r="44" spans="1:17" ht="27.75" customHeight="1" x14ac:dyDescent="0.2">
      <c r="A44" s="62">
        <v>41</v>
      </c>
      <c r="B44" s="60" t="s">
        <v>366</v>
      </c>
      <c r="C44" s="60" t="s">
        <v>83</v>
      </c>
      <c r="D44" s="60" t="s">
        <v>111</v>
      </c>
      <c r="E44" s="60" t="s">
        <v>97</v>
      </c>
      <c r="F44" s="60" t="s">
        <v>98</v>
      </c>
      <c r="G44" s="60" t="s">
        <v>84</v>
      </c>
      <c r="H44" s="60" t="s">
        <v>85</v>
      </c>
      <c r="I44" s="60" t="s">
        <v>374</v>
      </c>
      <c r="J44" s="68">
        <v>19</v>
      </c>
      <c r="K44" s="68">
        <v>0</v>
      </c>
      <c r="L44" s="69">
        <v>1.2E-2</v>
      </c>
      <c r="M44" s="61" t="s">
        <v>49</v>
      </c>
      <c r="N44" s="61"/>
      <c r="O44" s="70">
        <f>($J44+$K44)*Cost!$B$7</f>
        <v>95</v>
      </c>
      <c r="P44" s="70">
        <f>$J44*Cost!$B$6</f>
        <v>1900</v>
      </c>
      <c r="Q44" s="69">
        <f t="shared" si="1"/>
        <v>0.22800000000000001</v>
      </c>
    </row>
    <row r="45" spans="1:17" ht="27.75" customHeight="1" x14ac:dyDescent="0.2">
      <c r="A45" s="72">
        <v>42</v>
      </c>
      <c r="B45" s="71" t="s">
        <v>366</v>
      </c>
      <c r="C45" s="71" t="s">
        <v>83</v>
      </c>
      <c r="D45" s="71" t="s">
        <v>96</v>
      </c>
      <c r="E45" s="71" t="s">
        <v>97</v>
      </c>
      <c r="F45" s="71" t="s">
        <v>98</v>
      </c>
      <c r="G45" s="71" t="s">
        <v>84</v>
      </c>
      <c r="H45" s="71" t="s">
        <v>85</v>
      </c>
      <c r="I45" s="71" t="s">
        <v>95</v>
      </c>
      <c r="J45" s="74">
        <v>2</v>
      </c>
      <c r="K45" s="74">
        <v>0</v>
      </c>
      <c r="L45" s="75">
        <v>8.0000000000000002E-3</v>
      </c>
      <c r="M45" s="73" t="s">
        <v>49</v>
      </c>
      <c r="N45" s="73"/>
      <c r="O45" s="76">
        <f>($J45+$K45)*Cost!$B$7</f>
        <v>10</v>
      </c>
      <c r="P45" s="76">
        <f>$J45*Cost!$B$6</f>
        <v>200</v>
      </c>
      <c r="Q45" s="75">
        <f t="shared" si="1"/>
        <v>1.6E-2</v>
      </c>
    </row>
    <row r="46" spans="1:17" ht="27.75" customHeight="1" x14ac:dyDescent="0.2">
      <c r="A46" s="62">
        <v>43</v>
      </c>
      <c r="B46" s="60" t="s">
        <v>366</v>
      </c>
      <c r="C46" s="60" t="s">
        <v>129</v>
      </c>
      <c r="D46" s="60" t="s">
        <v>111</v>
      </c>
      <c r="E46" s="60" t="s">
        <v>223</v>
      </c>
      <c r="F46" s="60" t="s">
        <v>278</v>
      </c>
      <c r="G46" s="60" t="s">
        <v>84</v>
      </c>
      <c r="H46" s="60" t="s">
        <v>78</v>
      </c>
      <c r="I46" s="60" t="s">
        <v>375</v>
      </c>
      <c r="J46" s="68">
        <v>3</v>
      </c>
      <c r="K46" s="68">
        <v>0</v>
      </c>
      <c r="L46" s="69">
        <v>4.4999999999999998E-2</v>
      </c>
      <c r="M46" s="61" t="s">
        <v>49</v>
      </c>
      <c r="N46" s="61"/>
      <c r="O46" s="70">
        <f>($J46+$K46)*Cost!$B$7</f>
        <v>15</v>
      </c>
      <c r="P46" s="70">
        <f>$J46*Cost!$B$6</f>
        <v>300</v>
      </c>
      <c r="Q46" s="69">
        <f t="shared" si="1"/>
        <v>0.13500000000000001</v>
      </c>
    </row>
    <row r="47" spans="1:17" ht="27.75" customHeight="1" x14ac:dyDescent="0.2">
      <c r="A47" s="72">
        <v>44</v>
      </c>
      <c r="B47" s="71" t="s">
        <v>366</v>
      </c>
      <c r="C47" s="71" t="s">
        <v>129</v>
      </c>
      <c r="D47" s="71" t="s">
        <v>126</v>
      </c>
      <c r="E47" s="71" t="s">
        <v>223</v>
      </c>
      <c r="F47" s="71" t="s">
        <v>98</v>
      </c>
      <c r="G47" s="71" t="s">
        <v>84</v>
      </c>
      <c r="H47" s="71" t="s">
        <v>78</v>
      </c>
      <c r="I47" s="71" t="s">
        <v>295</v>
      </c>
      <c r="J47" s="74">
        <v>3</v>
      </c>
      <c r="K47" s="74">
        <v>0</v>
      </c>
      <c r="L47" s="75">
        <v>3.5000000000000003E-2</v>
      </c>
      <c r="M47" s="73" t="s">
        <v>49</v>
      </c>
      <c r="N47" s="73"/>
      <c r="O47" s="76">
        <f>($J47+$K47)*Cost!$B$7</f>
        <v>15</v>
      </c>
      <c r="P47" s="76">
        <f>$J47*Cost!$B$6</f>
        <v>300</v>
      </c>
      <c r="Q47" s="75">
        <f t="shared" si="1"/>
        <v>0.10500000000000001</v>
      </c>
    </row>
    <row r="48" spans="1:17" ht="27.75" customHeight="1" x14ac:dyDescent="0.2">
      <c r="A48" s="62">
        <v>45</v>
      </c>
      <c r="B48" s="60" t="s">
        <v>366</v>
      </c>
      <c r="C48" s="60" t="s">
        <v>129</v>
      </c>
      <c r="D48" s="60" t="s">
        <v>126</v>
      </c>
      <c r="E48" s="60" t="s">
        <v>127</v>
      </c>
      <c r="F48" s="60" t="s">
        <v>128</v>
      </c>
      <c r="G48" s="60" t="s">
        <v>84</v>
      </c>
      <c r="H48" s="60" t="s">
        <v>78</v>
      </c>
      <c r="I48" s="60" t="s">
        <v>125</v>
      </c>
      <c r="J48" s="68">
        <v>1</v>
      </c>
      <c r="K48" s="68">
        <v>0</v>
      </c>
      <c r="L48" s="69">
        <v>0.06</v>
      </c>
      <c r="M48" s="61" t="s">
        <v>49</v>
      </c>
      <c r="N48" s="61"/>
      <c r="O48" s="70">
        <f>($J48+$K48)*Cost!$B$7</f>
        <v>5</v>
      </c>
      <c r="P48" s="70">
        <f>$J48*Cost!$B$6</f>
        <v>100</v>
      </c>
      <c r="Q48" s="69">
        <f t="shared" si="1"/>
        <v>0.06</v>
      </c>
    </row>
    <row r="49" spans="1:17" ht="27.75" customHeight="1" x14ac:dyDescent="0.2">
      <c r="A49" s="72">
        <v>46</v>
      </c>
      <c r="B49" s="71" t="s">
        <v>366</v>
      </c>
      <c r="C49" s="71" t="s">
        <v>129</v>
      </c>
      <c r="D49" s="71" t="s">
        <v>111</v>
      </c>
      <c r="E49" s="71" t="s">
        <v>187</v>
      </c>
      <c r="F49" s="71" t="s">
        <v>188</v>
      </c>
      <c r="G49" s="71" t="s">
        <v>84</v>
      </c>
      <c r="H49" s="71" t="s">
        <v>78</v>
      </c>
      <c r="I49" s="71" t="s">
        <v>186</v>
      </c>
      <c r="J49" s="74">
        <v>2</v>
      </c>
      <c r="K49" s="74">
        <v>0</v>
      </c>
      <c r="L49" s="75">
        <v>1.2E-2</v>
      </c>
      <c r="M49" s="73" t="s">
        <v>49</v>
      </c>
      <c r="N49" s="73"/>
      <c r="O49" s="76">
        <f>($J49+$K49)*Cost!$B$7</f>
        <v>10</v>
      </c>
      <c r="P49" s="76">
        <f>$J49*Cost!$B$6</f>
        <v>200</v>
      </c>
      <c r="Q49" s="75">
        <f t="shared" si="1"/>
        <v>2.4E-2</v>
      </c>
    </row>
    <row r="50" spans="1:17" ht="27.75" customHeight="1" x14ac:dyDescent="0.2">
      <c r="A50" s="62">
        <v>47</v>
      </c>
      <c r="B50" s="60" t="s">
        <v>366</v>
      </c>
      <c r="C50" s="60" t="s">
        <v>129</v>
      </c>
      <c r="D50" s="60" t="s">
        <v>196</v>
      </c>
      <c r="E50" s="60" t="s">
        <v>197</v>
      </c>
      <c r="F50" s="60" t="s">
        <v>198</v>
      </c>
      <c r="G50" s="60" t="s">
        <v>84</v>
      </c>
      <c r="H50" s="60" t="s">
        <v>78</v>
      </c>
      <c r="I50" s="60" t="s">
        <v>195</v>
      </c>
      <c r="J50" s="68">
        <v>4</v>
      </c>
      <c r="K50" s="68">
        <v>0</v>
      </c>
      <c r="L50" s="69">
        <v>0.03</v>
      </c>
      <c r="M50" s="61" t="s">
        <v>49</v>
      </c>
      <c r="N50" s="61"/>
      <c r="O50" s="70">
        <f>($J50+$K50)*Cost!$B$7</f>
        <v>20</v>
      </c>
      <c r="P50" s="70">
        <f>$J50*Cost!$B$6</f>
        <v>400</v>
      </c>
      <c r="Q50" s="69">
        <f t="shared" si="1"/>
        <v>0.12</v>
      </c>
    </row>
    <row r="51" spans="1:17" ht="27.75" customHeight="1" x14ac:dyDescent="0.2">
      <c r="A51" s="72">
        <v>48</v>
      </c>
      <c r="B51" s="71" t="s">
        <v>366</v>
      </c>
      <c r="C51" s="71" t="s">
        <v>129</v>
      </c>
      <c r="D51" s="71" t="s">
        <v>196</v>
      </c>
      <c r="E51" s="71" t="s">
        <v>182</v>
      </c>
      <c r="F51" s="71" t="s">
        <v>277</v>
      </c>
      <c r="G51" s="71" t="s">
        <v>84</v>
      </c>
      <c r="H51" s="71" t="s">
        <v>78</v>
      </c>
      <c r="I51" s="71" t="s">
        <v>276</v>
      </c>
      <c r="J51" s="74">
        <v>1</v>
      </c>
      <c r="K51" s="74">
        <v>0</v>
      </c>
      <c r="L51" s="75">
        <v>7.0000000000000007E-2</v>
      </c>
      <c r="M51" s="73" t="s">
        <v>49</v>
      </c>
      <c r="N51" s="73"/>
      <c r="O51" s="76">
        <f>($J51+$K51)*Cost!$B$7</f>
        <v>5</v>
      </c>
      <c r="P51" s="76">
        <f>$J51*Cost!$B$6</f>
        <v>100</v>
      </c>
      <c r="Q51" s="75">
        <f t="shared" si="1"/>
        <v>7.0000000000000007E-2</v>
      </c>
    </row>
    <row r="52" spans="1:17" ht="27.75" customHeight="1" x14ac:dyDescent="0.2">
      <c r="A52" s="62">
        <v>49</v>
      </c>
      <c r="B52" s="60" t="s">
        <v>366</v>
      </c>
      <c r="C52" s="60" t="s">
        <v>129</v>
      </c>
      <c r="D52" s="60" t="s">
        <v>226</v>
      </c>
      <c r="E52" s="60" t="s">
        <v>182</v>
      </c>
      <c r="F52" s="60" t="s">
        <v>227</v>
      </c>
      <c r="G52" s="60" t="s">
        <v>84</v>
      </c>
      <c r="H52" s="60" t="s">
        <v>78</v>
      </c>
      <c r="I52" s="60" t="s">
        <v>225</v>
      </c>
      <c r="J52" s="68">
        <v>2</v>
      </c>
      <c r="K52" s="68">
        <v>0</v>
      </c>
      <c r="L52" s="69">
        <v>0.05</v>
      </c>
      <c r="M52" s="61" t="s">
        <v>49</v>
      </c>
      <c r="N52" s="61"/>
      <c r="O52" s="70">
        <f>($J52+$K52)*Cost!$B$7</f>
        <v>10</v>
      </c>
      <c r="P52" s="70">
        <f>$J52*Cost!$B$6</f>
        <v>200</v>
      </c>
      <c r="Q52" s="69">
        <f t="shared" si="1"/>
        <v>0.1</v>
      </c>
    </row>
    <row r="53" spans="1:17" ht="27.75" customHeight="1" x14ac:dyDescent="0.2">
      <c r="A53" s="72">
        <v>50</v>
      </c>
      <c r="B53" s="71" t="s">
        <v>366</v>
      </c>
      <c r="C53" s="71" t="s">
        <v>129</v>
      </c>
      <c r="D53" s="71" t="s">
        <v>181</v>
      </c>
      <c r="E53" s="71" t="s">
        <v>182</v>
      </c>
      <c r="F53" s="71" t="s">
        <v>183</v>
      </c>
      <c r="G53" s="71" t="s">
        <v>84</v>
      </c>
      <c r="H53" s="71" t="s">
        <v>78</v>
      </c>
      <c r="I53" s="71" t="s">
        <v>180</v>
      </c>
      <c r="J53" s="74">
        <v>2</v>
      </c>
      <c r="K53" s="74">
        <v>0</v>
      </c>
      <c r="L53" s="75">
        <v>0.05</v>
      </c>
      <c r="M53" s="73" t="s">
        <v>49</v>
      </c>
      <c r="N53" s="73"/>
      <c r="O53" s="76">
        <f>($J53+$K53)*Cost!$B$7</f>
        <v>10</v>
      </c>
      <c r="P53" s="76">
        <f>$J53*Cost!$B$6</f>
        <v>200</v>
      </c>
      <c r="Q53" s="75">
        <f t="shared" si="1"/>
        <v>0.1</v>
      </c>
    </row>
    <row r="54" spans="1:17" ht="27.75" customHeight="1" x14ac:dyDescent="0.2">
      <c r="A54" s="62">
        <v>51</v>
      </c>
      <c r="B54" s="60" t="s">
        <v>376</v>
      </c>
      <c r="C54" s="60" t="s">
        <v>83</v>
      </c>
      <c r="D54" s="60" t="s">
        <v>254</v>
      </c>
      <c r="E54" s="60" t="s">
        <v>255</v>
      </c>
      <c r="F54" s="60" t="s">
        <v>256</v>
      </c>
      <c r="G54" s="60" t="s">
        <v>84</v>
      </c>
      <c r="H54" s="60" t="s">
        <v>85</v>
      </c>
      <c r="I54" s="60" t="s">
        <v>377</v>
      </c>
      <c r="J54" s="68">
        <v>4</v>
      </c>
      <c r="K54" s="68">
        <v>0</v>
      </c>
      <c r="L54" s="69">
        <v>4.0000000000000001E-3</v>
      </c>
      <c r="M54" s="61" t="s">
        <v>49</v>
      </c>
      <c r="N54" s="61"/>
      <c r="O54" s="70">
        <f>($J54+$K54)*Cost!$B$7</f>
        <v>20</v>
      </c>
      <c r="P54" s="70">
        <f>$J54*Cost!$B$6</f>
        <v>400</v>
      </c>
      <c r="Q54" s="69">
        <f t="shared" si="1"/>
        <v>1.6E-2</v>
      </c>
    </row>
    <row r="55" spans="1:17" ht="27.75" customHeight="1" x14ac:dyDescent="0.2">
      <c r="A55" s="72">
        <v>52</v>
      </c>
      <c r="B55" s="71" t="s">
        <v>378</v>
      </c>
      <c r="C55" s="71" t="s">
        <v>83</v>
      </c>
      <c r="D55" s="71" t="s">
        <v>239</v>
      </c>
      <c r="E55" s="71" t="s">
        <v>240</v>
      </c>
      <c r="F55" s="71" t="s">
        <v>73</v>
      </c>
      <c r="G55" s="71" t="s">
        <v>84</v>
      </c>
      <c r="H55" s="71" t="s">
        <v>85</v>
      </c>
      <c r="I55" s="71" t="s">
        <v>238</v>
      </c>
      <c r="J55" s="74">
        <v>4</v>
      </c>
      <c r="K55" s="74">
        <v>0</v>
      </c>
      <c r="L55" s="75">
        <v>6.0000000000000001E-3</v>
      </c>
      <c r="M55" s="73" t="s">
        <v>49</v>
      </c>
      <c r="N55" s="73"/>
      <c r="O55" s="76">
        <f>($J55+$K55)*Cost!$B$7</f>
        <v>20</v>
      </c>
      <c r="P55" s="76">
        <f>$J55*Cost!$B$6</f>
        <v>400</v>
      </c>
      <c r="Q55" s="75">
        <f t="shared" si="1"/>
        <v>2.4E-2</v>
      </c>
    </row>
    <row r="56" spans="1:17" ht="27.75" customHeight="1" x14ac:dyDescent="0.2">
      <c r="A56" s="62">
        <v>53</v>
      </c>
      <c r="B56" s="60" t="s">
        <v>379</v>
      </c>
      <c r="C56" s="60" t="s">
        <v>129</v>
      </c>
      <c r="D56" s="60" t="s">
        <v>73</v>
      </c>
      <c r="E56" s="60" t="s">
        <v>74</v>
      </c>
      <c r="F56" s="60" t="s">
        <v>165</v>
      </c>
      <c r="G56" s="60" t="s">
        <v>84</v>
      </c>
      <c r="H56" s="60" t="s">
        <v>78</v>
      </c>
      <c r="I56" s="60" t="s">
        <v>164</v>
      </c>
      <c r="J56" s="68">
        <v>0</v>
      </c>
      <c r="K56" s="68">
        <v>1</v>
      </c>
      <c r="L56" s="69">
        <v>0.2</v>
      </c>
      <c r="M56" s="61" t="s">
        <v>49</v>
      </c>
      <c r="N56" s="61"/>
      <c r="O56" s="70">
        <f>($J56+$K56)*Cost!$B$7</f>
        <v>5</v>
      </c>
      <c r="P56" s="70">
        <f>$J56*Cost!$B$6</f>
        <v>0</v>
      </c>
      <c r="Q56" s="69">
        <f t="shared" si="1"/>
        <v>0</v>
      </c>
    </row>
    <row r="57" spans="1:17" ht="27.75" customHeight="1" x14ac:dyDescent="0.2">
      <c r="A57" s="72">
        <v>54</v>
      </c>
      <c r="B57" s="71" t="s">
        <v>380</v>
      </c>
      <c r="C57" s="71" t="s">
        <v>83</v>
      </c>
      <c r="D57" s="71" t="s">
        <v>333</v>
      </c>
      <c r="E57" s="71" t="s">
        <v>87</v>
      </c>
      <c r="F57" s="71" t="s">
        <v>73</v>
      </c>
      <c r="G57" s="71" t="s">
        <v>84</v>
      </c>
      <c r="H57" s="71" t="s">
        <v>85</v>
      </c>
      <c r="I57" s="71" t="s">
        <v>332</v>
      </c>
      <c r="J57" s="74">
        <v>1</v>
      </c>
      <c r="K57" s="74">
        <v>0</v>
      </c>
      <c r="L57" s="75">
        <v>6.0000000000000001E-3</v>
      </c>
      <c r="M57" s="73" t="s">
        <v>49</v>
      </c>
      <c r="N57" s="73"/>
      <c r="O57" s="76">
        <f>($J57+$K57)*Cost!$B$7</f>
        <v>5</v>
      </c>
      <c r="P57" s="76">
        <f>$J57*Cost!$B$6</f>
        <v>100</v>
      </c>
      <c r="Q57" s="75">
        <f t="shared" si="1"/>
        <v>6.0000000000000001E-3</v>
      </c>
    </row>
    <row r="58" spans="1:17" ht="27.75" customHeight="1" x14ac:dyDescent="0.2">
      <c r="A58" s="62">
        <v>55</v>
      </c>
      <c r="B58" s="60" t="s">
        <v>380</v>
      </c>
      <c r="C58" s="60" t="s">
        <v>83</v>
      </c>
      <c r="D58" s="60" t="s">
        <v>335</v>
      </c>
      <c r="E58" s="60" t="s">
        <v>87</v>
      </c>
      <c r="F58" s="60" t="s">
        <v>73</v>
      </c>
      <c r="G58" s="60" t="s">
        <v>84</v>
      </c>
      <c r="H58" s="60" t="s">
        <v>85</v>
      </c>
      <c r="I58" s="60" t="s">
        <v>334</v>
      </c>
      <c r="J58" s="68">
        <v>1</v>
      </c>
      <c r="K58" s="68">
        <v>0</v>
      </c>
      <c r="L58" s="69">
        <v>6.0000000000000001E-3</v>
      </c>
      <c r="M58" s="61" t="s">
        <v>49</v>
      </c>
      <c r="N58" s="61"/>
      <c r="O58" s="70">
        <f>($J58+$K58)*Cost!$B$7</f>
        <v>5</v>
      </c>
      <c r="P58" s="70">
        <f>$J58*Cost!$B$6</f>
        <v>100</v>
      </c>
      <c r="Q58" s="69">
        <f t="shared" si="1"/>
        <v>6.0000000000000001E-3</v>
      </c>
    </row>
    <row r="59" spans="1:17" ht="27.75" customHeight="1" x14ac:dyDescent="0.2">
      <c r="A59" s="72">
        <v>56</v>
      </c>
      <c r="B59" s="71" t="s">
        <v>381</v>
      </c>
      <c r="C59" s="71" t="s">
        <v>83</v>
      </c>
      <c r="D59" s="71" t="s">
        <v>185</v>
      </c>
      <c r="E59" s="71" t="s">
        <v>81</v>
      </c>
      <c r="F59" s="71" t="s">
        <v>73</v>
      </c>
      <c r="G59" s="71" t="s">
        <v>84</v>
      </c>
      <c r="H59" s="71" t="s">
        <v>85</v>
      </c>
      <c r="I59" s="71" t="s">
        <v>382</v>
      </c>
      <c r="J59" s="74">
        <v>9</v>
      </c>
      <c r="K59" s="74">
        <v>0</v>
      </c>
      <c r="L59" s="75">
        <v>8.0000000000000004E-4</v>
      </c>
      <c r="M59" s="73" t="s">
        <v>49</v>
      </c>
      <c r="N59" s="73"/>
      <c r="O59" s="76">
        <f>($J59+$K59)*Cost!$B$7</f>
        <v>45</v>
      </c>
      <c r="P59" s="76">
        <f>$J59*Cost!$B$6</f>
        <v>900</v>
      </c>
      <c r="Q59" s="75">
        <f t="shared" si="1"/>
        <v>7.2000000000000007E-3</v>
      </c>
    </row>
    <row r="60" spans="1:17" ht="27.75" customHeight="1" x14ac:dyDescent="0.2">
      <c r="A60" s="62">
        <v>57</v>
      </c>
      <c r="B60" s="60" t="s">
        <v>381</v>
      </c>
      <c r="C60" s="60" t="s">
        <v>83</v>
      </c>
      <c r="D60" s="60" t="s">
        <v>185</v>
      </c>
      <c r="E60" s="60" t="s">
        <v>87</v>
      </c>
      <c r="F60" s="60" t="s">
        <v>73</v>
      </c>
      <c r="G60" s="60" t="s">
        <v>84</v>
      </c>
      <c r="H60" s="60" t="s">
        <v>85</v>
      </c>
      <c r="I60" s="60" t="s">
        <v>184</v>
      </c>
      <c r="J60" s="68">
        <v>2</v>
      </c>
      <c r="K60" s="68">
        <v>0</v>
      </c>
      <c r="L60" s="69">
        <v>1E-3</v>
      </c>
      <c r="M60" s="61" t="s">
        <v>49</v>
      </c>
      <c r="N60" s="61"/>
      <c r="O60" s="70">
        <f>($J60+$K60)*Cost!$B$7</f>
        <v>10</v>
      </c>
      <c r="P60" s="70">
        <f>$J60*Cost!$B$6</f>
        <v>200</v>
      </c>
      <c r="Q60" s="69">
        <f t="shared" si="1"/>
        <v>2E-3</v>
      </c>
    </row>
    <row r="61" spans="1:17" ht="27.75" customHeight="1" x14ac:dyDescent="0.2">
      <c r="A61" s="72">
        <v>58</v>
      </c>
      <c r="B61" s="71" t="s">
        <v>383</v>
      </c>
      <c r="C61" s="71" t="s">
        <v>83</v>
      </c>
      <c r="D61" s="71" t="s">
        <v>337</v>
      </c>
      <c r="E61" s="71" t="s">
        <v>81</v>
      </c>
      <c r="F61" s="71" t="s">
        <v>82</v>
      </c>
      <c r="G61" s="71" t="s">
        <v>84</v>
      </c>
      <c r="H61" s="71" t="s">
        <v>85</v>
      </c>
      <c r="I61" s="71" t="s">
        <v>336</v>
      </c>
      <c r="J61" s="74">
        <v>2</v>
      </c>
      <c r="K61" s="74">
        <v>0</v>
      </c>
      <c r="L61" s="75">
        <v>1E-3</v>
      </c>
      <c r="M61" s="73" t="s">
        <v>49</v>
      </c>
      <c r="N61" s="73"/>
      <c r="O61" s="76">
        <f>($J61+$K61)*Cost!$B$7</f>
        <v>10</v>
      </c>
      <c r="P61" s="76">
        <f>$J61*Cost!$B$6</f>
        <v>200</v>
      </c>
      <c r="Q61" s="75">
        <f t="shared" si="1"/>
        <v>2E-3</v>
      </c>
    </row>
    <row r="62" spans="1:17" ht="27.75" customHeight="1" x14ac:dyDescent="0.2">
      <c r="A62" s="62">
        <v>59</v>
      </c>
      <c r="B62" s="60" t="s">
        <v>383</v>
      </c>
      <c r="C62" s="60" t="s">
        <v>83</v>
      </c>
      <c r="D62" s="60" t="s">
        <v>162</v>
      </c>
      <c r="E62" s="60" t="s">
        <v>81</v>
      </c>
      <c r="F62" s="60" t="s">
        <v>82</v>
      </c>
      <c r="G62" s="60" t="s">
        <v>84</v>
      </c>
      <c r="H62" s="60" t="s">
        <v>85</v>
      </c>
      <c r="I62" s="60" t="s">
        <v>384</v>
      </c>
      <c r="J62" s="68">
        <v>6</v>
      </c>
      <c r="K62" s="68">
        <v>0</v>
      </c>
      <c r="L62" s="69">
        <v>1E-3</v>
      </c>
      <c r="M62" s="61" t="s">
        <v>49</v>
      </c>
      <c r="N62" s="61"/>
      <c r="O62" s="70">
        <f>($J62+$K62)*Cost!$B$7</f>
        <v>30</v>
      </c>
      <c r="P62" s="70">
        <f>$J62*Cost!$B$6</f>
        <v>600</v>
      </c>
      <c r="Q62" s="69">
        <f t="shared" si="1"/>
        <v>6.0000000000000001E-3</v>
      </c>
    </row>
    <row r="63" spans="1:17" ht="27.75" customHeight="1" x14ac:dyDescent="0.2">
      <c r="A63" s="72">
        <v>60</v>
      </c>
      <c r="B63" s="71" t="s">
        <v>383</v>
      </c>
      <c r="C63" s="71" t="s">
        <v>83</v>
      </c>
      <c r="D63" s="71" t="s">
        <v>113</v>
      </c>
      <c r="E63" s="71" t="s">
        <v>81</v>
      </c>
      <c r="F63" s="71" t="s">
        <v>82</v>
      </c>
      <c r="G63" s="71" t="s">
        <v>84</v>
      </c>
      <c r="H63" s="71" t="s">
        <v>85</v>
      </c>
      <c r="I63" s="71" t="s">
        <v>385</v>
      </c>
      <c r="J63" s="74">
        <v>13</v>
      </c>
      <c r="K63" s="74">
        <v>0</v>
      </c>
      <c r="L63" s="75">
        <v>1E-3</v>
      </c>
      <c r="M63" s="73" t="s">
        <v>49</v>
      </c>
      <c r="N63" s="73"/>
      <c r="O63" s="76">
        <f>($J63+$K63)*Cost!$B$7</f>
        <v>65</v>
      </c>
      <c r="P63" s="76">
        <f>$J63*Cost!$B$6</f>
        <v>1300</v>
      </c>
      <c r="Q63" s="75">
        <f t="shared" si="1"/>
        <v>1.3000000000000001E-2</v>
      </c>
    </row>
    <row r="64" spans="1:17" ht="27.75" customHeight="1" x14ac:dyDescent="0.2">
      <c r="A64" s="62">
        <v>61</v>
      </c>
      <c r="B64" s="60" t="s">
        <v>383</v>
      </c>
      <c r="C64" s="60" t="s">
        <v>83</v>
      </c>
      <c r="D64" s="60" t="s">
        <v>189</v>
      </c>
      <c r="E64" s="60" t="s">
        <v>81</v>
      </c>
      <c r="F64" s="60" t="s">
        <v>82</v>
      </c>
      <c r="G64" s="60" t="s">
        <v>84</v>
      </c>
      <c r="H64" s="60" t="s">
        <v>85</v>
      </c>
      <c r="I64" s="60" t="s">
        <v>386</v>
      </c>
      <c r="J64" s="68">
        <v>4</v>
      </c>
      <c r="K64" s="68">
        <v>0</v>
      </c>
      <c r="L64" s="69">
        <v>1E-3</v>
      </c>
      <c r="M64" s="61" t="s">
        <v>49</v>
      </c>
      <c r="N64" s="61"/>
      <c r="O64" s="70">
        <f>($J64+$K64)*Cost!$B$7</f>
        <v>20</v>
      </c>
      <c r="P64" s="70">
        <f>$J64*Cost!$B$6</f>
        <v>400</v>
      </c>
      <c r="Q64" s="69">
        <f t="shared" si="1"/>
        <v>4.0000000000000001E-3</v>
      </c>
    </row>
    <row r="65" spans="1:17" ht="27.75" customHeight="1" x14ac:dyDescent="0.2">
      <c r="A65" s="72">
        <v>62</v>
      </c>
      <c r="B65" s="71" t="s">
        <v>383</v>
      </c>
      <c r="C65" s="71" t="s">
        <v>83</v>
      </c>
      <c r="D65" s="71" t="s">
        <v>115</v>
      </c>
      <c r="E65" s="71" t="s">
        <v>81</v>
      </c>
      <c r="F65" s="71" t="s">
        <v>82</v>
      </c>
      <c r="G65" s="71" t="s">
        <v>84</v>
      </c>
      <c r="H65" s="71" t="s">
        <v>85</v>
      </c>
      <c r="I65" s="71" t="s">
        <v>114</v>
      </c>
      <c r="J65" s="74">
        <v>1</v>
      </c>
      <c r="K65" s="74">
        <v>0</v>
      </c>
      <c r="L65" s="75">
        <v>1E-3</v>
      </c>
      <c r="M65" s="73" t="s">
        <v>49</v>
      </c>
      <c r="N65" s="73"/>
      <c r="O65" s="76">
        <f>($J65+$K65)*Cost!$B$7</f>
        <v>5</v>
      </c>
      <c r="P65" s="76">
        <f>$J65*Cost!$B$6</f>
        <v>100</v>
      </c>
      <c r="Q65" s="75">
        <f t="shared" si="1"/>
        <v>1E-3</v>
      </c>
    </row>
    <row r="66" spans="1:17" ht="27.75" customHeight="1" x14ac:dyDescent="0.2">
      <c r="A66" s="62">
        <v>63</v>
      </c>
      <c r="B66" s="60" t="s">
        <v>383</v>
      </c>
      <c r="C66" s="60" t="s">
        <v>83</v>
      </c>
      <c r="D66" s="60" t="s">
        <v>163</v>
      </c>
      <c r="E66" s="60" t="s">
        <v>81</v>
      </c>
      <c r="F66" s="60" t="s">
        <v>82</v>
      </c>
      <c r="G66" s="60" t="s">
        <v>84</v>
      </c>
      <c r="H66" s="60" t="s">
        <v>85</v>
      </c>
      <c r="I66" s="60" t="s">
        <v>387</v>
      </c>
      <c r="J66" s="68">
        <v>8</v>
      </c>
      <c r="K66" s="68">
        <v>0</v>
      </c>
      <c r="L66" s="69">
        <v>1E-3</v>
      </c>
      <c r="M66" s="61" t="s">
        <v>49</v>
      </c>
      <c r="N66" s="61"/>
      <c r="O66" s="70">
        <f>($J66+$K66)*Cost!$B$7</f>
        <v>40</v>
      </c>
      <c r="P66" s="70">
        <f>$J66*Cost!$B$6</f>
        <v>800</v>
      </c>
      <c r="Q66" s="69">
        <f t="shared" si="1"/>
        <v>8.0000000000000002E-3</v>
      </c>
    </row>
    <row r="67" spans="1:17" ht="27.75" customHeight="1" x14ac:dyDescent="0.2">
      <c r="A67" s="72">
        <v>64</v>
      </c>
      <c r="B67" s="71" t="s">
        <v>383</v>
      </c>
      <c r="C67" s="71" t="s">
        <v>83</v>
      </c>
      <c r="D67" s="71" t="s">
        <v>322</v>
      </c>
      <c r="E67" s="71" t="s">
        <v>81</v>
      </c>
      <c r="F67" s="71" t="s">
        <v>82</v>
      </c>
      <c r="G67" s="71" t="s">
        <v>84</v>
      </c>
      <c r="H67" s="71" t="s">
        <v>294</v>
      </c>
      <c r="I67" s="71" t="s">
        <v>321</v>
      </c>
      <c r="J67" s="74">
        <v>1</v>
      </c>
      <c r="K67" s="74">
        <v>0</v>
      </c>
      <c r="L67" s="75">
        <v>1E-3</v>
      </c>
      <c r="M67" s="73" t="s">
        <v>49</v>
      </c>
      <c r="N67" s="73"/>
      <c r="O67" s="76">
        <f>($J67+$K67)*Cost!$B$7</f>
        <v>5</v>
      </c>
      <c r="P67" s="76">
        <f>$J67*Cost!$B$6</f>
        <v>100</v>
      </c>
      <c r="Q67" s="75">
        <f t="shared" si="1"/>
        <v>1E-3</v>
      </c>
    </row>
    <row r="68" spans="1:17" ht="27.75" customHeight="1" x14ac:dyDescent="0.2">
      <c r="A68" s="62">
        <v>65</v>
      </c>
      <c r="B68" s="60" t="s">
        <v>383</v>
      </c>
      <c r="C68" s="60" t="s">
        <v>83</v>
      </c>
      <c r="D68" s="60" t="s">
        <v>80</v>
      </c>
      <c r="E68" s="60" t="s">
        <v>81</v>
      </c>
      <c r="F68" s="60" t="s">
        <v>82</v>
      </c>
      <c r="G68" s="60" t="s">
        <v>84</v>
      </c>
      <c r="H68" s="60" t="s">
        <v>85</v>
      </c>
      <c r="I68" s="60" t="s">
        <v>388</v>
      </c>
      <c r="J68" s="68">
        <v>4</v>
      </c>
      <c r="K68" s="68">
        <v>0</v>
      </c>
      <c r="L68" s="69">
        <v>1E-3</v>
      </c>
      <c r="M68" s="61" t="s">
        <v>49</v>
      </c>
      <c r="N68" s="61"/>
      <c r="O68" s="70">
        <f>($J68+$K68)*Cost!$B$7</f>
        <v>20</v>
      </c>
      <c r="P68" s="70">
        <f>$J68*Cost!$B$6</f>
        <v>400</v>
      </c>
      <c r="Q68" s="69">
        <f t="shared" ref="Q68:Q87" si="2">$J68*$L68</f>
        <v>4.0000000000000001E-3</v>
      </c>
    </row>
    <row r="69" spans="1:17" ht="27.75" customHeight="1" x14ac:dyDescent="0.2">
      <c r="A69" s="72">
        <v>66</v>
      </c>
      <c r="B69" s="71" t="s">
        <v>383</v>
      </c>
      <c r="C69" s="71" t="s">
        <v>83</v>
      </c>
      <c r="D69" s="71" t="s">
        <v>269</v>
      </c>
      <c r="E69" s="71" t="s">
        <v>81</v>
      </c>
      <c r="F69" s="71" t="s">
        <v>82</v>
      </c>
      <c r="G69" s="71" t="s">
        <v>84</v>
      </c>
      <c r="H69" s="71" t="s">
        <v>85</v>
      </c>
      <c r="I69" s="71" t="s">
        <v>268</v>
      </c>
      <c r="J69" s="74">
        <v>1</v>
      </c>
      <c r="K69" s="74">
        <v>0</v>
      </c>
      <c r="L69" s="75">
        <v>1E-3</v>
      </c>
      <c r="M69" s="73" t="s">
        <v>49</v>
      </c>
      <c r="N69" s="73"/>
      <c r="O69" s="76">
        <f>($J69+$K69)*Cost!$B$7</f>
        <v>5</v>
      </c>
      <c r="P69" s="76">
        <f>$J69*Cost!$B$6</f>
        <v>100</v>
      </c>
      <c r="Q69" s="75">
        <f t="shared" si="2"/>
        <v>1E-3</v>
      </c>
    </row>
    <row r="70" spans="1:17" ht="27.75" customHeight="1" x14ac:dyDescent="0.2">
      <c r="A70" s="62">
        <v>67</v>
      </c>
      <c r="B70" s="60" t="s">
        <v>383</v>
      </c>
      <c r="C70" s="60" t="s">
        <v>83</v>
      </c>
      <c r="D70" s="60" t="s">
        <v>155</v>
      </c>
      <c r="E70" s="60" t="s">
        <v>81</v>
      </c>
      <c r="F70" s="60" t="s">
        <v>82</v>
      </c>
      <c r="G70" s="60" t="s">
        <v>84</v>
      </c>
      <c r="H70" s="60" t="s">
        <v>85</v>
      </c>
      <c r="I70" s="60" t="s">
        <v>154</v>
      </c>
      <c r="J70" s="68">
        <v>1</v>
      </c>
      <c r="K70" s="68">
        <v>0</v>
      </c>
      <c r="L70" s="69">
        <v>1E-3</v>
      </c>
      <c r="M70" s="61" t="s">
        <v>49</v>
      </c>
      <c r="N70" s="61"/>
      <c r="O70" s="70">
        <f>($J70+$K70)*Cost!$B$7</f>
        <v>5</v>
      </c>
      <c r="P70" s="70">
        <f>$J70*Cost!$B$6</f>
        <v>100</v>
      </c>
      <c r="Q70" s="69">
        <f t="shared" si="2"/>
        <v>1E-3</v>
      </c>
    </row>
    <row r="71" spans="1:17" ht="27.75" customHeight="1" x14ac:dyDescent="0.2">
      <c r="A71" s="72">
        <v>68</v>
      </c>
      <c r="B71" s="71" t="s">
        <v>383</v>
      </c>
      <c r="C71" s="71" t="s">
        <v>83</v>
      </c>
      <c r="D71" s="71" t="s">
        <v>293</v>
      </c>
      <c r="E71" s="71" t="s">
        <v>81</v>
      </c>
      <c r="F71" s="71" t="s">
        <v>82</v>
      </c>
      <c r="G71" s="71" t="s">
        <v>84</v>
      </c>
      <c r="H71" s="71" t="s">
        <v>294</v>
      </c>
      <c r="I71" s="71" t="s">
        <v>292</v>
      </c>
      <c r="J71" s="74">
        <v>1</v>
      </c>
      <c r="K71" s="74">
        <v>0</v>
      </c>
      <c r="L71" s="75">
        <v>1E-3</v>
      </c>
      <c r="M71" s="73" t="s">
        <v>49</v>
      </c>
      <c r="N71" s="73"/>
      <c r="O71" s="76">
        <f>($J71+$K71)*Cost!$B$7</f>
        <v>5</v>
      </c>
      <c r="P71" s="76">
        <f>$J71*Cost!$B$6</f>
        <v>100</v>
      </c>
      <c r="Q71" s="75">
        <f t="shared" si="2"/>
        <v>1E-3</v>
      </c>
    </row>
    <row r="72" spans="1:17" ht="27.75" customHeight="1" x14ac:dyDescent="0.2">
      <c r="A72" s="62">
        <v>69</v>
      </c>
      <c r="B72" s="60" t="s">
        <v>383</v>
      </c>
      <c r="C72" s="60" t="s">
        <v>83</v>
      </c>
      <c r="D72" s="60" t="s">
        <v>86</v>
      </c>
      <c r="E72" s="60" t="s">
        <v>87</v>
      </c>
      <c r="F72" s="60" t="s">
        <v>82</v>
      </c>
      <c r="G72" s="60" t="s">
        <v>84</v>
      </c>
      <c r="H72" s="60" t="s">
        <v>85</v>
      </c>
      <c r="I72" s="60" t="s">
        <v>389</v>
      </c>
      <c r="J72" s="68">
        <v>5</v>
      </c>
      <c r="K72" s="68">
        <v>0</v>
      </c>
      <c r="L72" s="69">
        <v>1.1999999999999999E-3</v>
      </c>
      <c r="M72" s="61" t="s">
        <v>49</v>
      </c>
      <c r="N72" s="61"/>
      <c r="O72" s="70">
        <f>($J72+$K72)*Cost!$B$7</f>
        <v>25</v>
      </c>
      <c r="P72" s="70">
        <f>$J72*Cost!$B$6</f>
        <v>500</v>
      </c>
      <c r="Q72" s="69">
        <f t="shared" si="2"/>
        <v>5.9999999999999993E-3</v>
      </c>
    </row>
    <row r="73" spans="1:17" ht="27.75" customHeight="1" x14ac:dyDescent="0.2">
      <c r="A73" s="72">
        <v>70</v>
      </c>
      <c r="B73" s="71" t="s">
        <v>383</v>
      </c>
      <c r="C73" s="71" t="s">
        <v>129</v>
      </c>
      <c r="D73" s="71" t="s">
        <v>200</v>
      </c>
      <c r="E73" s="71" t="s">
        <v>87</v>
      </c>
      <c r="F73" s="71" t="s">
        <v>192</v>
      </c>
      <c r="G73" s="71" t="s">
        <v>84</v>
      </c>
      <c r="H73" s="71" t="s">
        <v>78</v>
      </c>
      <c r="I73" s="71" t="s">
        <v>390</v>
      </c>
      <c r="J73" s="74">
        <v>12</v>
      </c>
      <c r="K73" s="74">
        <v>0</v>
      </c>
      <c r="L73" s="75">
        <v>0.03</v>
      </c>
      <c r="M73" s="73" t="s">
        <v>49</v>
      </c>
      <c r="N73" s="73"/>
      <c r="O73" s="76">
        <f>($J73+$K73)*Cost!$B$7</f>
        <v>60</v>
      </c>
      <c r="P73" s="76">
        <f>$J73*Cost!$B$6</f>
        <v>1200</v>
      </c>
      <c r="Q73" s="75">
        <f t="shared" si="2"/>
        <v>0.36</v>
      </c>
    </row>
    <row r="74" spans="1:17" ht="27.75" customHeight="1" x14ac:dyDescent="0.2">
      <c r="A74" s="62">
        <v>71</v>
      </c>
      <c r="B74" s="60" t="s">
        <v>383</v>
      </c>
      <c r="C74" s="60" t="s">
        <v>129</v>
      </c>
      <c r="D74" s="60" t="s">
        <v>162</v>
      </c>
      <c r="E74" s="60" t="s">
        <v>87</v>
      </c>
      <c r="F74" s="60" t="s">
        <v>192</v>
      </c>
      <c r="G74" s="60" t="s">
        <v>84</v>
      </c>
      <c r="H74" s="60" t="s">
        <v>78</v>
      </c>
      <c r="I74" s="60" t="s">
        <v>199</v>
      </c>
      <c r="J74" s="68">
        <v>4</v>
      </c>
      <c r="K74" s="68">
        <v>0</v>
      </c>
      <c r="L74" s="69">
        <v>0.03</v>
      </c>
      <c r="M74" s="61" t="s">
        <v>49</v>
      </c>
      <c r="N74" s="61"/>
      <c r="O74" s="70">
        <f>($J74+$K74)*Cost!$B$7</f>
        <v>20</v>
      </c>
      <c r="P74" s="70">
        <f>$J74*Cost!$B$6</f>
        <v>400</v>
      </c>
      <c r="Q74" s="69">
        <f t="shared" si="2"/>
        <v>0.12</v>
      </c>
    </row>
    <row r="75" spans="1:17" ht="27.75" customHeight="1" x14ac:dyDescent="0.2">
      <c r="A75" s="72">
        <v>72</v>
      </c>
      <c r="B75" s="71" t="s">
        <v>383</v>
      </c>
      <c r="C75" s="71" t="s">
        <v>83</v>
      </c>
      <c r="D75" s="71" t="s">
        <v>179</v>
      </c>
      <c r="E75" s="71" t="s">
        <v>87</v>
      </c>
      <c r="F75" s="71" t="s">
        <v>82</v>
      </c>
      <c r="G75" s="71" t="s">
        <v>84</v>
      </c>
      <c r="H75" s="71" t="s">
        <v>85</v>
      </c>
      <c r="I75" s="71" t="s">
        <v>391</v>
      </c>
      <c r="J75" s="74">
        <v>4</v>
      </c>
      <c r="K75" s="74">
        <v>0</v>
      </c>
      <c r="L75" s="75">
        <v>1.1999999999999999E-3</v>
      </c>
      <c r="M75" s="73" t="s">
        <v>49</v>
      </c>
      <c r="N75" s="73"/>
      <c r="O75" s="76">
        <f>($J75+$K75)*Cost!$B$7</f>
        <v>20</v>
      </c>
      <c r="P75" s="76">
        <f>$J75*Cost!$B$6</f>
        <v>400</v>
      </c>
      <c r="Q75" s="75">
        <f t="shared" si="2"/>
        <v>4.7999999999999996E-3</v>
      </c>
    </row>
    <row r="76" spans="1:17" ht="27.75" customHeight="1" x14ac:dyDescent="0.2">
      <c r="A76" s="62">
        <v>73</v>
      </c>
      <c r="B76" s="60" t="s">
        <v>383</v>
      </c>
      <c r="C76" s="60" t="s">
        <v>129</v>
      </c>
      <c r="D76" s="60" t="s">
        <v>191</v>
      </c>
      <c r="E76" s="60" t="s">
        <v>87</v>
      </c>
      <c r="F76" s="60" t="s">
        <v>192</v>
      </c>
      <c r="G76" s="60" t="s">
        <v>84</v>
      </c>
      <c r="H76" s="60" t="s">
        <v>78</v>
      </c>
      <c r="I76" s="60" t="s">
        <v>190</v>
      </c>
      <c r="J76" s="68">
        <v>4</v>
      </c>
      <c r="K76" s="68">
        <v>0</v>
      </c>
      <c r="L76" s="69">
        <v>0.03</v>
      </c>
      <c r="M76" s="61" t="s">
        <v>49</v>
      </c>
      <c r="N76" s="61"/>
      <c r="O76" s="70">
        <f>($J76+$K76)*Cost!$B$7</f>
        <v>20</v>
      </c>
      <c r="P76" s="70">
        <f>$J76*Cost!$B$6</f>
        <v>400</v>
      </c>
      <c r="Q76" s="69">
        <f t="shared" si="2"/>
        <v>0.12</v>
      </c>
    </row>
    <row r="77" spans="1:17" ht="27.75" customHeight="1" x14ac:dyDescent="0.2">
      <c r="A77" s="72">
        <v>74</v>
      </c>
      <c r="B77" s="71" t="s">
        <v>383</v>
      </c>
      <c r="C77" s="71" t="s">
        <v>83</v>
      </c>
      <c r="D77" s="71" t="s">
        <v>242</v>
      </c>
      <c r="E77" s="71" t="s">
        <v>87</v>
      </c>
      <c r="F77" s="71" t="s">
        <v>82</v>
      </c>
      <c r="G77" s="71" t="s">
        <v>84</v>
      </c>
      <c r="H77" s="71" t="s">
        <v>85</v>
      </c>
      <c r="I77" s="71" t="s">
        <v>241</v>
      </c>
      <c r="J77" s="74">
        <v>1</v>
      </c>
      <c r="K77" s="74">
        <v>0</v>
      </c>
      <c r="L77" s="75">
        <v>1.1999999999999999E-3</v>
      </c>
      <c r="M77" s="73" t="s">
        <v>49</v>
      </c>
      <c r="N77" s="73"/>
      <c r="O77" s="76">
        <f>($J77+$K77)*Cost!$B$7</f>
        <v>5</v>
      </c>
      <c r="P77" s="76">
        <f>$J77*Cost!$B$6</f>
        <v>100</v>
      </c>
      <c r="Q77" s="75">
        <f t="shared" si="2"/>
        <v>1.1999999999999999E-3</v>
      </c>
    </row>
    <row r="78" spans="1:17" ht="27.75" customHeight="1" x14ac:dyDescent="0.2">
      <c r="A78" s="62">
        <v>75</v>
      </c>
      <c r="B78" s="60" t="s">
        <v>383</v>
      </c>
      <c r="C78" s="60" t="s">
        <v>83</v>
      </c>
      <c r="D78" s="60" t="s">
        <v>305</v>
      </c>
      <c r="E78" s="60" t="s">
        <v>87</v>
      </c>
      <c r="F78" s="60" t="s">
        <v>82</v>
      </c>
      <c r="G78" s="60" t="s">
        <v>84</v>
      </c>
      <c r="H78" s="60" t="s">
        <v>294</v>
      </c>
      <c r="I78" s="60" t="s">
        <v>304</v>
      </c>
      <c r="J78" s="68">
        <v>2</v>
      </c>
      <c r="K78" s="68">
        <v>0</v>
      </c>
      <c r="L78" s="69">
        <v>1.1999999999999999E-3</v>
      </c>
      <c r="M78" s="61" t="s">
        <v>49</v>
      </c>
      <c r="N78" s="61"/>
      <c r="O78" s="70">
        <f>($J78+$K78)*Cost!$B$7</f>
        <v>10</v>
      </c>
      <c r="P78" s="70">
        <f>$J78*Cost!$B$6</f>
        <v>200</v>
      </c>
      <c r="Q78" s="69">
        <f t="shared" si="2"/>
        <v>2.3999999999999998E-3</v>
      </c>
    </row>
    <row r="79" spans="1:17" ht="27.75" customHeight="1" x14ac:dyDescent="0.2">
      <c r="A79" s="72">
        <v>76</v>
      </c>
      <c r="B79" s="71" t="s">
        <v>383</v>
      </c>
      <c r="C79" s="71" t="s">
        <v>83</v>
      </c>
      <c r="D79" s="71" t="s">
        <v>244</v>
      </c>
      <c r="E79" s="71" t="s">
        <v>87</v>
      </c>
      <c r="F79" s="71" t="s">
        <v>82</v>
      </c>
      <c r="G79" s="71" t="s">
        <v>84</v>
      </c>
      <c r="H79" s="71" t="s">
        <v>85</v>
      </c>
      <c r="I79" s="71" t="s">
        <v>243</v>
      </c>
      <c r="J79" s="74">
        <v>1</v>
      </c>
      <c r="K79" s="74">
        <v>0</v>
      </c>
      <c r="L79" s="75">
        <v>1.1999999999999999E-3</v>
      </c>
      <c r="M79" s="73" t="s">
        <v>49</v>
      </c>
      <c r="N79" s="73"/>
      <c r="O79" s="76">
        <f>($J79+$K79)*Cost!$B$7</f>
        <v>5</v>
      </c>
      <c r="P79" s="76">
        <f>$J79*Cost!$B$6</f>
        <v>100</v>
      </c>
      <c r="Q79" s="75">
        <f t="shared" si="2"/>
        <v>1.1999999999999999E-3</v>
      </c>
    </row>
    <row r="80" spans="1:17" ht="27.75" customHeight="1" x14ac:dyDescent="0.2">
      <c r="A80" s="62">
        <v>77</v>
      </c>
      <c r="B80" s="60" t="s">
        <v>383</v>
      </c>
      <c r="C80" s="60" t="s">
        <v>129</v>
      </c>
      <c r="D80" s="60" t="s">
        <v>216</v>
      </c>
      <c r="E80" s="60" t="s">
        <v>87</v>
      </c>
      <c r="F80" s="60" t="s">
        <v>192</v>
      </c>
      <c r="G80" s="60" t="s">
        <v>84</v>
      </c>
      <c r="H80" s="60" t="s">
        <v>78</v>
      </c>
      <c r="I80" s="60" t="s">
        <v>215</v>
      </c>
      <c r="J80" s="68">
        <v>2</v>
      </c>
      <c r="K80" s="68">
        <v>0</v>
      </c>
      <c r="L80" s="69">
        <v>0.03</v>
      </c>
      <c r="M80" s="61" t="s">
        <v>49</v>
      </c>
      <c r="N80" s="61"/>
      <c r="O80" s="70">
        <f>($J80+$K80)*Cost!$B$7</f>
        <v>10</v>
      </c>
      <c r="P80" s="70">
        <f>$J80*Cost!$B$6</f>
        <v>200</v>
      </c>
      <c r="Q80" s="69">
        <f t="shared" si="2"/>
        <v>0.06</v>
      </c>
    </row>
    <row r="81" spans="1:17" ht="27.75" customHeight="1" x14ac:dyDescent="0.2">
      <c r="A81" s="72">
        <v>78</v>
      </c>
      <c r="B81" s="71" t="s">
        <v>383</v>
      </c>
      <c r="C81" s="71" t="s">
        <v>83</v>
      </c>
      <c r="D81" s="71" t="s">
        <v>303</v>
      </c>
      <c r="E81" s="71" t="s">
        <v>87</v>
      </c>
      <c r="F81" s="71" t="s">
        <v>82</v>
      </c>
      <c r="G81" s="71" t="s">
        <v>84</v>
      </c>
      <c r="H81" s="71" t="s">
        <v>85</v>
      </c>
      <c r="I81" s="71" t="s">
        <v>302</v>
      </c>
      <c r="J81" s="74">
        <v>2</v>
      </c>
      <c r="K81" s="74">
        <v>0</v>
      </c>
      <c r="L81" s="75">
        <v>1.1999999999999999E-3</v>
      </c>
      <c r="M81" s="73" t="s">
        <v>49</v>
      </c>
      <c r="N81" s="73"/>
      <c r="O81" s="76">
        <f>($J81+$K81)*Cost!$B$7</f>
        <v>10</v>
      </c>
      <c r="P81" s="76">
        <f>$J81*Cost!$B$6</f>
        <v>200</v>
      </c>
      <c r="Q81" s="75">
        <f t="shared" si="2"/>
        <v>2.3999999999999998E-3</v>
      </c>
    </row>
    <row r="82" spans="1:17" ht="27.75" customHeight="1" x14ac:dyDescent="0.2">
      <c r="A82" s="62">
        <v>79</v>
      </c>
      <c r="B82" s="60" t="s">
        <v>383</v>
      </c>
      <c r="C82" s="60" t="s">
        <v>129</v>
      </c>
      <c r="D82" s="60" t="s">
        <v>214</v>
      </c>
      <c r="E82" s="60" t="s">
        <v>87</v>
      </c>
      <c r="F82" s="60" t="s">
        <v>192</v>
      </c>
      <c r="G82" s="60" t="s">
        <v>84</v>
      </c>
      <c r="H82" s="60" t="s">
        <v>78</v>
      </c>
      <c r="I82" s="60" t="s">
        <v>213</v>
      </c>
      <c r="J82" s="68">
        <v>2</v>
      </c>
      <c r="K82" s="68">
        <v>0</v>
      </c>
      <c r="L82" s="69">
        <v>0.03</v>
      </c>
      <c r="M82" s="61" t="s">
        <v>49</v>
      </c>
      <c r="N82" s="61"/>
      <c r="O82" s="70">
        <f>($J82+$K82)*Cost!$B$7</f>
        <v>10</v>
      </c>
      <c r="P82" s="70">
        <f>$J82*Cost!$B$6</f>
        <v>200</v>
      </c>
      <c r="Q82" s="69">
        <f t="shared" si="2"/>
        <v>0.06</v>
      </c>
    </row>
    <row r="83" spans="1:17" ht="27.75" customHeight="1" x14ac:dyDescent="0.2">
      <c r="A83" s="72">
        <v>80</v>
      </c>
      <c r="B83" s="71" t="s">
        <v>383</v>
      </c>
      <c r="C83" s="71" t="s">
        <v>83</v>
      </c>
      <c r="D83" s="71" t="s">
        <v>246</v>
      </c>
      <c r="E83" s="71" t="s">
        <v>87</v>
      </c>
      <c r="F83" s="71" t="s">
        <v>82</v>
      </c>
      <c r="G83" s="71" t="s">
        <v>84</v>
      </c>
      <c r="H83" s="71" t="s">
        <v>85</v>
      </c>
      <c r="I83" s="71" t="s">
        <v>245</v>
      </c>
      <c r="J83" s="74">
        <v>2</v>
      </c>
      <c r="K83" s="74">
        <v>0</v>
      </c>
      <c r="L83" s="75">
        <v>1.1999999999999999E-3</v>
      </c>
      <c r="M83" s="73" t="s">
        <v>49</v>
      </c>
      <c r="N83" s="73"/>
      <c r="O83" s="76">
        <f>($J83+$K83)*Cost!$B$7</f>
        <v>10</v>
      </c>
      <c r="P83" s="76">
        <f>$J83*Cost!$B$6</f>
        <v>200</v>
      </c>
      <c r="Q83" s="75">
        <f t="shared" si="2"/>
        <v>2.3999999999999998E-3</v>
      </c>
    </row>
    <row r="84" spans="1:17" ht="27.75" customHeight="1" x14ac:dyDescent="0.2">
      <c r="A84" s="62">
        <v>81</v>
      </c>
      <c r="B84" s="60" t="s">
        <v>383</v>
      </c>
      <c r="C84" s="60" t="s">
        <v>83</v>
      </c>
      <c r="D84" s="60" t="s">
        <v>220</v>
      </c>
      <c r="E84" s="60" t="s">
        <v>87</v>
      </c>
      <c r="F84" s="60" t="s">
        <v>82</v>
      </c>
      <c r="G84" s="60" t="s">
        <v>84</v>
      </c>
      <c r="H84" s="60" t="s">
        <v>85</v>
      </c>
      <c r="I84" s="60" t="s">
        <v>219</v>
      </c>
      <c r="J84" s="68">
        <v>2</v>
      </c>
      <c r="K84" s="68">
        <v>0</v>
      </c>
      <c r="L84" s="69">
        <v>1.1999999999999999E-3</v>
      </c>
      <c r="M84" s="61" t="s">
        <v>49</v>
      </c>
      <c r="N84" s="61"/>
      <c r="O84" s="70">
        <f>($J84+$K84)*Cost!$B$7</f>
        <v>10</v>
      </c>
      <c r="P84" s="70">
        <f>$J84*Cost!$B$6</f>
        <v>200</v>
      </c>
      <c r="Q84" s="69">
        <f t="shared" si="2"/>
        <v>2.3999999999999998E-3</v>
      </c>
    </row>
    <row r="85" spans="1:17" ht="27.75" customHeight="1" x14ac:dyDescent="0.2">
      <c r="A85" s="72">
        <v>82</v>
      </c>
      <c r="B85" s="71" t="s">
        <v>383</v>
      </c>
      <c r="C85" s="71" t="s">
        <v>129</v>
      </c>
      <c r="D85" s="71" t="s">
        <v>222</v>
      </c>
      <c r="E85" s="71" t="s">
        <v>223</v>
      </c>
      <c r="F85" s="71" t="s">
        <v>224</v>
      </c>
      <c r="G85" s="71" t="s">
        <v>84</v>
      </c>
      <c r="H85" s="71" t="s">
        <v>78</v>
      </c>
      <c r="I85" s="71" t="s">
        <v>221</v>
      </c>
      <c r="J85" s="74">
        <v>8</v>
      </c>
      <c r="K85" s="74">
        <v>0</v>
      </c>
      <c r="L85" s="75">
        <v>5.0000000000000001E-3</v>
      </c>
      <c r="M85" s="73" t="s">
        <v>49</v>
      </c>
      <c r="N85" s="73"/>
      <c r="O85" s="76">
        <f>($J85+$K85)*Cost!$B$7</f>
        <v>40</v>
      </c>
      <c r="P85" s="76">
        <f>$J85*Cost!$B$6</f>
        <v>800</v>
      </c>
      <c r="Q85" s="75">
        <f t="shared" si="2"/>
        <v>0.04</v>
      </c>
    </row>
    <row r="86" spans="1:17" ht="27.75" customHeight="1" x14ac:dyDescent="0.2">
      <c r="A86" s="62">
        <v>83</v>
      </c>
      <c r="B86" s="60" t="s">
        <v>392</v>
      </c>
      <c r="C86" s="60" t="s">
        <v>83</v>
      </c>
      <c r="D86" s="60" t="s">
        <v>307</v>
      </c>
      <c r="E86" s="60" t="s">
        <v>272</v>
      </c>
      <c r="F86" s="60" t="s">
        <v>308</v>
      </c>
      <c r="G86" s="60" t="s">
        <v>84</v>
      </c>
      <c r="H86" s="60" t="s">
        <v>85</v>
      </c>
      <c r="I86" s="60" t="s">
        <v>306</v>
      </c>
      <c r="J86" s="68">
        <v>2</v>
      </c>
      <c r="K86" s="68">
        <v>0</v>
      </c>
      <c r="L86" s="69">
        <v>1.2E-2</v>
      </c>
      <c r="M86" s="61" t="s">
        <v>49</v>
      </c>
      <c r="N86" s="61"/>
      <c r="O86" s="70">
        <f>($J86+$K86)*Cost!$B$7</f>
        <v>10</v>
      </c>
      <c r="P86" s="70">
        <f>$J86*Cost!$B$6</f>
        <v>200</v>
      </c>
      <c r="Q86" s="69">
        <f t="shared" si="2"/>
        <v>2.4E-2</v>
      </c>
    </row>
    <row r="87" spans="1:17" ht="27.75" customHeight="1" x14ac:dyDescent="0.2">
      <c r="A87" s="72">
        <v>84</v>
      </c>
      <c r="B87" s="71" t="s">
        <v>392</v>
      </c>
      <c r="C87" s="71" t="s">
        <v>83</v>
      </c>
      <c r="D87" s="71" t="s">
        <v>248</v>
      </c>
      <c r="E87" s="71" t="s">
        <v>240</v>
      </c>
      <c r="F87" s="71" t="s">
        <v>249</v>
      </c>
      <c r="G87" s="71" t="s">
        <v>84</v>
      </c>
      <c r="H87" s="71" t="s">
        <v>85</v>
      </c>
      <c r="I87" s="71" t="s">
        <v>247</v>
      </c>
      <c r="J87" s="74">
        <v>2</v>
      </c>
      <c r="K87" s="74">
        <v>0</v>
      </c>
      <c r="L87" s="75">
        <v>6.0000000000000001E-3</v>
      </c>
      <c r="M87" s="73" t="s">
        <v>49</v>
      </c>
      <c r="N87" s="73"/>
      <c r="O87" s="76">
        <f>($J87+$K87)*Cost!$B$7</f>
        <v>10</v>
      </c>
      <c r="P87" s="76">
        <f>$J87*Cost!$B$6</f>
        <v>200</v>
      </c>
      <c r="Q87" s="75">
        <f t="shared" si="2"/>
        <v>1.2E-2</v>
      </c>
    </row>
    <row r="88" spans="1:17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spans="1:17" ht="15.75" customHeight="1" x14ac:dyDescent="0.2">
      <c r="A89" s="63"/>
      <c r="B89" s="63" t="s">
        <v>393</v>
      </c>
      <c r="C89" s="63"/>
      <c r="D89" s="63"/>
      <c r="E89" s="63"/>
      <c r="F89" s="63"/>
      <c r="G89" s="63"/>
      <c r="H89" s="63"/>
      <c r="I89" s="63"/>
      <c r="J89" s="65">
        <f>SUM(J4:J87)</f>
        <v>273</v>
      </c>
      <c r="K89" s="65">
        <f>SUM(K4:K87)</f>
        <v>1</v>
      </c>
      <c r="L89" s="63"/>
      <c r="M89" s="63"/>
      <c r="N89" s="63"/>
      <c r="O89" s="64">
        <f>SUM(O4:O87)</f>
        <v>1370</v>
      </c>
      <c r="P89" s="64">
        <f>SUM(P4:P87)</f>
        <v>27300</v>
      </c>
      <c r="Q89" s="66">
        <f>SUM(Q4:Q87)</f>
        <v>40.619500000000002</v>
      </c>
    </row>
    <row r="90" spans="1:17" ht="15.75" customHeight="1" x14ac:dyDescent="0.2">
      <c r="A90" s="67"/>
      <c r="B90" s="67" t="str">
        <f>"Part numbers: "&amp;COUNTA(C4:C87)&amp;" · SMT part types on production boards: "&amp;Cost!$B$16&amp;" · Extended SMT part types on the prototypes: "&amp;Cost!$B$17</f>
        <v>Part numbers: 84 · SMT part types on production boards: 82 · Extended SMT part types on the prototypes: 47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4317-3495-48DF-9998-BE78216BB4A3}">
  <dimension ref="A1:G6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0.6640625" customWidth="1"/>
    <col min="2" max="4" width="11.6640625" customWidth="1"/>
    <col min="5" max="5" width="12.6640625" customWidth="1"/>
    <col min="6" max="6" width="11.6640625" customWidth="1"/>
    <col min="7" max="7" width="64.6640625" customWidth="1"/>
  </cols>
  <sheetData>
    <row r="1" spans="1:7" ht="21.75" customHeight="1" x14ac:dyDescent="0.2">
      <c r="A1" s="82" t="s">
        <v>394</v>
      </c>
      <c r="B1" s="82"/>
      <c r="C1" s="82"/>
      <c r="D1" s="82"/>
      <c r="E1" s="82"/>
      <c r="F1" s="82"/>
      <c r="G1" s="82"/>
    </row>
    <row r="2" spans="1:7" ht="15.75" customHeight="1" x14ac:dyDescent="0.2">
      <c r="A2" s="83" t="s">
        <v>395</v>
      </c>
      <c r="B2" s="83"/>
      <c r="C2" s="83"/>
      <c r="D2" s="83"/>
      <c r="E2" s="83"/>
      <c r="F2" s="83"/>
      <c r="G2" s="83"/>
    </row>
    <row r="3" spans="1:7" ht="8.25" customHeight="1" x14ac:dyDescent="0.2">
      <c r="A3" s="1"/>
      <c r="B3" s="1"/>
      <c r="C3" s="1"/>
      <c r="D3" s="1"/>
      <c r="E3" s="1"/>
      <c r="F3" s="1"/>
      <c r="G3" s="1"/>
    </row>
    <row r="4" spans="1:7" ht="18" customHeight="1" x14ac:dyDescent="0.2">
      <c r="A4" s="3" t="s">
        <v>396</v>
      </c>
      <c r="B4" s="6" t="s">
        <v>4</v>
      </c>
      <c r="C4" s="6" t="s">
        <v>5</v>
      </c>
      <c r="D4" s="3"/>
      <c r="E4" s="3"/>
      <c r="F4" s="3"/>
      <c r="G4" s="3" t="s">
        <v>397</v>
      </c>
    </row>
    <row r="5" spans="1:7" x14ac:dyDescent="0.2">
      <c r="A5" s="1" t="s">
        <v>398</v>
      </c>
      <c r="B5" s="16">
        <v>31.7</v>
      </c>
      <c r="C5" s="14" t="s">
        <v>399</v>
      </c>
      <c r="D5" s="1"/>
      <c r="E5" s="1"/>
      <c r="F5" s="1"/>
      <c r="G5" s="34" t="s">
        <v>400</v>
      </c>
    </row>
    <row r="6" spans="1:7" x14ac:dyDescent="0.2">
      <c r="A6" s="7" t="s">
        <v>401</v>
      </c>
      <c r="B6" s="17">
        <v>100</v>
      </c>
      <c r="C6" s="15" t="s">
        <v>402</v>
      </c>
      <c r="D6" s="7"/>
      <c r="E6" s="7"/>
      <c r="F6" s="7"/>
      <c r="G6" s="35" t="s">
        <v>403</v>
      </c>
    </row>
    <row r="7" spans="1:7" x14ac:dyDescent="0.2">
      <c r="A7" s="1" t="s">
        <v>404</v>
      </c>
      <c r="B7" s="17">
        <v>5</v>
      </c>
      <c r="C7" s="14" t="s">
        <v>402</v>
      </c>
      <c r="D7" s="1"/>
      <c r="E7" s="1"/>
      <c r="F7" s="1"/>
      <c r="G7" s="34" t="s">
        <v>405</v>
      </c>
    </row>
    <row r="8" spans="1:7" x14ac:dyDescent="0.2">
      <c r="A8" s="7" t="s">
        <v>406</v>
      </c>
      <c r="B8" s="17">
        <v>1500</v>
      </c>
      <c r="C8" s="15" t="s">
        <v>23</v>
      </c>
      <c r="D8" s="7"/>
      <c r="E8" s="7"/>
      <c r="F8" s="7"/>
      <c r="G8" s="35" t="s">
        <v>407</v>
      </c>
    </row>
    <row r="9" spans="1:7" x14ac:dyDescent="0.2">
      <c r="A9" s="1" t="s">
        <v>408</v>
      </c>
      <c r="B9" s="18">
        <v>7</v>
      </c>
      <c r="C9" s="14" t="s">
        <v>18</v>
      </c>
      <c r="D9" s="1"/>
      <c r="E9" s="1"/>
      <c r="F9" s="1"/>
      <c r="G9" s="34" t="s">
        <v>409</v>
      </c>
    </row>
    <row r="10" spans="1:7" ht="8.25" customHeight="1" x14ac:dyDescent="0.2">
      <c r="A10" s="1"/>
      <c r="B10" s="1"/>
      <c r="C10" s="14"/>
      <c r="D10" s="1"/>
      <c r="E10" s="1"/>
      <c r="F10" s="1"/>
      <c r="G10" s="34"/>
    </row>
    <row r="11" spans="1:7" ht="18" customHeight="1" x14ac:dyDescent="0.2">
      <c r="A11" s="3" t="s">
        <v>410</v>
      </c>
      <c r="B11" s="6" t="s">
        <v>4</v>
      </c>
      <c r="C11" s="6" t="s">
        <v>5</v>
      </c>
      <c r="D11" s="3"/>
      <c r="E11" s="3"/>
      <c r="F11" s="3"/>
      <c r="G11" s="36" t="s">
        <v>411</v>
      </c>
    </row>
    <row r="12" spans="1:7" x14ac:dyDescent="0.2">
      <c r="A12" s="1" t="s">
        <v>412</v>
      </c>
      <c r="B12" s="23">
        <f>SUMIFS('[1]Parts list'!$P$4:$P$159,'[1]Parts list'!$B$4:$B$159,"&lt;&gt;PCB")</f>
        <v>40.619499999999981</v>
      </c>
      <c r="C12" s="14" t="s">
        <v>21</v>
      </c>
      <c r="D12" s="1"/>
      <c r="E12" s="1"/>
      <c r="F12" s="1"/>
      <c r="G12" s="34" t="s">
        <v>413</v>
      </c>
    </row>
    <row r="13" spans="1:7" x14ac:dyDescent="0.2">
      <c r="A13" s="7" t="s">
        <v>414</v>
      </c>
      <c r="B13" s="24">
        <f>SUMIFS('[1]Parts list'!$P$4:$P$159,'[1]Parts list'!$B$4:$B$159,"PCB")</f>
        <v>0.8</v>
      </c>
      <c r="C13" s="15" t="s">
        <v>21</v>
      </c>
      <c r="D13" s="7"/>
      <c r="E13" s="7"/>
      <c r="F13" s="7"/>
      <c r="G13" s="35" t="s">
        <v>415</v>
      </c>
    </row>
    <row r="14" spans="1:7" x14ac:dyDescent="0.2">
      <c r="A14" s="1" t="s">
        <v>7</v>
      </c>
      <c r="B14" s="25">
        <f>SUMIFS('[1]Parts list'!$C$4:$C$159,'[1]Parts list'!$K$4:$K$159,"Yes",'[1]Parts list'!$B$4:$B$159,"&lt;&gt;PCB")</f>
        <v>273</v>
      </c>
      <c r="C14" s="14" t="s">
        <v>8</v>
      </c>
      <c r="D14" s="1"/>
      <c r="E14" s="1"/>
      <c r="F14" s="1"/>
      <c r="G14" s="34" t="s">
        <v>416</v>
      </c>
    </row>
    <row r="15" spans="1:7" x14ac:dyDescent="0.2">
      <c r="A15" s="7" t="s">
        <v>10</v>
      </c>
      <c r="B15" s="26">
        <f>B14+SUMIFS('[1]Parts list'!$C$4:$C$159,'[1]Parts list'!$K$4:$K$159,"Prototypes only")</f>
        <v>274</v>
      </c>
      <c r="C15" s="15" t="s">
        <v>8</v>
      </c>
      <c r="D15" s="7"/>
      <c r="E15" s="7"/>
      <c r="F15" s="7"/>
      <c r="G15" s="35" t="s">
        <v>417</v>
      </c>
    </row>
    <row r="16" spans="1:7" ht="27.75" customHeight="1" x14ac:dyDescent="0.2">
      <c r="A16" s="1" t="s">
        <v>418</v>
      </c>
      <c r="B16" s="25">
        <f>COUNTIFS('Purchasing list'!$J$4:$J$87,"&gt;0",'Purchasing list'!$E$4:$E$87,"&lt;&gt;Through-hole")</f>
        <v>82</v>
      </c>
      <c r="C16" s="14" t="s">
        <v>419</v>
      </c>
      <c r="D16" s="1"/>
      <c r="E16" s="1"/>
      <c r="F16" s="1"/>
      <c r="G16" s="34" t="s">
        <v>420</v>
      </c>
    </row>
    <row r="17" spans="1:7" ht="27.75" customHeight="1" x14ac:dyDescent="0.2">
      <c r="A17" s="7" t="s">
        <v>421</v>
      </c>
      <c r="B17" s="26">
        <f>COUNTIFS('Purchasing list'!$E$4:$E$87,"&lt;&gt;Through-hole",'Purchasing list'!$H$4:$H$87,"&lt;&gt;Basic",'Purchasing list'!$H$4:$H$87,"&lt;&gt;Basic (likely)")</f>
        <v>47</v>
      </c>
      <c r="C17" s="15" t="s">
        <v>419</v>
      </c>
      <c r="D17" s="7"/>
      <c r="E17" s="7"/>
      <c r="F17" s="7"/>
      <c r="G17" s="35" t="s">
        <v>422</v>
      </c>
    </row>
    <row r="18" spans="1:7" x14ac:dyDescent="0.2">
      <c r="A18" s="1" t="s">
        <v>17</v>
      </c>
      <c r="B18" s="25" cm="1">
        <f t="array" ref="B18">SUMPRODUCT(('[1]Parts list'!$K$4:$K$159="Yes")*'[1]Parts list'!$C$4:$C$159*'[1]Parts list'!$M$4:$M$159)</f>
        <v>826</v>
      </c>
      <c r="C18" s="14" t="s">
        <v>18</v>
      </c>
      <c r="D18" s="1"/>
      <c r="E18" s="1"/>
      <c r="F18" s="1"/>
      <c r="G18" s="34" t="s">
        <v>423</v>
      </c>
    </row>
    <row r="19" spans="1:7" x14ac:dyDescent="0.2">
      <c r="A19" s="7" t="s">
        <v>424</v>
      </c>
      <c r="B19" s="26" cm="1">
        <f t="array" ref="B19">B18+SUMPRODUCT(('[1]Parts list'!$K$4:$K$159="Prototypes only")*'[1]Parts list'!$C$4:$C$159*'[1]Parts list'!$M$4:$M$159)</f>
        <v>836</v>
      </c>
      <c r="C19" s="15" t="s">
        <v>18</v>
      </c>
      <c r="D19" s="7"/>
      <c r="E19" s="7"/>
      <c r="F19" s="7"/>
      <c r="G19" s="35" t="s">
        <v>11</v>
      </c>
    </row>
    <row r="20" spans="1:7" x14ac:dyDescent="0.2">
      <c r="A20" s="1" t="s">
        <v>425</v>
      </c>
      <c r="B20" s="25">
        <f>SUMIFS('[1]Parts list'!$C$4:$C$159,'[1]Parts list'!$K$4:$K$159,"Yes",'[1]Parts list'!$L$4:$L$159,"Yes")</f>
        <v>7</v>
      </c>
      <c r="C20" s="14" t="s">
        <v>8</v>
      </c>
      <c r="D20" s="1"/>
      <c r="E20" s="1"/>
      <c r="F20" s="1"/>
      <c r="G20" s="34" t="s">
        <v>426</v>
      </c>
    </row>
    <row r="21" spans="1:7" x14ac:dyDescent="0.2">
      <c r="A21" s="7" t="s">
        <v>427</v>
      </c>
      <c r="B21" s="26">
        <f>SUMIFS('[1]Parts list'!$P$4:$P$159,'[1]Parts list'!$O$4:$O$159,"Estimate",'[1]Parts list'!$B$4:$B$159,"&lt;&gt;PCB")*$B$5</f>
        <v>66.395649999999932</v>
      </c>
      <c r="C21" s="15" t="s">
        <v>23</v>
      </c>
      <c r="D21" s="7"/>
      <c r="E21" s="7"/>
      <c r="F21" s="7"/>
      <c r="G21" s="35" t="s">
        <v>428</v>
      </c>
    </row>
    <row r="22" spans="1:7" x14ac:dyDescent="0.2">
      <c r="A22" s="1" t="s">
        <v>429</v>
      </c>
      <c r="B22" s="23">
        <f>ROUND('Purchasing list'!$Q$89-B12,2)</f>
        <v>0</v>
      </c>
      <c r="C22" s="14" t="s">
        <v>21</v>
      </c>
      <c r="D22" s="1"/>
      <c r="E22" s="1"/>
      <c r="F22" s="1"/>
      <c r="G22" s="34" t="s">
        <v>430</v>
      </c>
    </row>
    <row r="23" spans="1:7" x14ac:dyDescent="0.2">
      <c r="A23" s="7" t="s">
        <v>431</v>
      </c>
      <c r="B23" s="26">
        <f>'Purchasing list'!$J$89-B14</f>
        <v>0</v>
      </c>
      <c r="C23" s="15" t="s">
        <v>8</v>
      </c>
      <c r="D23" s="7"/>
      <c r="E23" s="7"/>
      <c r="F23" s="7"/>
      <c r="G23" s="35" t="s">
        <v>430</v>
      </c>
    </row>
    <row r="24" spans="1:7" ht="8.25" customHeight="1" x14ac:dyDescent="0.2">
      <c r="A24" s="1"/>
      <c r="B24" s="1"/>
      <c r="C24" s="1"/>
      <c r="D24" s="1"/>
      <c r="E24" s="1"/>
      <c r="F24" s="1"/>
      <c r="G24" s="34"/>
    </row>
    <row r="25" spans="1:7" ht="18" customHeight="1" x14ac:dyDescent="0.2">
      <c r="A25" s="3" t="str">
        <f>"Production — "&amp;TEXT($B$6,"#,##0")&amp;" boards, JLCPCB Standard PCBA (price list of 8 Sep 2026)"</f>
        <v>Production — 100 boards, JLCPCB Standard PCBA (price list of 8 Sep 2026)</v>
      </c>
      <c r="B25" s="3"/>
      <c r="C25" s="3"/>
      <c r="D25" s="3"/>
      <c r="E25" s="3"/>
      <c r="F25" s="3"/>
      <c r="G25" s="36"/>
    </row>
    <row r="26" spans="1:7" x14ac:dyDescent="0.2">
      <c r="A26" s="4" t="s">
        <v>432</v>
      </c>
      <c r="B26" s="5" t="s">
        <v>433</v>
      </c>
      <c r="C26" s="5" t="s">
        <v>434</v>
      </c>
      <c r="D26" s="5" t="s">
        <v>435</v>
      </c>
      <c r="E26" s="5" t="s">
        <v>21</v>
      </c>
      <c r="F26" s="5" t="s">
        <v>23</v>
      </c>
      <c r="G26" s="37" t="s">
        <v>6</v>
      </c>
    </row>
    <row r="27" spans="1:7" x14ac:dyDescent="0.2">
      <c r="A27" s="1" t="s">
        <v>436</v>
      </c>
      <c r="B27" s="9"/>
      <c r="C27" s="12"/>
      <c r="D27" s="20">
        <v>25.56</v>
      </c>
      <c r="E27" s="10">
        <f t="shared" ref="E27:E34" si="0">B27*C27+D27</f>
        <v>25.56</v>
      </c>
      <c r="F27" s="9">
        <f t="shared" ref="F27:F36" si="1">E27*$B$5</f>
        <v>810.25199999999995</v>
      </c>
      <c r="G27" s="34" t="s">
        <v>437</v>
      </c>
    </row>
    <row r="28" spans="1:7" x14ac:dyDescent="0.2">
      <c r="A28" s="7" t="s">
        <v>438</v>
      </c>
      <c r="B28" s="8"/>
      <c r="C28" s="13"/>
      <c r="D28" s="20">
        <v>8.2100000000000009</v>
      </c>
      <c r="E28" s="11">
        <f t="shared" si="0"/>
        <v>8.2100000000000009</v>
      </c>
      <c r="F28" s="8">
        <f t="shared" si="1"/>
        <v>260.25700000000001</v>
      </c>
      <c r="G28" s="35" t="s">
        <v>437</v>
      </c>
    </row>
    <row r="29" spans="1:7" x14ac:dyDescent="0.2">
      <c r="A29" s="1" t="s">
        <v>439</v>
      </c>
      <c r="B29" s="9"/>
      <c r="C29" s="12"/>
      <c r="D29" s="19">
        <v>41.04</v>
      </c>
      <c r="E29" s="10">
        <f t="shared" si="0"/>
        <v>41.04</v>
      </c>
      <c r="F29" s="9">
        <f t="shared" si="1"/>
        <v>1300.9679999999998</v>
      </c>
      <c r="G29" s="34" t="s">
        <v>440</v>
      </c>
    </row>
    <row r="30" spans="1:7" ht="27.75" customHeight="1" x14ac:dyDescent="0.2">
      <c r="A30" s="7" t="s">
        <v>441</v>
      </c>
      <c r="B30" s="8">
        <f>B16</f>
        <v>82</v>
      </c>
      <c r="C30" s="22">
        <v>1.53</v>
      </c>
      <c r="D30" s="11"/>
      <c r="E30" s="11">
        <f t="shared" si="0"/>
        <v>125.46000000000001</v>
      </c>
      <c r="F30" s="8">
        <f t="shared" si="1"/>
        <v>3977.0820000000003</v>
      </c>
      <c r="G30" s="35" t="str">
        <f>TEXT(B30,"0")&amp;" distinct SMT part numbers on production boards (the 4.4 mm jack is through-hole; the JTAG header is prototype-only)"</f>
        <v>82 distinct SMT part numbers on production boards (the 4.4 mm jack is through-hole; the JTAG header is prototype-only)</v>
      </c>
    </row>
    <row r="31" spans="1:7" x14ac:dyDescent="0.2">
      <c r="A31" s="1" t="s">
        <v>442</v>
      </c>
      <c r="B31" s="9">
        <f>B18*$B$6</f>
        <v>82600</v>
      </c>
      <c r="C31" s="22">
        <v>1.6000000000000001E-3</v>
      </c>
      <c r="D31" s="10"/>
      <c r="E31" s="10">
        <f t="shared" si="0"/>
        <v>132.16</v>
      </c>
      <c r="F31" s="9">
        <f t="shared" si="1"/>
        <v>4189.4719999999998</v>
      </c>
      <c r="G31" s="34" t="str">
        <f>TEXT(B18,"#,##0")&amp;" joints per board × "&amp;TEXT($B$6,"#,##0")&amp;" boards"</f>
        <v>826 joints per board × 100 boards</v>
      </c>
    </row>
    <row r="32" spans="1:7" x14ac:dyDescent="0.2">
      <c r="A32" s="7" t="s">
        <v>443</v>
      </c>
      <c r="B32" s="8">
        <f>B20*$B$6</f>
        <v>700</v>
      </c>
      <c r="C32" s="22">
        <v>0.25</v>
      </c>
      <c r="D32" s="11"/>
      <c r="E32" s="11">
        <f t="shared" si="0"/>
        <v>175</v>
      </c>
      <c r="F32" s="8">
        <f t="shared" si="1"/>
        <v>5547.5</v>
      </c>
      <c r="G32" s="35" t="str">
        <f>TEXT(B20,"0")&amp;" leadless parts per board × "&amp;TEXT($B$6,"#,##0")&amp;" boards; 501–1,000-part tier"</f>
        <v>7 leadless parts per board × 100 boards; 501–1,000-part tier</v>
      </c>
    </row>
    <row r="33" spans="1:7" x14ac:dyDescent="0.2">
      <c r="A33" s="1" t="s">
        <v>444</v>
      </c>
      <c r="B33" s="9">
        <f>$B$9*$B$6</f>
        <v>700</v>
      </c>
      <c r="C33" s="21">
        <v>1.6400000000000001E-2</v>
      </c>
      <c r="D33" s="20">
        <v>3.58</v>
      </c>
      <c r="E33" s="10">
        <f t="shared" si="0"/>
        <v>15.06</v>
      </c>
      <c r="F33" s="9">
        <f t="shared" si="1"/>
        <v>477.40199999999999</v>
      </c>
      <c r="G33" s="34" t="str">
        <f>TEXT($B$9,"0")&amp;" joints per board × "&amp;TEXT($B$6,"#,##0")&amp;" boards, plus a fixed fee per order"</f>
        <v>7 joints per board × 100 boards, plus a fixed fee per order</v>
      </c>
    </row>
    <row r="34" spans="1:7" x14ac:dyDescent="0.2">
      <c r="A34" s="7" t="s">
        <v>445</v>
      </c>
      <c r="B34" s="8"/>
      <c r="C34" s="13"/>
      <c r="D34" s="20">
        <v>0.45</v>
      </c>
      <c r="E34" s="11">
        <f t="shared" si="0"/>
        <v>0.45</v>
      </c>
      <c r="F34" s="8">
        <f t="shared" si="1"/>
        <v>14.265000000000001</v>
      </c>
      <c r="G34" s="35" t="s">
        <v>437</v>
      </c>
    </row>
    <row r="35" spans="1:7" x14ac:dyDescent="0.2">
      <c r="A35" s="30" t="s">
        <v>446</v>
      </c>
      <c r="B35" s="31"/>
      <c r="C35" s="32"/>
      <c r="D35" s="33"/>
      <c r="E35" s="33">
        <f>SUM(E27:E34)</f>
        <v>522.94000000000005</v>
      </c>
      <c r="F35" s="31">
        <f t="shared" si="1"/>
        <v>16577.198</v>
      </c>
      <c r="G35" s="38"/>
    </row>
    <row r="36" spans="1:7" x14ac:dyDescent="0.2">
      <c r="A36" s="2" t="s">
        <v>447</v>
      </c>
      <c r="B36" s="27"/>
      <c r="C36" s="28"/>
      <c r="D36" s="29"/>
      <c r="E36" s="29">
        <f>E35/$B$6</f>
        <v>5.2294000000000009</v>
      </c>
      <c r="F36" s="27">
        <f t="shared" si="1"/>
        <v>165.77198000000001</v>
      </c>
      <c r="G36" s="39" t="str">
        <f>"order total ÷ "&amp;TEXT($B$6,"#,##0")&amp;" boards"</f>
        <v>order total ÷ 100 boards</v>
      </c>
    </row>
    <row r="37" spans="1:7" ht="8.25" customHeight="1" x14ac:dyDescent="0.2">
      <c r="A37" s="1"/>
      <c r="B37" s="1"/>
      <c r="C37" s="1"/>
      <c r="D37" s="1"/>
      <c r="E37" s="1"/>
      <c r="F37" s="1"/>
      <c r="G37" s="34"/>
    </row>
    <row r="38" spans="1:7" x14ac:dyDescent="0.2">
      <c r="A38" s="4" t="s">
        <v>448</v>
      </c>
      <c r="B38" s="5"/>
      <c r="C38" s="5"/>
      <c r="D38" s="5"/>
      <c r="E38" s="5" t="s">
        <v>21</v>
      </c>
      <c r="F38" s="5" t="s">
        <v>23</v>
      </c>
      <c r="G38" s="37" t="s">
        <v>6</v>
      </c>
    </row>
    <row r="39" spans="1:7" x14ac:dyDescent="0.2">
      <c r="A39" s="1" t="s">
        <v>449</v>
      </c>
      <c r="B39" s="1"/>
      <c r="C39" s="1"/>
      <c r="D39" s="1"/>
      <c r="E39" s="10">
        <f>B12</f>
        <v>40.619499999999981</v>
      </c>
      <c r="F39" s="9">
        <f>E39*$B$5</f>
        <v>1287.6381499999993</v>
      </c>
      <c r="G39" s="34" t="s">
        <v>450</v>
      </c>
    </row>
    <row r="40" spans="1:7" x14ac:dyDescent="0.2">
      <c r="A40" s="7" t="s">
        <v>451</v>
      </c>
      <c r="B40" s="7"/>
      <c r="C40" s="7"/>
      <c r="D40" s="7"/>
      <c r="E40" s="11">
        <f>B13</f>
        <v>0.8</v>
      </c>
      <c r="F40" s="8">
        <f>E40*$B$5</f>
        <v>25.36</v>
      </c>
      <c r="G40" s="35" t="s">
        <v>415</v>
      </c>
    </row>
    <row r="41" spans="1:7" x14ac:dyDescent="0.2">
      <c r="A41" s="1" t="s">
        <v>452</v>
      </c>
      <c r="B41" s="1"/>
      <c r="C41" s="1"/>
      <c r="D41" s="1"/>
      <c r="E41" s="10">
        <f>E36</f>
        <v>5.2294000000000009</v>
      </c>
      <c r="F41" s="9">
        <f>E41*$B$5</f>
        <v>165.77198000000001</v>
      </c>
      <c r="G41" s="34" t="s">
        <v>453</v>
      </c>
    </row>
    <row r="42" spans="1:7" x14ac:dyDescent="0.2">
      <c r="A42" s="30" t="s">
        <v>393</v>
      </c>
      <c r="B42" s="30"/>
      <c r="C42" s="30"/>
      <c r="D42" s="30"/>
      <c r="E42" s="33">
        <f>SUM(E39:E41)</f>
        <v>46.648899999999976</v>
      </c>
      <c r="F42" s="31">
        <f>E42*$B$5</f>
        <v>1478.7701299999992</v>
      </c>
      <c r="G42" s="38" t="str">
        <f>"at "&amp;TEXT($B$6,"#,##0")&amp;" boards"</f>
        <v>at 100 boards</v>
      </c>
    </row>
    <row r="43" spans="1:7" x14ac:dyDescent="0.2">
      <c r="A43" s="1" t="s">
        <v>454</v>
      </c>
      <c r="B43" s="1"/>
      <c r="C43" s="1"/>
      <c r="D43" s="1"/>
      <c r="E43" s="10"/>
      <c r="F43" s="9">
        <f>$B$8</f>
        <v>1500</v>
      </c>
      <c r="G43" s="34" t="s">
        <v>455</v>
      </c>
    </row>
    <row r="44" spans="1:7" x14ac:dyDescent="0.2">
      <c r="A44" s="2" t="s">
        <v>27</v>
      </c>
      <c r="B44" s="2"/>
      <c r="C44" s="2"/>
      <c r="D44" s="2"/>
      <c r="E44" s="29"/>
      <c r="F44" s="27">
        <f>F43-F42</f>
        <v>21.229870000000801</v>
      </c>
      <c r="G44" s="39" t="str">
        <f>IF(F44&gt;=0,"within the limit","over the limit")</f>
        <v>within the limit</v>
      </c>
    </row>
    <row r="45" spans="1:7" ht="8.25" customHeight="1" x14ac:dyDescent="0.2">
      <c r="A45" s="1"/>
      <c r="B45" s="1"/>
      <c r="C45" s="1"/>
      <c r="D45" s="1"/>
      <c r="E45" s="1"/>
      <c r="F45" s="1"/>
      <c r="G45" s="34"/>
    </row>
    <row r="46" spans="1:7" ht="18" customHeight="1" x14ac:dyDescent="0.2">
      <c r="A46" s="3" t="str">
        <f>"Prototype — "&amp;TEXT($B$7,"#,##0")&amp;" boards, JLCPCB Economic PCBA"</f>
        <v>Prototype — 5 boards, JLCPCB Economic PCBA</v>
      </c>
      <c r="B46" s="3"/>
      <c r="C46" s="3"/>
      <c r="D46" s="3"/>
      <c r="E46" s="3"/>
      <c r="F46" s="3"/>
      <c r="G46" s="36"/>
    </row>
    <row r="47" spans="1:7" x14ac:dyDescent="0.2">
      <c r="A47" s="4" t="s">
        <v>432</v>
      </c>
      <c r="B47" s="5" t="s">
        <v>433</v>
      </c>
      <c r="C47" s="5" t="s">
        <v>434</v>
      </c>
      <c r="D47" s="5" t="s">
        <v>435</v>
      </c>
      <c r="E47" s="5" t="s">
        <v>21</v>
      </c>
      <c r="F47" s="5" t="s">
        <v>23</v>
      </c>
      <c r="G47" s="37" t="s">
        <v>6</v>
      </c>
    </row>
    <row r="48" spans="1:7" x14ac:dyDescent="0.2">
      <c r="A48" s="1" t="s">
        <v>456</v>
      </c>
      <c r="B48" s="9"/>
      <c r="C48" s="12"/>
      <c r="D48" s="20">
        <v>8.18</v>
      </c>
      <c r="E48" s="10">
        <f t="shared" ref="E48:E54" si="2">B48*C48+D48</f>
        <v>8.18</v>
      </c>
      <c r="F48" s="9">
        <f t="shared" ref="F48:F55" si="3">E48*$B$5</f>
        <v>259.30599999999998</v>
      </c>
      <c r="G48" s="34" t="s">
        <v>437</v>
      </c>
    </row>
    <row r="49" spans="1:7" x14ac:dyDescent="0.2">
      <c r="A49" s="7" t="s">
        <v>438</v>
      </c>
      <c r="B49" s="8"/>
      <c r="C49" s="13"/>
      <c r="D49" s="19">
        <v>1.53</v>
      </c>
      <c r="E49" s="11">
        <f t="shared" si="2"/>
        <v>1.53</v>
      </c>
      <c r="F49" s="8">
        <f t="shared" si="3"/>
        <v>48.500999999999998</v>
      </c>
      <c r="G49" s="35" t="s">
        <v>437</v>
      </c>
    </row>
    <row r="50" spans="1:7" x14ac:dyDescent="0.2">
      <c r="A50" s="1" t="s">
        <v>457</v>
      </c>
      <c r="B50" s="9">
        <f>B17</f>
        <v>47</v>
      </c>
      <c r="C50" s="22">
        <v>3.07</v>
      </c>
      <c r="D50" s="10"/>
      <c r="E50" s="10">
        <f t="shared" si="2"/>
        <v>144.29</v>
      </c>
      <c r="F50" s="9">
        <f t="shared" si="3"/>
        <v>4573.9929999999995</v>
      </c>
      <c r="G50" s="34" t="str">
        <f>TEXT(B50,"0")&amp;" SMT part types other than Basic / Basic (likely)"</f>
        <v>47 SMT part types other than Basic / Basic (likely)</v>
      </c>
    </row>
    <row r="51" spans="1:7" x14ac:dyDescent="0.2">
      <c r="A51" s="7" t="s">
        <v>442</v>
      </c>
      <c r="B51" s="8">
        <f>B19*$B$7</f>
        <v>4180</v>
      </c>
      <c r="C51" s="22">
        <v>1.6000000000000001E-3</v>
      </c>
      <c r="D51" s="11"/>
      <c r="E51" s="11">
        <f t="shared" si="2"/>
        <v>6.6880000000000006</v>
      </c>
      <c r="F51" s="8">
        <f t="shared" si="3"/>
        <v>212.00960000000001</v>
      </c>
      <c r="G51" s="35" t="str">
        <f>TEXT(B19,"#,##0")&amp;" joints per board (includes the JTAG header) × "&amp;TEXT($B$7,"0")&amp;" boards"</f>
        <v>836 joints per board (includes the JTAG header) × 5 boards</v>
      </c>
    </row>
    <row r="52" spans="1:7" x14ac:dyDescent="0.2">
      <c r="A52" s="1" t="s">
        <v>443</v>
      </c>
      <c r="B52" s="9">
        <f>B20*$B$7</f>
        <v>35</v>
      </c>
      <c r="C52" s="22">
        <v>0.82</v>
      </c>
      <c r="D52" s="10"/>
      <c r="E52" s="10">
        <f t="shared" si="2"/>
        <v>28.7</v>
      </c>
      <c r="F52" s="9">
        <f t="shared" si="3"/>
        <v>909.79</v>
      </c>
      <c r="G52" s="34" t="str">
        <f>TEXT(B52,"0")&amp;" leadless parts; 11–50-part tier"</f>
        <v>35 leadless parts; 11–50-part tier</v>
      </c>
    </row>
    <row r="53" spans="1:7" x14ac:dyDescent="0.2">
      <c r="A53" s="7" t="s">
        <v>444</v>
      </c>
      <c r="B53" s="8">
        <f>$B$9*$B$7</f>
        <v>35</v>
      </c>
      <c r="C53" s="21">
        <v>1.6400000000000001E-2</v>
      </c>
      <c r="D53" s="20">
        <v>3.58</v>
      </c>
      <c r="E53" s="11">
        <f t="shared" si="2"/>
        <v>4.1539999999999999</v>
      </c>
      <c r="F53" s="8">
        <f t="shared" si="3"/>
        <v>131.68179999999998</v>
      </c>
      <c r="G53" s="35" t="str">
        <f>TEXT($B$9,"0")&amp;" joints per board × "&amp;TEXT($B$7,"0")&amp;" boards, plus a fixed fee per order"</f>
        <v>7 joints per board × 5 boards, plus a fixed fee per order</v>
      </c>
    </row>
    <row r="54" spans="1:7" x14ac:dyDescent="0.2">
      <c r="A54" s="1" t="s">
        <v>445</v>
      </c>
      <c r="B54" s="9"/>
      <c r="C54" s="12"/>
      <c r="D54" s="20">
        <v>0.45</v>
      </c>
      <c r="E54" s="10">
        <f t="shared" si="2"/>
        <v>0.45</v>
      </c>
      <c r="F54" s="9">
        <f t="shared" si="3"/>
        <v>14.265000000000001</v>
      </c>
      <c r="G54" s="34" t="s">
        <v>437</v>
      </c>
    </row>
    <row r="55" spans="1:7" x14ac:dyDescent="0.2">
      <c r="A55" s="30" t="s">
        <v>446</v>
      </c>
      <c r="B55" s="31"/>
      <c r="C55" s="32"/>
      <c r="D55" s="33"/>
      <c r="E55" s="33">
        <f>SUM(E48:E54)</f>
        <v>193.99199999999996</v>
      </c>
      <c r="F55" s="31">
        <f t="shared" si="3"/>
        <v>6149.5463999999984</v>
      </c>
      <c r="G55" s="38"/>
    </row>
    <row r="56" spans="1:7" ht="8.25" customHeight="1" x14ac:dyDescent="0.2">
      <c r="A56" s="1"/>
      <c r="B56" s="1"/>
      <c r="C56" s="1"/>
      <c r="D56" s="1"/>
      <c r="E56" s="1"/>
      <c r="F56" s="1"/>
      <c r="G56" s="34"/>
    </row>
    <row r="57" spans="1:7" x14ac:dyDescent="0.2">
      <c r="A57" s="4" t="s">
        <v>458</v>
      </c>
      <c r="B57" s="5"/>
      <c r="C57" s="5"/>
      <c r="D57" s="5"/>
      <c r="E57" s="5" t="s">
        <v>21</v>
      </c>
      <c r="F57" s="5" t="s">
        <v>23</v>
      </c>
      <c r="G57" s="37" t="s">
        <v>6</v>
      </c>
    </row>
    <row r="58" spans="1:7" ht="27.75" customHeight="1" x14ac:dyDescent="0.2">
      <c r="A58" s="1" t="s">
        <v>459</v>
      </c>
      <c r="B58" s="1"/>
      <c r="C58" s="1"/>
      <c r="D58" s="1"/>
      <c r="E58" s="20">
        <v>287.41000000000003</v>
      </c>
      <c r="F58" s="9">
        <f>E58*$B$5</f>
        <v>9110.8970000000008</v>
      </c>
      <c r="G58" s="34" t="s">
        <v>460</v>
      </c>
    </row>
    <row r="59" spans="1:7" x14ac:dyDescent="0.2">
      <c r="A59" s="7" t="s">
        <v>461</v>
      </c>
      <c r="B59" s="7"/>
      <c r="C59" s="7"/>
      <c r="D59" s="7"/>
      <c r="E59" s="19">
        <v>20</v>
      </c>
      <c r="F59" s="8">
        <f>E59*$B$5</f>
        <v>634</v>
      </c>
      <c r="G59" s="35" t="s">
        <v>462</v>
      </c>
    </row>
    <row r="60" spans="1:7" x14ac:dyDescent="0.2">
      <c r="A60" s="1" t="s">
        <v>452</v>
      </c>
      <c r="B60" s="1"/>
      <c r="C60" s="1"/>
      <c r="D60" s="1"/>
      <c r="E60" s="10">
        <f>E55</f>
        <v>193.99199999999996</v>
      </c>
      <c r="F60" s="9">
        <f>E60*$B$5</f>
        <v>6149.5463999999984</v>
      </c>
      <c r="G60" s="34" t="s">
        <v>463</v>
      </c>
    </row>
    <row r="61" spans="1:7" x14ac:dyDescent="0.2">
      <c r="A61" s="30" t="s">
        <v>464</v>
      </c>
      <c r="B61" s="30"/>
      <c r="C61" s="30"/>
      <c r="D61" s="30"/>
      <c r="E61" s="33">
        <f>SUM(E58:E60)</f>
        <v>501.40199999999999</v>
      </c>
      <c r="F61" s="31">
        <f>E61*$B$5</f>
        <v>15894.4434</v>
      </c>
      <c r="G61" s="38" t="str">
        <f>"for "&amp;TEXT($B$7,"0")&amp;" boards"</f>
        <v>for 5 boards</v>
      </c>
    </row>
    <row r="62" spans="1:7" x14ac:dyDescent="0.2">
      <c r="A62" s="2" t="s">
        <v>465</v>
      </c>
      <c r="B62" s="2"/>
      <c r="C62" s="2"/>
      <c r="D62" s="2"/>
      <c r="E62" s="29">
        <f>E61/$B$7</f>
        <v>100.2804</v>
      </c>
      <c r="F62" s="27">
        <f>E62*$B$5</f>
        <v>3178.88868</v>
      </c>
      <c r="G62" s="39"/>
    </row>
    <row r="63" spans="1:7" x14ac:dyDescent="0.2">
      <c r="A63" s="83" t="s">
        <v>466</v>
      </c>
      <c r="B63" s="83"/>
      <c r="C63" s="83"/>
      <c r="D63" s="83"/>
      <c r="E63" s="83"/>
      <c r="F63" s="83"/>
      <c r="G63" s="83"/>
    </row>
    <row r="64" spans="1:7" ht="8.25" customHeight="1" x14ac:dyDescent="0.2">
      <c r="A64" s="1"/>
      <c r="B64" s="1"/>
      <c r="C64" s="1"/>
      <c r="D64" s="1"/>
      <c r="E64" s="1"/>
      <c r="F64" s="1"/>
      <c r="G64" s="1"/>
    </row>
    <row r="65" spans="1:7" ht="18" customHeight="1" x14ac:dyDescent="0.2">
      <c r="A65" s="3" t="s">
        <v>467</v>
      </c>
      <c r="B65" s="3"/>
      <c r="C65" s="3"/>
      <c r="D65" s="3"/>
      <c r="E65" s="3"/>
      <c r="F65" s="3"/>
      <c r="G65" s="3"/>
    </row>
    <row r="66" spans="1:7" ht="32.25" customHeight="1" x14ac:dyDescent="0.2">
      <c r="A66" s="78" t="s">
        <v>468</v>
      </c>
      <c r="B66" s="78"/>
      <c r="C66" s="78"/>
      <c r="D66" s="78"/>
      <c r="E66" s="78"/>
      <c r="F66" s="78"/>
      <c r="G66" s="78"/>
    </row>
  </sheetData>
  <mergeCells count="4">
    <mergeCell ref="A1:G1"/>
    <mergeCell ref="A2:G2"/>
    <mergeCell ref="A63:G63"/>
    <mergeCell ref="A66:G66"/>
  </mergeCells>
  <conditionalFormatting sqref="F44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3CD9-6FFC-4CD2-BC7E-0C33F9C1FBE8}">
  <dimension ref="A1:B3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5.6640625" customWidth="1"/>
    <col min="2" max="2" width="130.6640625" customWidth="1"/>
  </cols>
  <sheetData>
    <row r="1" spans="1:2" ht="21.75" customHeight="1" x14ac:dyDescent="0.2">
      <c r="A1" s="82" t="s">
        <v>469</v>
      </c>
      <c r="B1" s="82"/>
    </row>
    <row r="2" spans="1:2" ht="15.75" customHeight="1" x14ac:dyDescent="0.2">
      <c r="A2" s="83" t="s">
        <v>470</v>
      </c>
      <c r="B2" s="83"/>
    </row>
    <row r="3" spans="1:2" ht="8.25" customHeight="1" x14ac:dyDescent="0.2">
      <c r="A3" s="55"/>
      <c r="B3" s="55"/>
    </row>
    <row r="4" spans="1:2" ht="20.25" customHeight="1" x14ac:dyDescent="0.2">
      <c r="A4" s="84" t="s">
        <v>471</v>
      </c>
      <c r="B4" s="84"/>
    </row>
    <row r="5" spans="1:2" ht="30.75" customHeight="1" x14ac:dyDescent="0.2">
      <c r="A5" s="56">
        <v>1</v>
      </c>
      <c r="B5" s="57" t="s">
        <v>472</v>
      </c>
    </row>
    <row r="6" spans="1:2" ht="15.75" customHeight="1" x14ac:dyDescent="0.2">
      <c r="A6" s="56">
        <v>2</v>
      </c>
      <c r="B6" s="57" t="s">
        <v>473</v>
      </c>
    </row>
    <row r="7" spans="1:2" ht="30.75" customHeight="1" x14ac:dyDescent="0.2">
      <c r="A7" s="56">
        <v>3</v>
      </c>
      <c r="B7" s="57" t="s">
        <v>474</v>
      </c>
    </row>
    <row r="8" spans="1:2" ht="15.75" customHeight="1" x14ac:dyDescent="0.2">
      <c r="A8" s="56">
        <v>4</v>
      </c>
      <c r="B8" s="57" t="s">
        <v>475</v>
      </c>
    </row>
    <row r="9" spans="1:2" ht="8.25" customHeight="1" x14ac:dyDescent="0.2">
      <c r="A9" s="56"/>
      <c r="B9" s="57"/>
    </row>
    <row r="10" spans="1:2" ht="20.25" customHeight="1" x14ac:dyDescent="0.2">
      <c r="A10" s="85" t="s">
        <v>476</v>
      </c>
      <c r="B10" s="86"/>
    </row>
    <row r="11" spans="1:2" ht="45.75" customHeight="1" x14ac:dyDescent="0.2">
      <c r="A11" s="56">
        <v>1</v>
      </c>
      <c r="B11" s="57" t="s">
        <v>477</v>
      </c>
    </row>
    <row r="12" spans="1:2" ht="15.75" customHeight="1" x14ac:dyDescent="0.2">
      <c r="A12" s="56">
        <v>2</v>
      </c>
      <c r="B12" s="57" t="s">
        <v>478</v>
      </c>
    </row>
    <row r="13" spans="1:2" ht="15.75" customHeight="1" x14ac:dyDescent="0.2">
      <c r="A13" s="56">
        <v>3</v>
      </c>
      <c r="B13" s="57" t="s">
        <v>479</v>
      </c>
    </row>
    <row r="14" spans="1:2" ht="15.75" customHeight="1" x14ac:dyDescent="0.2">
      <c r="A14" s="56">
        <v>4</v>
      </c>
      <c r="B14" s="57" t="s">
        <v>480</v>
      </c>
    </row>
    <row r="15" spans="1:2" ht="8.25" customHeight="1" x14ac:dyDescent="0.2">
      <c r="A15" s="56"/>
      <c r="B15" s="57"/>
    </row>
    <row r="16" spans="1:2" ht="20.25" customHeight="1" x14ac:dyDescent="0.2">
      <c r="A16" s="85" t="s">
        <v>481</v>
      </c>
      <c r="B16" s="86"/>
    </row>
    <row r="17" spans="1:2" ht="15.75" customHeight="1" x14ac:dyDescent="0.2">
      <c r="A17" s="56">
        <v>1</v>
      </c>
      <c r="B17" s="57" t="s">
        <v>482</v>
      </c>
    </row>
    <row r="18" spans="1:2" ht="15.75" customHeight="1" x14ac:dyDescent="0.2">
      <c r="A18" s="56">
        <v>2</v>
      </c>
      <c r="B18" s="57" t="s">
        <v>483</v>
      </c>
    </row>
    <row r="19" spans="1:2" ht="15.75" customHeight="1" x14ac:dyDescent="0.2">
      <c r="A19" s="56">
        <v>3</v>
      </c>
      <c r="B19" s="57" t="s">
        <v>484</v>
      </c>
    </row>
    <row r="20" spans="1:2" ht="15.75" customHeight="1" x14ac:dyDescent="0.2">
      <c r="A20" s="56">
        <v>4</v>
      </c>
      <c r="B20" s="57" t="s">
        <v>485</v>
      </c>
    </row>
    <row r="21" spans="1:2" ht="15.75" customHeight="1" x14ac:dyDescent="0.2">
      <c r="A21" s="56">
        <v>5</v>
      </c>
      <c r="B21" s="57" t="s">
        <v>486</v>
      </c>
    </row>
    <row r="22" spans="1:2" ht="30.75" customHeight="1" x14ac:dyDescent="0.2">
      <c r="A22" s="56">
        <v>6</v>
      </c>
      <c r="B22" s="57" t="s">
        <v>487</v>
      </c>
    </row>
    <row r="23" spans="1:2" ht="15.75" customHeight="1" x14ac:dyDescent="0.2">
      <c r="A23" s="56">
        <v>7</v>
      </c>
      <c r="B23" s="57" t="s">
        <v>488</v>
      </c>
    </row>
    <row r="24" spans="1:2" ht="8.25" customHeight="1" x14ac:dyDescent="0.2">
      <c r="A24" s="56"/>
      <c r="B24" s="57"/>
    </row>
    <row r="25" spans="1:2" ht="20.25" customHeight="1" x14ac:dyDescent="0.2">
      <c r="A25" s="85" t="s">
        <v>489</v>
      </c>
      <c r="B25" s="86"/>
    </row>
    <row r="26" spans="1:2" ht="30.75" customHeight="1" x14ac:dyDescent="0.2">
      <c r="A26" s="56">
        <v>1</v>
      </c>
      <c r="B26" s="57" t="s">
        <v>490</v>
      </c>
    </row>
    <row r="27" spans="1:2" ht="30.75" customHeight="1" x14ac:dyDescent="0.2">
      <c r="A27" s="56">
        <v>2</v>
      </c>
      <c r="B27" s="57" t="s">
        <v>491</v>
      </c>
    </row>
    <row r="28" spans="1:2" ht="15.75" customHeight="1" x14ac:dyDescent="0.2">
      <c r="A28" s="56">
        <v>3</v>
      </c>
      <c r="B28" s="57" t="s">
        <v>492</v>
      </c>
    </row>
    <row r="29" spans="1:2" ht="15.75" customHeight="1" x14ac:dyDescent="0.2">
      <c r="A29" s="56">
        <v>4</v>
      </c>
      <c r="B29" s="57" t="s">
        <v>493</v>
      </c>
    </row>
    <row r="30" spans="1:2" ht="15.75" customHeight="1" x14ac:dyDescent="0.2">
      <c r="A30" s="56">
        <v>5</v>
      </c>
      <c r="B30" s="57" t="s">
        <v>494</v>
      </c>
    </row>
    <row r="31" spans="1:2" ht="15.75" customHeight="1" x14ac:dyDescent="0.2">
      <c r="A31" s="56">
        <v>6</v>
      </c>
      <c r="B31" s="57" t="s">
        <v>495</v>
      </c>
    </row>
    <row r="32" spans="1:2" ht="30.75" customHeight="1" x14ac:dyDescent="0.2">
      <c r="A32" s="56">
        <v>7</v>
      </c>
      <c r="B32" s="57" t="s">
        <v>496</v>
      </c>
    </row>
    <row r="33" spans="1:2" ht="30.75" customHeight="1" x14ac:dyDescent="0.2">
      <c r="A33" s="56">
        <v>8</v>
      </c>
      <c r="B33" s="57" t="s">
        <v>497</v>
      </c>
    </row>
  </sheetData>
  <mergeCells count="6">
    <mergeCell ref="A25:B25"/>
    <mergeCell ref="A1:B1"/>
    <mergeCell ref="A2:B2"/>
    <mergeCell ref="A4:B4"/>
    <mergeCell ref="A10:B10"/>
    <mergeCell ref="A16:B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Purchasing list</vt:lpstr>
      <vt:lpstr>Cost</vt:lpstr>
      <vt:lpstr>Notes &amp; open items</vt:lpstr>
      <vt:lpstr>'Purchasing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Yung-Hsiang, Yang</cp:lastModifiedBy>
  <cp:revision/>
  <dcterms:created xsi:type="dcterms:W3CDTF">2026-09-23T12:40:57Z</dcterms:created>
  <dcterms:modified xsi:type="dcterms:W3CDTF">2026-09-23T15:10:03Z</dcterms:modified>
  <cp:category/>
  <cp:contentStatus/>
</cp:coreProperties>
</file>