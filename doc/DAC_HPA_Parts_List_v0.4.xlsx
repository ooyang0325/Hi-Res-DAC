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791" documentId="11_C7ABCE1CA1BCB5A68397F2B37E800907DA7034B4" xr6:coauthVersionLast="47" xr6:coauthVersionMax="47" xr10:uidLastSave="{1B63B1E6-C4E9-40D0-9DBD-50E013D3C529}"/>
  <bookViews>
    <workbookView xWindow="0" yWindow="0" windowWidth="0" windowHeight="0" xr2:uid="{00000000-000D-0000-FFFF-FFFF00000000}"/>
  </bookViews>
  <sheets>
    <sheet name="Summary" sheetId="1" r:id="rId1"/>
    <sheet name="Parts list" sheetId="2" r:id="rId2"/>
    <sheet name="Purchasing list" sheetId="3" r:id="rId3"/>
    <sheet name="Cost" sheetId="4" r:id="rId4"/>
    <sheet name="Notes &amp; open items" sheetId="5" r:id="rId5"/>
    <sheet name="Check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6" l="1"/>
  <c r="G30" i="6"/>
  <c r="G29" i="6"/>
  <c r="G28" i="6"/>
  <c r="B59" i="5"/>
  <c r="B58" i="5"/>
  <c r="B38" i="5"/>
  <c r="B5" i="5"/>
  <c r="G61" i="4"/>
  <c r="F61" i="4"/>
  <c r="E61" i="4"/>
  <c r="D61" i="4"/>
  <c r="B61" i="4"/>
  <c r="G52" i="4"/>
  <c r="G51" i="4"/>
  <c r="G10" i="4"/>
  <c r="B60" i="1"/>
  <c r="B59" i="1"/>
  <c r="B58" i="1"/>
  <c r="B57" i="1"/>
  <c r="B56" i="1"/>
  <c r="D22" i="1"/>
  <c r="D12" i="1"/>
  <c r="D11" i="1"/>
  <c r="R29" i="2"/>
  <c r="R30" i="2"/>
  <c r="S29" i="2"/>
  <c r="S30" i="2"/>
  <c r="T29" i="2"/>
  <c r="T30" i="2"/>
  <c r="V29" i="2"/>
  <c r="V30" i="2"/>
  <c r="W29" i="2"/>
  <c r="W30" i="2"/>
  <c r="R61" i="2"/>
  <c r="S61" i="2"/>
  <c r="T61" i="2"/>
  <c r="V61" i="2"/>
  <c r="W61" i="2"/>
  <c r="R130" i="2"/>
  <c r="S130" i="2"/>
  <c r="T130" i="2"/>
  <c r="V130" i="2"/>
  <c r="W130" i="2"/>
  <c r="J13" i="3"/>
  <c r="K13" i="3"/>
  <c r="O13" i="3"/>
  <c r="P13" i="3"/>
  <c r="Q13" i="3"/>
  <c r="R25" i="2"/>
  <c r="R26" i="2"/>
  <c r="R27" i="2"/>
  <c r="S25" i="2"/>
  <c r="S26" i="2"/>
  <c r="S27" i="2"/>
  <c r="T25" i="2"/>
  <c r="T26" i="2"/>
  <c r="T27" i="2"/>
  <c r="V25" i="2"/>
  <c r="V26" i="2"/>
  <c r="V27" i="2"/>
  <c r="D25" i="1"/>
  <c r="D17" i="1"/>
  <c r="O15" i="3"/>
  <c r="J15" i="3"/>
  <c r="V33" i="2"/>
  <c r="T33" i="2"/>
  <c r="S33" i="2"/>
  <c r="R33" i="2"/>
  <c r="V24" i="2"/>
  <c r="T24" i="2"/>
  <c r="S24" i="2"/>
  <c r="R24" i="2"/>
  <c r="B32" i="5"/>
  <c r="C27" i="6"/>
  <c r="D27" i="6" s="1"/>
  <c r="F27" i="6" s="1"/>
  <c r="C15" i="6"/>
  <c r="C14" i="6"/>
  <c r="C13" i="6"/>
  <c r="D13" i="6" s="1"/>
  <c r="F13" i="6" s="1"/>
  <c r="C5" i="6"/>
  <c r="D5" i="6" s="1"/>
  <c r="F5" i="6" s="1"/>
  <c r="D45" i="1"/>
  <c r="D44" i="1"/>
  <c r="D43" i="1"/>
  <c r="B43" i="1" a="1"/>
  <c r="B43" i="1"/>
  <c r="C43" i="1" s="1"/>
  <c r="B42" i="1" a="1"/>
  <c r="B42" i="1"/>
  <c r="C42" i="1" s="1"/>
  <c r="B41" i="1" a="1"/>
  <c r="B41" i="1"/>
  <c r="C41" i="1" s="1"/>
  <c r="B40" i="1" a="1"/>
  <c r="B40" i="1"/>
  <c r="C40" i="1" s="1"/>
  <c r="C24" i="6" s="1"/>
  <c r="D24" i="6" s="1"/>
  <c r="F24" i="6" s="1"/>
  <c r="B39" i="1" a="1"/>
  <c r="B39" i="1"/>
  <c r="C39" i="1" s="1"/>
  <c r="B38" i="1" a="1"/>
  <c r="B38" i="1"/>
  <c r="C38" i="1" s="1"/>
  <c r="B37" i="1" a="1"/>
  <c r="B37" i="1"/>
  <c r="B23" i="1"/>
  <c r="B21" i="1"/>
  <c r="G78" i="4"/>
  <c r="E72" i="4"/>
  <c r="F72" i="4" s="1"/>
  <c r="E67" i="4"/>
  <c r="F67" i="4" s="1"/>
  <c r="E66" i="4"/>
  <c r="F66" i="4" s="1"/>
  <c r="E65" i="4"/>
  <c r="F65" i="4" s="1"/>
  <c r="A63" i="4"/>
  <c r="G59" i="4"/>
  <c r="C59" i="4"/>
  <c r="C57" i="4"/>
  <c r="C56" i="4"/>
  <c r="F49" i="4"/>
  <c r="G48" i="4"/>
  <c r="F48" i="4"/>
  <c r="G46" i="4"/>
  <c r="G44" i="4"/>
  <c r="E39" i="4"/>
  <c r="F39" i="4" s="1"/>
  <c r="E34" i="4"/>
  <c r="F34" i="4" s="1"/>
  <c r="E33" i="4"/>
  <c r="F33" i="4" s="1"/>
  <c r="A31" i="4"/>
  <c r="B23" i="4"/>
  <c r="B22" i="4"/>
  <c r="G37" i="4" s="1"/>
  <c r="B21" i="4" a="1"/>
  <c r="B21" i="4"/>
  <c r="B20" i="4" a="1"/>
  <c r="B20" i="4"/>
  <c r="B16" i="4"/>
  <c r="D24" i="1" s="1"/>
  <c r="B15" i="4"/>
  <c r="B14" i="4"/>
  <c r="O51" i="3"/>
  <c r="J51" i="3"/>
  <c r="O50" i="3"/>
  <c r="J50" i="3"/>
  <c r="O49" i="3"/>
  <c r="J49" i="3"/>
  <c r="O48" i="3"/>
  <c r="J48" i="3"/>
  <c r="O47" i="3"/>
  <c r="J47" i="3"/>
  <c r="O46" i="3"/>
  <c r="J46" i="3"/>
  <c r="O45" i="3"/>
  <c r="J45" i="3"/>
  <c r="O44" i="3"/>
  <c r="J44" i="3"/>
  <c r="O43" i="3"/>
  <c r="J43" i="3"/>
  <c r="O42" i="3"/>
  <c r="J42" i="3"/>
  <c r="O41" i="3"/>
  <c r="J41" i="3"/>
  <c r="O40" i="3"/>
  <c r="J40" i="3"/>
  <c r="O39" i="3"/>
  <c r="J39" i="3"/>
  <c r="O38" i="3"/>
  <c r="J38" i="3"/>
  <c r="O37" i="3"/>
  <c r="J37" i="3"/>
  <c r="O36" i="3"/>
  <c r="J36" i="3"/>
  <c r="O35" i="3"/>
  <c r="J35" i="3"/>
  <c r="O34" i="3"/>
  <c r="J34" i="3"/>
  <c r="O33" i="3"/>
  <c r="J33" i="3"/>
  <c r="O32" i="3"/>
  <c r="J32" i="3"/>
  <c r="O31" i="3"/>
  <c r="J31" i="3"/>
  <c r="O30" i="3"/>
  <c r="J30" i="3"/>
  <c r="O29" i="3"/>
  <c r="J29" i="3"/>
  <c r="O28" i="3"/>
  <c r="J28" i="3"/>
  <c r="O27" i="3"/>
  <c r="J27" i="3"/>
  <c r="O26" i="3"/>
  <c r="J26" i="3"/>
  <c r="O25" i="3"/>
  <c r="J25" i="3"/>
  <c r="O24" i="3"/>
  <c r="J24" i="3"/>
  <c r="O23" i="3"/>
  <c r="J23" i="3"/>
  <c r="O22" i="3"/>
  <c r="J22" i="3"/>
  <c r="O21" i="3"/>
  <c r="J21" i="3"/>
  <c r="O20" i="3"/>
  <c r="J20" i="3"/>
  <c r="O19" i="3"/>
  <c r="J19" i="3"/>
  <c r="O18" i="3"/>
  <c r="J18" i="3"/>
  <c r="O17" i="3"/>
  <c r="J17" i="3"/>
  <c r="O16" i="3"/>
  <c r="J16" i="3"/>
  <c r="O14" i="3"/>
  <c r="J14" i="3"/>
  <c r="O12" i="3"/>
  <c r="J12" i="3"/>
  <c r="O11" i="3"/>
  <c r="J11" i="3"/>
  <c r="O10" i="3"/>
  <c r="J10" i="3"/>
  <c r="O9" i="3"/>
  <c r="J9" i="3"/>
  <c r="O8" i="3"/>
  <c r="J8" i="3"/>
  <c r="O7" i="3"/>
  <c r="J7" i="3"/>
  <c r="O6" i="3"/>
  <c r="J6" i="3"/>
  <c r="O5" i="3"/>
  <c r="J5" i="3"/>
  <c r="O4" i="3"/>
  <c r="O53" i="3" s="1"/>
  <c r="J4" i="3"/>
  <c r="V133" i="2"/>
  <c r="W133" i="2" s="1"/>
  <c r="T133" i="2"/>
  <c r="B29" i="4" s="1"/>
  <c r="E77" i="4" s="1"/>
  <c r="F77" i="4" s="1"/>
  <c r="S133" i="2"/>
  <c r="B27" i="4" s="1"/>
  <c r="R133" i="2"/>
  <c r="V132" i="2"/>
  <c r="W132" i="2" s="1"/>
  <c r="T132" i="2"/>
  <c r="S132" i="2"/>
  <c r="R132" i="2"/>
  <c r="V131" i="2"/>
  <c r="W131" i="2" s="1"/>
  <c r="T131" i="2"/>
  <c r="S131" i="2"/>
  <c r="R131" i="2"/>
  <c r="V129" i="2"/>
  <c r="W129" i="2" s="1"/>
  <c r="T129" i="2"/>
  <c r="S129" i="2"/>
  <c r="R129" i="2"/>
  <c r="V128" i="2"/>
  <c r="T128" i="2"/>
  <c r="S128" i="2"/>
  <c r="R128" i="2"/>
  <c r="V127" i="2"/>
  <c r="T127" i="2"/>
  <c r="S127" i="2"/>
  <c r="R127" i="2"/>
  <c r="V126" i="2"/>
  <c r="T126" i="2"/>
  <c r="S126" i="2"/>
  <c r="R126" i="2"/>
  <c r="V125" i="2"/>
  <c r="T125" i="2"/>
  <c r="S125" i="2"/>
  <c r="R125" i="2"/>
  <c r="V124" i="2"/>
  <c r="T124" i="2"/>
  <c r="S124" i="2"/>
  <c r="R124" i="2"/>
  <c r="V123" i="2"/>
  <c r="T123" i="2"/>
  <c r="S123" i="2"/>
  <c r="R123" i="2"/>
  <c r="B59" i="4" s="1"/>
  <c r="D59" i="4" s="1"/>
  <c r="F59" i="4" s="1"/>
  <c r="V122" i="2"/>
  <c r="T122" i="2"/>
  <c r="S122" i="2"/>
  <c r="R122" i="2"/>
  <c r="V121" i="2"/>
  <c r="T121" i="2"/>
  <c r="S121" i="2"/>
  <c r="R121" i="2"/>
  <c r="V120" i="2"/>
  <c r="T120" i="2"/>
  <c r="S120" i="2"/>
  <c r="R120" i="2"/>
  <c r="V119" i="2"/>
  <c r="T119" i="2"/>
  <c r="S119" i="2"/>
  <c r="R119" i="2"/>
  <c r="V118" i="2"/>
  <c r="T118" i="2"/>
  <c r="S118" i="2"/>
  <c r="R118" i="2"/>
  <c r="V117" i="2"/>
  <c r="T117" i="2"/>
  <c r="S117" i="2"/>
  <c r="R117" i="2"/>
  <c r="V116" i="2"/>
  <c r="T116" i="2"/>
  <c r="S116" i="2"/>
  <c r="R116" i="2"/>
  <c r="V115" i="2"/>
  <c r="T115" i="2"/>
  <c r="S115" i="2"/>
  <c r="R115" i="2"/>
  <c r="V114" i="2"/>
  <c r="T114" i="2"/>
  <c r="S114" i="2"/>
  <c r="R114" i="2"/>
  <c r="V113" i="2"/>
  <c r="T113" i="2"/>
  <c r="S113" i="2"/>
  <c r="R113" i="2"/>
  <c r="V112" i="2"/>
  <c r="T112" i="2"/>
  <c r="S112" i="2"/>
  <c r="R112" i="2"/>
  <c r="V111" i="2"/>
  <c r="T111" i="2"/>
  <c r="S111" i="2"/>
  <c r="R111" i="2"/>
  <c r="V110" i="2"/>
  <c r="T110" i="2"/>
  <c r="S110" i="2"/>
  <c r="R110" i="2"/>
  <c r="V109" i="2"/>
  <c r="T109" i="2"/>
  <c r="S109" i="2"/>
  <c r="R109" i="2"/>
  <c r="V108" i="2"/>
  <c r="T108" i="2"/>
  <c r="S108" i="2"/>
  <c r="R108" i="2"/>
  <c r="V107" i="2"/>
  <c r="T107" i="2"/>
  <c r="S107" i="2"/>
  <c r="R107" i="2"/>
  <c r="V106" i="2"/>
  <c r="T106" i="2"/>
  <c r="S106" i="2"/>
  <c r="R106" i="2"/>
  <c r="V105" i="2"/>
  <c r="T105" i="2"/>
  <c r="S105" i="2"/>
  <c r="R105" i="2"/>
  <c r="V104" i="2"/>
  <c r="T104" i="2"/>
  <c r="S104" i="2"/>
  <c r="R104" i="2"/>
  <c r="V103" i="2"/>
  <c r="T103" i="2"/>
  <c r="S103" i="2"/>
  <c r="R103" i="2"/>
  <c r="V102" i="2"/>
  <c r="T102" i="2"/>
  <c r="S102" i="2"/>
  <c r="R102" i="2"/>
  <c r="V101" i="2"/>
  <c r="T101" i="2"/>
  <c r="S101" i="2"/>
  <c r="R101" i="2"/>
  <c r="V100" i="2"/>
  <c r="T100" i="2"/>
  <c r="S100" i="2"/>
  <c r="R100" i="2"/>
  <c r="V99" i="2"/>
  <c r="T99" i="2"/>
  <c r="S99" i="2"/>
  <c r="R99" i="2"/>
  <c r="V98" i="2"/>
  <c r="T98" i="2"/>
  <c r="S98" i="2"/>
  <c r="R98" i="2"/>
  <c r="V97" i="2"/>
  <c r="T97" i="2"/>
  <c r="S97" i="2"/>
  <c r="R97" i="2"/>
  <c r="V96" i="2"/>
  <c r="T96" i="2"/>
  <c r="S96" i="2"/>
  <c r="R96" i="2"/>
  <c r="V95" i="2"/>
  <c r="T95" i="2"/>
  <c r="S95" i="2"/>
  <c r="R95" i="2"/>
  <c r="V94" i="2"/>
  <c r="T94" i="2"/>
  <c r="S94" i="2"/>
  <c r="R94" i="2"/>
  <c r="V93" i="2"/>
  <c r="T93" i="2"/>
  <c r="S93" i="2"/>
  <c r="R93" i="2"/>
  <c r="V92" i="2"/>
  <c r="T92" i="2"/>
  <c r="S92" i="2"/>
  <c r="R92" i="2"/>
  <c r="V91" i="2"/>
  <c r="T91" i="2"/>
  <c r="S91" i="2"/>
  <c r="R91" i="2"/>
  <c r="V90" i="2"/>
  <c r="T90" i="2"/>
  <c r="S90" i="2"/>
  <c r="R90" i="2"/>
  <c r="V89" i="2"/>
  <c r="T89" i="2"/>
  <c r="S89" i="2"/>
  <c r="R89" i="2"/>
  <c r="V88" i="2"/>
  <c r="T88" i="2"/>
  <c r="S88" i="2"/>
  <c r="R88" i="2"/>
  <c r="V87" i="2"/>
  <c r="T87" i="2"/>
  <c r="S87" i="2"/>
  <c r="R87" i="2"/>
  <c r="V86" i="2"/>
  <c r="T86" i="2"/>
  <c r="S86" i="2"/>
  <c r="R86" i="2"/>
  <c r="V85" i="2"/>
  <c r="T85" i="2"/>
  <c r="S85" i="2"/>
  <c r="R85" i="2"/>
  <c r="V84" i="2"/>
  <c r="T84" i="2"/>
  <c r="S84" i="2"/>
  <c r="R84" i="2"/>
  <c r="V83" i="2"/>
  <c r="T83" i="2"/>
  <c r="S83" i="2"/>
  <c r="R83" i="2"/>
  <c r="V82" i="2"/>
  <c r="T82" i="2"/>
  <c r="S82" i="2"/>
  <c r="R82" i="2"/>
  <c r="V81" i="2"/>
  <c r="T81" i="2"/>
  <c r="S81" i="2"/>
  <c r="R81" i="2"/>
  <c r="V80" i="2"/>
  <c r="T80" i="2"/>
  <c r="S80" i="2"/>
  <c r="R80" i="2"/>
  <c r="V79" i="2"/>
  <c r="T79" i="2"/>
  <c r="S79" i="2"/>
  <c r="R79" i="2"/>
  <c r="V78" i="2"/>
  <c r="T78" i="2"/>
  <c r="S78" i="2"/>
  <c r="R78" i="2"/>
  <c r="V77" i="2"/>
  <c r="T77" i="2"/>
  <c r="S77" i="2"/>
  <c r="R77" i="2"/>
  <c r="V76" i="2"/>
  <c r="T76" i="2"/>
  <c r="S76" i="2"/>
  <c r="R76" i="2"/>
  <c r="V75" i="2"/>
  <c r="T75" i="2"/>
  <c r="S75" i="2"/>
  <c r="R75" i="2"/>
  <c r="V74" i="2"/>
  <c r="T74" i="2"/>
  <c r="S74" i="2"/>
  <c r="R74" i="2"/>
  <c r="V73" i="2"/>
  <c r="T73" i="2"/>
  <c r="S73" i="2"/>
  <c r="R73" i="2"/>
  <c r="V72" i="2"/>
  <c r="T72" i="2"/>
  <c r="S72" i="2"/>
  <c r="R72" i="2"/>
  <c r="V71" i="2"/>
  <c r="T71" i="2"/>
  <c r="S71" i="2"/>
  <c r="R71" i="2"/>
  <c r="V70" i="2"/>
  <c r="T70" i="2"/>
  <c r="S70" i="2"/>
  <c r="R70" i="2"/>
  <c r="V69" i="2"/>
  <c r="T69" i="2"/>
  <c r="S69" i="2"/>
  <c r="R69" i="2"/>
  <c r="V68" i="2"/>
  <c r="T68" i="2"/>
  <c r="S68" i="2"/>
  <c r="R68" i="2"/>
  <c r="V67" i="2"/>
  <c r="T67" i="2"/>
  <c r="S67" i="2"/>
  <c r="R67" i="2"/>
  <c r="V66" i="2"/>
  <c r="T66" i="2"/>
  <c r="S66" i="2"/>
  <c r="R66" i="2"/>
  <c r="V65" i="2"/>
  <c r="T65" i="2"/>
  <c r="S65" i="2"/>
  <c r="R65" i="2"/>
  <c r="V64" i="2"/>
  <c r="T64" i="2"/>
  <c r="S64" i="2"/>
  <c r="R64" i="2"/>
  <c r="V63" i="2"/>
  <c r="T63" i="2"/>
  <c r="S63" i="2"/>
  <c r="R63" i="2"/>
  <c r="V62" i="2"/>
  <c r="T62" i="2"/>
  <c r="S62" i="2"/>
  <c r="R62" i="2"/>
  <c r="V60" i="2"/>
  <c r="T60" i="2"/>
  <c r="S60" i="2"/>
  <c r="R60" i="2"/>
  <c r="V59" i="2"/>
  <c r="T59" i="2"/>
  <c r="S59" i="2"/>
  <c r="R59" i="2"/>
  <c r="V58" i="2"/>
  <c r="T58" i="2"/>
  <c r="S58" i="2"/>
  <c r="R58" i="2"/>
  <c r="V57" i="2"/>
  <c r="T57" i="2"/>
  <c r="S57" i="2"/>
  <c r="R57" i="2"/>
  <c r="V56" i="2"/>
  <c r="T56" i="2"/>
  <c r="S56" i="2"/>
  <c r="R56" i="2"/>
  <c r="V55" i="2"/>
  <c r="T55" i="2"/>
  <c r="S55" i="2"/>
  <c r="R55" i="2"/>
  <c r="V54" i="2"/>
  <c r="T54" i="2"/>
  <c r="S54" i="2"/>
  <c r="R54" i="2"/>
  <c r="V53" i="2"/>
  <c r="T53" i="2"/>
  <c r="S53" i="2"/>
  <c r="R53" i="2"/>
  <c r="V52" i="2"/>
  <c r="T52" i="2"/>
  <c r="S52" i="2"/>
  <c r="R52" i="2"/>
  <c r="V51" i="2"/>
  <c r="T51" i="2"/>
  <c r="S51" i="2"/>
  <c r="R51" i="2"/>
  <c r="V50" i="2"/>
  <c r="T50" i="2"/>
  <c r="S50" i="2"/>
  <c r="R50" i="2"/>
  <c r="V49" i="2"/>
  <c r="T49" i="2"/>
  <c r="S49" i="2"/>
  <c r="R49" i="2"/>
  <c r="V48" i="2"/>
  <c r="T48" i="2"/>
  <c r="S48" i="2"/>
  <c r="R48" i="2"/>
  <c r="V47" i="2"/>
  <c r="T47" i="2"/>
  <c r="S47" i="2"/>
  <c r="R47" i="2"/>
  <c r="V46" i="2"/>
  <c r="T46" i="2"/>
  <c r="S46" i="2"/>
  <c r="R46" i="2"/>
  <c r="V45" i="2"/>
  <c r="T45" i="2"/>
  <c r="S45" i="2"/>
  <c r="R45" i="2"/>
  <c r="V44" i="2"/>
  <c r="T44" i="2"/>
  <c r="S44" i="2"/>
  <c r="R44" i="2"/>
  <c r="V43" i="2"/>
  <c r="T43" i="2"/>
  <c r="S43" i="2"/>
  <c r="R43" i="2"/>
  <c r="V42" i="2"/>
  <c r="T42" i="2"/>
  <c r="S42" i="2"/>
  <c r="R42" i="2"/>
  <c r="V41" i="2"/>
  <c r="T41" i="2"/>
  <c r="S41" i="2"/>
  <c r="R41" i="2"/>
  <c r="V40" i="2"/>
  <c r="T40" i="2"/>
  <c r="S40" i="2"/>
  <c r="R40" i="2"/>
  <c r="V39" i="2"/>
  <c r="T39" i="2"/>
  <c r="S39" i="2"/>
  <c r="R39" i="2"/>
  <c r="V38" i="2"/>
  <c r="T38" i="2"/>
  <c r="S38" i="2"/>
  <c r="R38" i="2"/>
  <c r="V37" i="2"/>
  <c r="T37" i="2"/>
  <c r="S37" i="2"/>
  <c r="R37" i="2"/>
  <c r="V36" i="2"/>
  <c r="W36" i="2" s="1"/>
  <c r="T36" i="2"/>
  <c r="S36" i="2"/>
  <c r="R36" i="2"/>
  <c r="V35" i="2"/>
  <c r="W35" i="2" s="1"/>
  <c r="T35" i="2"/>
  <c r="S35" i="2"/>
  <c r="R35" i="2"/>
  <c r="V34" i="2"/>
  <c r="T34" i="2"/>
  <c r="S34" i="2"/>
  <c r="R34" i="2"/>
  <c r="V32" i="2"/>
  <c r="T32" i="2"/>
  <c r="S32" i="2"/>
  <c r="R32" i="2"/>
  <c r="V31" i="2"/>
  <c r="T31" i="2"/>
  <c r="S31" i="2"/>
  <c r="R31" i="2"/>
  <c r="V28" i="2"/>
  <c r="T28" i="2"/>
  <c r="S28" i="2"/>
  <c r="R28" i="2"/>
  <c r="V23" i="2"/>
  <c r="T23" i="2"/>
  <c r="S23" i="2"/>
  <c r="R23" i="2"/>
  <c r="V22" i="2"/>
  <c r="T22" i="2"/>
  <c r="S22" i="2"/>
  <c r="R22" i="2"/>
  <c r="V21" i="2"/>
  <c r="T21" i="2"/>
  <c r="S21" i="2"/>
  <c r="R21" i="2"/>
  <c r="V20" i="2"/>
  <c r="T20" i="2"/>
  <c r="S20" i="2"/>
  <c r="R20" i="2"/>
  <c r="V19" i="2"/>
  <c r="T19" i="2"/>
  <c r="S19" i="2"/>
  <c r="R19" i="2"/>
  <c r="V18" i="2"/>
  <c r="T18" i="2"/>
  <c r="S18" i="2"/>
  <c r="R18" i="2"/>
  <c r="V17" i="2"/>
  <c r="T17" i="2"/>
  <c r="S17" i="2"/>
  <c r="R17" i="2"/>
  <c r="V16" i="2"/>
  <c r="T16" i="2"/>
  <c r="S16" i="2"/>
  <c r="R16" i="2"/>
  <c r="V15" i="2"/>
  <c r="T15" i="2"/>
  <c r="S15" i="2"/>
  <c r="R15" i="2"/>
  <c r="V14" i="2"/>
  <c r="T14" i="2"/>
  <c r="S14" i="2"/>
  <c r="R14" i="2"/>
  <c r="V13" i="2"/>
  <c r="T13" i="2"/>
  <c r="S13" i="2"/>
  <c r="R13" i="2"/>
  <c r="V12" i="2"/>
  <c r="T12" i="2"/>
  <c r="S12" i="2"/>
  <c r="R12" i="2"/>
  <c r="V11" i="2"/>
  <c r="T11" i="2"/>
  <c r="S11" i="2"/>
  <c r="R11" i="2"/>
  <c r="V10" i="2"/>
  <c r="T10" i="2"/>
  <c r="S10" i="2"/>
  <c r="R10" i="2"/>
  <c r="V9" i="2"/>
  <c r="T9" i="2"/>
  <c r="S9" i="2"/>
  <c r="R9" i="2"/>
  <c r="V8" i="2"/>
  <c r="T8" i="2"/>
  <c r="S8" i="2"/>
  <c r="R8" i="2"/>
  <c r="V7" i="2"/>
  <c r="T7" i="2"/>
  <c r="S7" i="2"/>
  <c r="R7" i="2"/>
  <c r="V6" i="2"/>
  <c r="T6" i="2"/>
  <c r="S6" i="2"/>
  <c r="R6" i="2"/>
  <c r="V5" i="2"/>
  <c r="T5" i="2"/>
  <c r="S5" i="2"/>
  <c r="R5" i="2"/>
  <c r="V4" i="2"/>
  <c r="T4" i="2"/>
  <c r="B28" i="4" s="1"/>
  <c r="S4" i="2"/>
  <c r="B17" i="6" s="1"/>
  <c r="R4" i="2"/>
  <c r="R135" i="2" s="1"/>
  <c r="B29" i="6" l="1"/>
  <c r="B11" i="1"/>
  <c r="G60" i="4"/>
  <c r="W4" i="2"/>
  <c r="W25" i="2"/>
  <c r="W26" i="2"/>
  <c r="W27" i="2"/>
  <c r="W33" i="2"/>
  <c r="B57" i="4"/>
  <c r="E57" i="4" s="1"/>
  <c r="F57" i="4" s="1"/>
  <c r="G57" i="4"/>
  <c r="W24" i="2"/>
  <c r="Q15" i="3"/>
  <c r="K15" i="3"/>
  <c r="P15" i="3" s="1"/>
  <c r="B28" i="6"/>
  <c r="B12" i="1"/>
  <c r="D15" i="1"/>
  <c r="B18" i="6"/>
  <c r="E76" i="4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8" i="2"/>
  <c r="W31" i="2"/>
  <c r="W32" i="2"/>
  <c r="W34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B24" i="4" s="1"/>
  <c r="B56" i="4" s="1"/>
  <c r="E56" i="4" s="1"/>
  <c r="F56" i="4" s="1"/>
  <c r="W124" i="2"/>
  <c r="W125" i="2"/>
  <c r="W126" i="2"/>
  <c r="W127" i="2"/>
  <c r="W128" i="2"/>
  <c r="B33" i="5"/>
  <c r="E44" i="4"/>
  <c r="C16" i="6"/>
  <c r="J53" i="3"/>
  <c r="Q4" i="3"/>
  <c r="K4" i="3"/>
  <c r="Q5" i="3"/>
  <c r="K5" i="3"/>
  <c r="P5" i="3" s="1"/>
  <c r="Q6" i="3"/>
  <c r="K6" i="3"/>
  <c r="P6" i="3" s="1"/>
  <c r="Q7" i="3"/>
  <c r="K7" i="3"/>
  <c r="P7" i="3" s="1"/>
  <c r="Q8" i="3"/>
  <c r="K8" i="3"/>
  <c r="P8" i="3" s="1"/>
  <c r="Q9" i="3"/>
  <c r="K9" i="3"/>
  <c r="P9" i="3" s="1"/>
  <c r="Q10" i="3"/>
  <c r="K10" i="3"/>
  <c r="P10" i="3" s="1"/>
  <c r="Q11" i="3"/>
  <c r="K11" i="3"/>
  <c r="P11" i="3" s="1"/>
  <c r="Q12" i="3"/>
  <c r="K12" i="3"/>
  <c r="P12" i="3" s="1"/>
  <c r="Q14" i="3"/>
  <c r="K14" i="3"/>
  <c r="P14" i="3" s="1"/>
  <c r="Q16" i="3"/>
  <c r="K16" i="3"/>
  <c r="P16" i="3" s="1"/>
  <c r="Q17" i="3"/>
  <c r="K17" i="3"/>
  <c r="P17" i="3" s="1"/>
  <c r="Q18" i="3"/>
  <c r="K18" i="3"/>
  <c r="P18" i="3" s="1"/>
  <c r="Q19" i="3"/>
  <c r="K19" i="3"/>
  <c r="P19" i="3" s="1"/>
  <c r="Q20" i="3"/>
  <c r="K20" i="3"/>
  <c r="P20" i="3" s="1"/>
  <c r="Q21" i="3"/>
  <c r="K21" i="3"/>
  <c r="P21" i="3" s="1"/>
  <c r="Q22" i="3"/>
  <c r="K22" i="3"/>
  <c r="P22" i="3" s="1"/>
  <c r="Q23" i="3"/>
  <c r="K23" i="3"/>
  <c r="P23" i="3" s="1"/>
  <c r="Q24" i="3"/>
  <c r="K24" i="3"/>
  <c r="P24" i="3" s="1"/>
  <c r="Q25" i="3"/>
  <c r="K25" i="3"/>
  <c r="P25" i="3" s="1"/>
  <c r="Q26" i="3"/>
  <c r="K26" i="3"/>
  <c r="P26" i="3" s="1"/>
  <c r="Q27" i="3"/>
  <c r="K27" i="3"/>
  <c r="P27" i="3" s="1"/>
  <c r="Q28" i="3"/>
  <c r="K28" i="3"/>
  <c r="P28" i="3" s="1"/>
  <c r="Q29" i="3"/>
  <c r="K29" i="3"/>
  <c r="P29" i="3" s="1"/>
  <c r="Q30" i="3"/>
  <c r="K30" i="3"/>
  <c r="P30" i="3" s="1"/>
  <c r="Q31" i="3"/>
  <c r="K31" i="3"/>
  <c r="P31" i="3" s="1"/>
  <c r="Q32" i="3"/>
  <c r="K32" i="3"/>
  <c r="P32" i="3" s="1"/>
  <c r="Q33" i="3"/>
  <c r="K33" i="3"/>
  <c r="P33" i="3" s="1"/>
  <c r="Q34" i="3"/>
  <c r="K34" i="3"/>
  <c r="P34" i="3" s="1"/>
  <c r="Q35" i="3"/>
  <c r="K35" i="3"/>
  <c r="P35" i="3" s="1"/>
  <c r="Q36" i="3"/>
  <c r="K36" i="3"/>
  <c r="P36" i="3" s="1"/>
  <c r="Q37" i="3"/>
  <c r="K37" i="3"/>
  <c r="P37" i="3" s="1"/>
  <c r="Q38" i="3"/>
  <c r="K38" i="3"/>
  <c r="P38" i="3" s="1"/>
  <c r="Q39" i="3"/>
  <c r="K39" i="3"/>
  <c r="P39" i="3" s="1"/>
  <c r="Q40" i="3"/>
  <c r="K40" i="3"/>
  <c r="P40" i="3" s="1"/>
  <c r="Q41" i="3"/>
  <c r="K41" i="3"/>
  <c r="P41" i="3" s="1"/>
  <c r="Q42" i="3"/>
  <c r="K42" i="3"/>
  <c r="P42" i="3" s="1"/>
  <c r="Q43" i="3"/>
  <c r="K43" i="3"/>
  <c r="P43" i="3" s="1"/>
  <c r="Q44" i="3"/>
  <c r="K44" i="3"/>
  <c r="P44" i="3" s="1"/>
  <c r="Q45" i="3"/>
  <c r="K45" i="3"/>
  <c r="P45" i="3" s="1"/>
  <c r="Q46" i="3"/>
  <c r="K46" i="3"/>
  <c r="P46" i="3" s="1"/>
  <c r="Q47" i="3"/>
  <c r="K47" i="3"/>
  <c r="P47" i="3" s="1"/>
  <c r="Q48" i="3"/>
  <c r="K48" i="3"/>
  <c r="P48" i="3" s="1"/>
  <c r="Q49" i="3"/>
  <c r="K49" i="3"/>
  <c r="P49" i="3" s="1"/>
  <c r="Q50" i="3"/>
  <c r="K50" i="3"/>
  <c r="P50" i="3" s="1"/>
  <c r="Q51" i="3"/>
  <c r="K51" i="3"/>
  <c r="P51" i="3" s="1"/>
  <c r="C6" i="6"/>
  <c r="D6" i="6" s="1"/>
  <c r="F6" i="6" s="1"/>
  <c r="B22" i="1"/>
  <c r="B16" i="6"/>
  <c r="C7" i="6"/>
  <c r="D7" i="6" s="1"/>
  <c r="F7" i="6" s="1"/>
  <c r="B24" i="1"/>
  <c r="C11" i="6"/>
  <c r="D11" i="6" s="1"/>
  <c r="F11" i="6" s="1"/>
  <c r="B27" i="1"/>
  <c r="G69" i="4"/>
  <c r="B69" i="4"/>
  <c r="E69" i="4" s="1"/>
  <c r="F69" i="4" s="1"/>
  <c r="G36" i="4"/>
  <c r="B36" i="4"/>
  <c r="E36" i="4" s="1"/>
  <c r="F36" i="4" s="1"/>
  <c r="C12" i="6"/>
  <c r="D12" i="6" s="1"/>
  <c r="F12" i="6" s="1"/>
  <c r="B28" i="1"/>
  <c r="G71" i="4"/>
  <c r="B71" i="4"/>
  <c r="E71" i="4" s="1"/>
  <c r="F71" i="4" s="1"/>
  <c r="G38" i="4"/>
  <c r="B38" i="4"/>
  <c r="E38" i="4" s="1"/>
  <c r="F38" i="4" s="1"/>
  <c r="C10" i="6"/>
  <c r="D10" i="6" s="1"/>
  <c r="F10" i="6" s="1"/>
  <c r="B29" i="1"/>
  <c r="G70" i="4"/>
  <c r="B70" i="4"/>
  <c r="E70" i="4" s="1"/>
  <c r="F70" i="4" s="1"/>
  <c r="B37" i="4"/>
  <c r="E37" i="4" s="1"/>
  <c r="F37" i="4" s="1"/>
  <c r="C37" i="1"/>
  <c r="T136" i="2"/>
  <c r="T135" i="2"/>
  <c r="S136" i="2"/>
  <c r="S135" i="2"/>
  <c r="K53" i="3"/>
  <c r="P4" i="3"/>
  <c r="B47" i="5" l="1"/>
  <c r="D16" i="1"/>
  <c r="P53" i="3"/>
  <c r="B25" i="4"/>
  <c r="C18" i="6"/>
  <c r="D18" i="6" s="1"/>
  <c r="F18" i="6" s="1"/>
  <c r="Q53" i="3"/>
  <c r="D16" i="6"/>
  <c r="F16" i="6" s="1"/>
  <c r="D7" i="1"/>
  <c r="F44" i="4"/>
  <c r="B7" i="1" s="1"/>
  <c r="B17" i="4"/>
  <c r="B18" i="4"/>
  <c r="F76" i="4"/>
  <c r="B15" i="6" l="1"/>
  <c r="D15" i="6" s="1"/>
  <c r="F15" i="6" s="1"/>
  <c r="C9" i="6"/>
  <c r="D9" i="6" s="1"/>
  <c r="F9" i="6" s="1"/>
  <c r="B26" i="1"/>
  <c r="B14" i="6"/>
  <c r="D14" i="6" s="1"/>
  <c r="F14" i="6" s="1"/>
  <c r="C8" i="6"/>
  <c r="D8" i="6" s="1"/>
  <c r="F8" i="6" s="1"/>
  <c r="B25" i="1"/>
  <c r="B35" i="4"/>
  <c r="B19" i="4"/>
  <c r="B68" i="4" s="1"/>
  <c r="E43" i="4"/>
  <c r="B26" i="4"/>
  <c r="B31" i="5" l="1"/>
  <c r="B44" i="1"/>
  <c r="C21" i="6"/>
  <c r="D21" i="6" s="1"/>
  <c r="F21" i="6" s="1"/>
  <c r="D6" i="1"/>
  <c r="F43" i="4"/>
  <c r="B6" i="1" s="1"/>
  <c r="G68" i="4"/>
  <c r="E68" i="4"/>
  <c r="G35" i="4"/>
  <c r="E35" i="4"/>
  <c r="E40" i="4" l="1"/>
  <c r="F35" i="4"/>
  <c r="C19" i="6"/>
  <c r="E73" i="4"/>
  <c r="F68" i="4"/>
  <c r="C44" i="1"/>
  <c r="B45" i="1"/>
  <c r="C45" i="1" s="1"/>
  <c r="E78" i="4" l="1"/>
  <c r="F73" i="4"/>
  <c r="E45" i="4"/>
  <c r="F40" i="4"/>
  <c r="D8" i="1" l="1"/>
  <c r="F45" i="4"/>
  <c r="B8" i="1" s="1"/>
  <c r="E46" i="4"/>
  <c r="F78" i="4"/>
  <c r="E79" i="4"/>
  <c r="D33" i="1" l="1"/>
  <c r="F79" i="4"/>
  <c r="C22" i="6"/>
  <c r="D22" i="6" s="1"/>
  <c r="F22" i="6" s="1"/>
  <c r="B19" i="6"/>
  <c r="D19" i="6" s="1"/>
  <c r="F19" i="6" s="1"/>
  <c r="D9" i="1"/>
  <c r="E47" i="4"/>
  <c r="F46" i="4"/>
  <c r="B20" i="6" l="1"/>
  <c r="B9" i="1"/>
  <c r="C20" i="6" s="1"/>
  <c r="D20" i="6" s="1"/>
  <c r="F20" i="6" s="1"/>
  <c r="D10" i="1"/>
  <c r="F47" i="4"/>
  <c r="C25" i="6"/>
  <c r="D25" i="6" s="1"/>
  <c r="F25" i="6" s="1"/>
  <c r="B33" i="1"/>
  <c r="C29" i="6" l="1"/>
  <c r="D29" i="6" s="1"/>
  <c r="C28" i="6"/>
  <c r="D28" i="6" s="1"/>
  <c r="F28" i="6" s="1"/>
  <c r="C23" i="6"/>
  <c r="D23" i="6" s="1"/>
  <c r="F23" i="6" s="1"/>
  <c r="B10" i="1"/>
  <c r="F60" i="4"/>
  <c r="E60" i="4" s="1"/>
  <c r="F52" i="4"/>
  <c r="F51" i="4"/>
  <c r="F50" i="4"/>
  <c r="F58" i="4"/>
  <c r="B48" i="5" s="1"/>
  <c r="C26" i="6" l="1"/>
  <c r="D26" i="6" s="1"/>
  <c r="F26" i="6" s="1"/>
  <c r="B16" i="1"/>
  <c r="G58" i="4"/>
  <c r="B13" i="1"/>
  <c r="G50" i="4"/>
  <c r="D13" i="1" s="1"/>
  <c r="B14" i="1"/>
  <c r="C30" i="6"/>
  <c r="F30" i="6" s="1"/>
  <c r="B15" i="1"/>
  <c r="F29" i="6"/>
  <c r="D14" i="1" l="1"/>
  <c r="C17" i="6"/>
  <c r="D17" i="6"/>
  <c r="F17" i="6"/>
  <c r="F32" i="6"/>
  <c r="B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<sst xmlns="http://schemas.openxmlformats.org/spreadsheetml/2006/main" count="2269" uniqueCount="818">
  <si>
    <t>USB DAC + Balanced Headphone Amplifier — Parts List v0.4</t>
  </si>
  <si>
    <t>Diego Yang · 24 Sep 2026 · after the fifth review round · companion to Design Specification v0.6 and Schematic Design Notes v0.5 · supersedes Parts List v0.3 (kept unchanged) · 80 MHz MCLK, OPA2210 I/V op-amps, break-before-make family oscillators, overload latch, VREF clamp</t>
  </si>
  <si>
    <t>5-board sample run — cost gate</t>
  </si>
  <si>
    <t>Key figure</t>
  </si>
  <si>
    <t>Value</t>
  </si>
  <si>
    <t>Unit</t>
  </si>
  <si>
    <t>Basis</t>
  </si>
  <si>
    <t>Parts (LCSC tier matching the run quantity)</t>
  </si>
  <si>
    <t>NTD</t>
  </si>
  <si>
    <t>Bare 4-layer PCBs (estimate)</t>
  </si>
  <si>
    <t>JLCPCB Economic PCBA fees</t>
  </si>
  <si>
    <t>Total, 5-board run</t>
  </si>
  <si>
    <t>Per board</t>
  </si>
  <si>
    <t>Target per board</t>
  </si>
  <si>
    <t>Ceiling per board (hard order gate)</t>
  </si>
  <si>
    <t>Margin to the target</t>
  </si>
  <si>
    <t>NTD per board</t>
  </si>
  <si>
    <t>Margin to the ceiling</t>
  </si>
  <si>
    <t>Cost-gate status</t>
  </si>
  <si>
    <t>Without the conservative fee items</t>
  </si>
  <si>
    <t>Self-checks</t>
  </si>
  <si>
    <t>Counts</t>
  </si>
  <si>
    <t>Count</t>
  </si>
  <si>
    <t>BOM lines</t>
  </si>
  <si>
    <t>lines</t>
  </si>
  <si>
    <t>every component of every circuit, one part per line</t>
  </si>
  <si>
    <t>Fitted lines</t>
  </si>
  <si>
    <t>Purchase lines</t>
  </si>
  <si>
    <t>one per LCSC number</t>
  </si>
  <si>
    <t>SMT-placed parts per board</t>
  </si>
  <si>
    <t>parts</t>
  </si>
  <si>
    <t>Extended part types</t>
  </si>
  <si>
    <t>types</t>
  </si>
  <si>
    <t>Basic part types</t>
  </si>
  <si>
    <t>no per-type fee; every class is taken from its JLCPCB part page or the JLCPCB basic-parts list, except X202, whose class is not shown on its JLCPCB page (assumed Extended)</t>
  </si>
  <si>
    <t>SMT joints per board</t>
  </si>
  <si>
    <t>joints</t>
  </si>
  <si>
    <t>Qty × SMT joints per part, fitted lines</t>
  </si>
  <si>
    <t>Through-hole joints per board</t>
  </si>
  <si>
    <t>4.4 mm jack, hand-soldered</t>
  </si>
  <si>
    <t>Leadless (X-ray) parts per board</t>
  </si>
  <si>
    <t>CPLD, ES9018K2M, 2 × OPA1622, LM27762, three oscillators (80 / 24.576 / 22.5792 MHz)</t>
  </si>
  <si>
    <t>Reference only — 100-unit build</t>
  </si>
  <si>
    <t>Total per board, 100-unit build</t>
  </si>
  <si>
    <t>Parts cost per board by block (sample-run tier prices)</t>
  </si>
  <si>
    <t>Block</t>
  </si>
  <si>
    <t>US$ per board</t>
  </si>
  <si>
    <t>Main cost items</t>
  </si>
  <si>
    <t>1 USB-C input and sensing</t>
  </si>
  <si>
    <t>SHOU HAN USB-C receptacle, USBLC6-2SC6 ESD array, CC / VBUS sensing resistors</t>
  </si>
  <si>
    <t>2 USB audio bridge (CH32V307 + CPLD)</t>
  </si>
  <si>
    <t>CH32V307RCT6, AGRV2KQ32 CPLD, three oscillators, 8 MHz 5032 crystal</t>
  </si>
  <si>
    <t>3 DAC (ES9018K2M) and its supplies</t>
  </si>
  <si>
    <t>ES9018K2M, LP5907-3.3, ME6216A13M3G 1.3 V LDO</t>
  </si>
  <si>
    <t>4 I/V converters and output legs</t>
  </si>
  <si>
    <t>2 × OPA2210 I/V converters, 2 × OPA1622, 16 × 2.00 kΩ 0.1 % resistors</t>
  </si>
  <si>
    <t>5 Power: domains, current limit and ±3.8 V rails</t>
  </si>
  <si>
    <t>TPS2553 current limit, LM27762 +3.78 V / −3.72 V, 2 × ME6211C33</t>
  </si>
  <si>
    <t>6 Protection and control</t>
  </si>
  <si>
    <t>LM393 window comparator, ten 2N7002 fault latch (Q601–Q610), BAV99 diode-OR</t>
  </si>
  <si>
    <t>7 Outputs, indicators, test, board</t>
  </si>
  <si>
    <t>Minimum-spend allowance (purchasing lines under US$0.05)</t>
  </si>
  <si>
    <t>Parts per board</t>
  </si>
  <si>
    <t>What changed from v0.3</t>
  </si>
  <si>
    <t>Area</t>
  </si>
  <si>
    <t>Change</t>
  </si>
  <si>
    <t>MCLK oscillator</t>
  </si>
  <si>
    <t>80 MHz SCTF SX3M80.000B20F30TNN (C5179978) replaces the 100 MHz YXC part at X201, which sat at the ES9018K2M limit: 12.5 ns cycle (≥ 10 ns), ≥ 5.6 ns pulse width at 45:55, 208 × 384 kHz; still the CPLD system clock (tri-state pin 1 tied to 3V3D).</t>
  </si>
  <si>
    <t>Family oscillators</t>
  </si>
  <si>
    <t>Break-before-make: R212, R213 are now both 2.2 kΩ enable pull-downs, so X202 and X203 are off at power-up and during CPLD configuration; R214 10 kΩ pull-down on the shared family-clock node; DNF fallback 2:1 mux U205 (Nexperia 74LVC1G157GW,125, C135822) with R215 33 Ω.</t>
  </si>
  <si>
    <t>I/V op-amp</t>
  </si>
  <si>
    <t>TI OPA2210IDR (C1849415) replaces the OPA2197IDR: single input pair, so VREF 1.703 V sits 0.47 V inside the common-mode range (no input-pair transition); Vos ±35 µV max, 2.2 nV/√Hz; priced at its JLCPCB part page.</t>
  </si>
  <si>
    <t>Overload latch</t>
  </si>
  <si>
    <t>Q610 (2N7002: PGOOD bad sets the latch) and D606 (1N4148WS: a sustained TPS2553 overcurrent sets the latch) added — lines "Q601–Q610" (10 × 2N7002) and "D605, D606".</t>
  </si>
  <si>
    <t>VREF and rails</t>
  </si>
  <si>
    <t>VREF clamp D401 (1N4148WS, VREF → 3V3A) added and C421 10 µF → 100 nF (VREF τ ≈ 1.5 ms with C422); R518 10 kΩ → 5.1 kΩ: −3.722 V nominal (3.618–3.828 V incl. VFB and 1 % resistors); +3.780 V unchanged.</t>
  </si>
  <si>
    <t>Test</t>
  </si>
  <si>
    <t>R703 1 kΩ (DNF, fitted with J703): the test-header MCLK pin is a monitor output only; test pads TP701–TP729 (29), incl. the shared family-clock node and both enables.</t>
  </si>
  <si>
    <t>Descriptions</t>
  </si>
  <si>
    <t>U202, X202, X203, R501/R515, R503/R517, R617 and J703 updated (80 MHz system clock and break-before-make enables, rail ranges incl. resistor tolerance, blanking 25–133 ms, MCLK monitor output).</t>
  </si>
  <si>
    <t>Cost</t>
  </si>
  <si>
    <t>Price risk</t>
  </si>
  <si>
    <t>Ceiling</t>
  </si>
  <si>
    <t>Parts list</t>
  </si>
  <si>
    <t>Cost model</t>
  </si>
  <si>
    <t>Parts list — every BOM line, grouped by block</t>
  </si>
  <si>
    <t>One part per line; every fitted part has an LCSC number; every line’s JLCPCB class is taken from its JLCPCB part page or the JLCPCB basic-parts list, except X202, whose class is not shown on its JLCPCB page (assumed Extended). Unit prices in US$ at the LCSC tier matching the sample-run quantity (the OPA2210 at its JLCPCB part-page price, see its note) and at the 100-board tier (reference). Line costs here are before the US$0.10 minimum, which is applied per purchasing line on the Purchasing list. Helper columns V–W count distinct part types by LCSC number.</t>
  </si>
  <si>
    <t>Designators</t>
  </si>
  <si>
    <t>Qty per board</t>
  </si>
  <si>
    <t>Description</t>
  </si>
  <si>
    <t>Package</t>
  </si>
  <si>
    <t>Rating / tolerance</t>
  </si>
  <si>
    <t>Part number (MPN)</t>
  </si>
  <si>
    <t>LCSC no.</t>
  </si>
  <si>
    <t>JLCPCB library type</t>
  </si>
  <si>
    <t>Fit</t>
  </si>
  <si>
    <t>Leadless (X-ray)</t>
  </si>
  <si>
    <t>SMT joints per part</t>
  </si>
  <si>
    <t>Through-hole joints per part</t>
  </si>
  <si>
    <t>Unit price US$ (sample-run tier)</t>
  </si>
  <si>
    <t>Unit price US$ (100-board tier)</t>
  </si>
  <si>
    <t>Price basis</t>
  </si>
  <si>
    <t>Qty for 5-board run</t>
  </si>
  <si>
    <t>Line cost US$, 5-board run (before the minimum)</t>
  </si>
  <si>
    <t>Line cost US$, 100-board run (reference)</t>
  </si>
  <si>
    <t>Notes</t>
  </si>
  <si>
    <t>Part-type key (helper)</t>
  </si>
  <si>
    <t>New part type (helper)</t>
  </si>
  <si>
    <t>J101</t>
  </si>
  <si>
    <t>USB-C receptacle, 16-pin, USB 2.0 (data + 5 V), sink</t>
  </si>
  <si>
    <t>—</t>
  </si>
  <si>
    <t>SMD, right angle</t>
  </si>
  <si>
    <t>5 V, 3 A</t>
  </si>
  <si>
    <t>SHOU HAN TYPE-C 16PIN 2MD(073)</t>
  </si>
  <si>
    <t>C2765186</t>
  </si>
  <si>
    <t>Extended</t>
  </si>
  <si>
    <t>Yes</t>
  </si>
  <si>
    <t>Quote</t>
  </si>
  <si>
    <t>R101, R102</t>
  </si>
  <si>
    <t>CC1/CC2 pull-down Rd (USB-C sink)</t>
  </si>
  <si>
    <t>5.1 kΩ</t>
  </si>
  <si>
    <t>0402</t>
  </si>
  <si>
    <t>1 %</t>
  </si>
  <si>
    <t>UNI-ROYAL 0402WGF5101TCE</t>
  </si>
  <si>
    <t>C25905</t>
  </si>
  <si>
    <t>Basic</t>
  </si>
  <si>
    <t>R103, R104</t>
  </si>
  <si>
    <t>CC1/CC2 → MCU ADC series (reads the Type-C current advertisement; does not load CC)</t>
  </si>
  <si>
    <t>10 kΩ</t>
  </si>
  <si>
    <t>UNI-ROYAL 0402WGF1002TCE</t>
  </si>
  <si>
    <t>C25744</t>
  </si>
  <si>
    <t>R105</t>
  </si>
  <si>
    <t>VBUS sense divider, top (→ MCU ADC with analog watchdog)</t>
  </si>
  <si>
    <t>100 kΩ</t>
  </si>
  <si>
    <t>UNI-ROYAL 0402WGF1003TCE</t>
  </si>
  <si>
    <t>C25741</t>
  </si>
  <si>
    <t>R106</t>
  </si>
  <si>
    <t>VBUS sense divider, bottom (5.0 V → 1.60 V)</t>
  </si>
  <si>
    <t>47 kΩ</t>
  </si>
  <si>
    <t>UNI-ROYAL 0402WGF4702TCE</t>
  </si>
  <si>
    <t>C25792</t>
  </si>
  <si>
    <t>R107</t>
  </si>
  <si>
    <t>Shield to GND bleed</t>
  </si>
  <si>
    <t>1 MΩ</t>
  </si>
  <si>
    <t>UNI-ROYAL 0402WGF1004TCE</t>
  </si>
  <si>
    <t>C26083</t>
  </si>
  <si>
    <t>C101</t>
  </si>
  <si>
    <t>Shield to GND (RF)</t>
  </si>
  <si>
    <t>4.7 nF</t>
  </si>
  <si>
    <t>50 V X7R</t>
  </si>
  <si>
    <t>FH 0402B472K500NT</t>
  </si>
  <si>
    <t>C1538</t>
  </si>
  <si>
    <t>U101</t>
  </si>
  <si>
    <t>ESD array, D+, D−, VBUS</t>
  </si>
  <si>
    <t>SOT-23-6</t>
  </si>
  <si>
    <t>5.25 V, 3.5 pF</t>
  </si>
  <si>
    <t>ST USBLC6-2SC6</t>
  </si>
  <si>
    <t>C7519</t>
  </si>
  <si>
    <t>C102</t>
  </si>
  <si>
    <t>VBUS at the connector (VBUS capacitance before any switch: 5 × 1 µF)</t>
  </si>
  <si>
    <t>1 µF</t>
  </si>
  <si>
    <t>0603</t>
  </si>
  <si>
    <t>25 V X5R</t>
  </si>
  <si>
    <t>Samsung CL10A105KB8NNNC</t>
  </si>
  <si>
    <t>C15849</t>
  </si>
  <si>
    <t>U201</t>
  </si>
  <si>
    <t>MCU, RISC-V, USB 2.0 High-Speed with built-in PHY; own USB Audio Class 2.0 firmware</t>
  </si>
  <si>
    <t>LQFP-64 10 × 10 mm</t>
  </si>
  <si>
    <t>144 MHz, 3.3 V</t>
  </si>
  <si>
    <t>WCH CH32V307RCT6</t>
  </si>
  <si>
    <t>C2988083</t>
  </si>
  <si>
    <t>LCSC stock 119: reserve before ordering</t>
  </si>
  <si>
    <t>Y201</t>
  </si>
  <si>
    <t>Crystal, CH32V307 HSE 8 MHz (firmware: HSE ÷ 2 = 4 MHz USB HS PLL reference)</t>
  </si>
  <si>
    <t>8 MHz</t>
  </si>
  <si>
    <t>5.0 × 3.2 mm, 2-pad</t>
  </si>
  <si>
    <t>±10 ppm, CL 20 pF</t>
  </si>
  <si>
    <t>YXC X50328MSB2GI</t>
  </si>
  <si>
    <t>C115962</t>
  </si>
  <si>
    <t>No Basic 3.2 × 2.5 mm 8 MHz crystal exists; 5032 used</t>
  </si>
  <si>
    <t>C201, C202</t>
  </si>
  <si>
    <t>Crystal load capacitors (CL 20 pF crystal: 2 × (20 − ≈3.5 pF stray) ≈ 33 pF)</t>
  </si>
  <si>
    <t>33 pF</t>
  </si>
  <si>
    <t>50 V C0G</t>
  </si>
  <si>
    <t>FH 0402CG330J500NT</t>
  </si>
  <si>
    <t>C1562</t>
  </si>
  <si>
    <t>C203–C210</t>
  </si>
  <si>
    <t>CH32V307 VDD/VDDA/VIO decoupling, one per supply pin</t>
  </si>
  <si>
    <t>100 nF</t>
  </si>
  <si>
    <t>16 V X7R</t>
  </si>
  <si>
    <t>Samsung CL05B104KO5NNNC</t>
  </si>
  <si>
    <t>C1525</t>
  </si>
  <si>
    <t>C211</t>
  </si>
  <si>
    <t>CH32V307 3V3M bulk (2.2 µF keeps the attach inrush charge ≈ 38 µC)</t>
  </si>
  <si>
    <t>2.2 µF</t>
  </si>
  <si>
    <t>6.3 V X5R</t>
  </si>
  <si>
    <t>Samsung CL05A225MQ5NSNC</t>
  </si>
  <si>
    <t>C12530</t>
  </si>
  <si>
    <t>R201</t>
  </si>
  <si>
    <t>NRST pull-up</t>
  </si>
  <si>
    <t>C212</t>
  </si>
  <si>
    <t>NRST filter</t>
  </si>
  <si>
    <t>R202</t>
  </si>
  <si>
    <t>BOOT0 pull-down</t>
  </si>
  <si>
    <t>U202</t>
  </si>
  <si>
    <t>CPLD, 2K LUT: FIFO and I²S master; 80 MHz system clock; PLL ×2 on the selected family oscillator (45.1584 / 49.152 MHz), exact integer division to BCLK/LRCLK for all 8 rates; drives the two oscillator enables (break-before-make)</t>
  </si>
  <si>
    <t>QFN-32 4 × 4 mm</t>
  </si>
  <si>
    <t>3.3 V</t>
  </si>
  <si>
    <t>AGM AGRV2KQ32</t>
  </si>
  <si>
    <t>C18208899</t>
  </si>
  <si>
    <t>LCSC stock 980</t>
  </si>
  <si>
    <t>C213–C216</t>
  </si>
  <si>
    <t>CPLD decoupling</t>
  </si>
  <si>
    <t>X201</t>
  </si>
  <si>
    <t>Oscillator, 80 MHz 3.3 V CMOS: DAC MCLK (asynchronous mode; 208 × 384 kHz &gt; 192 × FSR; 12.5 ns cycle, ≥ 5.6 ns pulse width at 45:55) and the CPLD system clock; tri-state pin 1 tied to 3V3D</t>
  </si>
  <si>
    <t>80 MHz</t>
  </si>
  <si>
    <t>3.2 × 2.5 mm, 4-pad</t>
  </si>
  <si>
    <t>±20 ppm tol., ±30 ppm stab., 40 mA max, duty 45–55 %</t>
  </si>
  <si>
    <t>SCTF SX3M80.000B20F30TNN</t>
  </si>
  <si>
    <t>C5179978</t>
  </si>
  <si>
    <t>Replaces the 100 MHz part, which sat at the ES9018K2M 10 ns minimum MCLK cycle; LCSC stock 2,503</t>
  </si>
  <si>
    <t>X202</t>
  </si>
  <si>
    <t>Oscillator, 24.576 MHz 3.3 V CMOS, tri-state enable on pin 1: 48 kHz rate family (OSC48_EN; off by default through R212; shared node into the CPLD PLL, ×2 = 49.152 MHz)</t>
  </si>
  <si>
    <t>24.576 MHz</t>
  </si>
  <si>
    <t>±10 ppm tol., ±20 ppm stab., 1.8–3.3 V</t>
  </si>
  <si>
    <t>YXC OT322524.576MJBA4SL</t>
  </si>
  <si>
    <t>C2831388</t>
  </si>
  <si>
    <t>Class assumed Extended (not shown on the JLCPCB page); LCSC stock 1,755; JLCPCB page notes an assembly fixture may be needed (check the quote)</t>
  </si>
  <si>
    <t>X203</t>
  </si>
  <si>
    <t>Oscillator, 22.5792 MHz 1.62–3.63 V CMOS, tri-state pin 1 (SCTF 2CM datasheet: enabled when high or open, disabled when low; start-up ≤ 5 ms): 44.1 kHz rate family (OSC44_EN; off by default through R213; shared node into the CPLD PLL, ×2 = 45.1584 MHz)</t>
  </si>
  <si>
    <t>22.5792 MHz</t>
  </si>
  <si>
    <t>2.5 × 2.0 mm, 4-pad</t>
  </si>
  <si>
    <t>±20 ppm tol., ±30 ppm stab., 10 mA max</t>
  </si>
  <si>
    <t>SCTF SX2M22.5792M20F30TNN</t>
  </si>
  <si>
    <t>C5452663</t>
  </si>
  <si>
    <t>JLCPCB class Extended (part page); LCSC stock 1,426; datasheet gives no disable time or disabled-output leakage: measured on the proof-of-concept board</t>
  </si>
  <si>
    <t>C217–C219</t>
  </si>
  <si>
    <t>Oscillator VDD decoupling (X201, X202, X203)</t>
  </si>
  <si>
    <t>R212, R213</t>
  </si>
  <si>
    <t>Oscillator enable pull-downs, OSC48_EN (X202) and OSC44_EN (X203): both family oscillators stay off until the CPLD drives one enable (overrides the oscillators’ internal enable pull-ups and any CPLD weak pull-up ≥ 5.1 kΩ)</t>
  </si>
  <si>
    <t>2.2 kΩ</t>
  </si>
  <si>
    <t>UNI-ROYAL 0402WGF2201TCE</t>
  </si>
  <si>
    <t>C25879</t>
  </si>
  <si>
    <t>R214</t>
  </si>
  <si>
    <t>Shared family-clock node pull-down (defined low while both family oscillators are off)</t>
  </si>
  <si>
    <t>U205</t>
  </si>
  <si>
    <t>DNF fallback: 2:1 logic mux in front of the CPLD PLL input (fit U205 + R215 and remove R210/R211); select = OSC44_EN</t>
  </si>
  <si>
    <t>SOT-363 (SC-88)</t>
  </si>
  <si>
    <t>1.65–5.5 V</t>
  </si>
  <si>
    <t>Nexperia 74LVC1G157GW,125</t>
  </si>
  <si>
    <t>C135822</t>
  </si>
  <si>
    <t>DNF</t>
  </si>
  <si>
    <t>R215</t>
  </si>
  <si>
    <t>DNF: series termination, mux output to the CPLD PLL input (fitted with U205)</t>
  </si>
  <si>
    <t>33 Ω</t>
  </si>
  <si>
    <t>UNI-ROYAL 0402WGF330JTCE</t>
  </si>
  <si>
    <t>C25105</t>
  </si>
  <si>
    <t>R203–R206</t>
  </si>
  <si>
    <t>Series termination: MCLK to the DAC, BCLK, LRCLK, SDATA toward the DAC</t>
  </si>
  <si>
    <t>R209</t>
  </si>
  <si>
    <t>Series termination: MCLK branch to the CPLD clock input</t>
  </si>
  <si>
    <t>R210, R211</t>
  </si>
  <si>
    <t>Series termination: X202 and X203 outputs into the shared node at the CPLD PLL clock input</t>
  </si>
  <si>
    <t>R207, R208</t>
  </si>
  <si>
    <t>I²C SCL/SDA pull-ups to 3V3D (off with the DAC domain: no back-powering)</t>
  </si>
  <si>
    <t>J201</t>
  </si>
  <si>
    <t>Pads, CH32V307 2-wire debug (WCH-LinkE): 3V3, SWDIO, SWCLK, GND</t>
  </si>
  <si>
    <t>Pads</t>
  </si>
  <si>
    <t>No part</t>
  </si>
  <si>
    <t>Estimate</t>
  </si>
  <si>
    <t>J202</t>
  </si>
  <si>
    <t>Pads, CPLD JTAG: 3V3, TCK, TMS, TDI, TDO, GND</t>
  </si>
  <si>
    <t>U301</t>
  </si>
  <si>
    <t>DAC, 32-bit, PCM to 384 kHz, I²C; asynchronous (DPLL/jitter eliminator) mode; differential current-mode outputs</t>
  </si>
  <si>
    <t>QFN-28 5 × 5 mm</t>
  </si>
  <si>
    <t>DNR 127 dB-A, THD+N −120 dB (datasheet, current mode)</t>
  </si>
  <si>
    <t>ESS ES9018K2M</t>
  </si>
  <si>
    <t>C2688377</t>
  </si>
  <si>
    <t>LCSC stock 724</t>
  </si>
  <si>
    <t>U302</t>
  </si>
  <si>
    <t>LDO, quiet 3.3 V for VCCA, AVCC_L, AVCC_R and VREF (3V3A), EN = AVCC_EN</t>
  </si>
  <si>
    <t>3.3 V, 250 mA</t>
  </si>
  <si>
    <t>SOT-23-5</t>
  </si>
  <si>
    <t>6.5 µVrms, ±2 %</t>
  </si>
  <si>
    <t>TI LP5907MFX-3.3/NOPB</t>
  </si>
  <si>
    <t>C80670</t>
  </si>
  <si>
    <t>C301</t>
  </si>
  <si>
    <t>LP5907 input (part of the 5 µF VBUS budget)</t>
  </si>
  <si>
    <t>C302</t>
  </si>
  <si>
    <t>LP5907 output (LP5907 total output capacitance 5.7 µF ≤ 10 µF)</t>
  </si>
  <si>
    <t>R303</t>
  </si>
  <si>
    <t>LP5907 EN pull-down (off until the MCU enables it)</t>
  </si>
  <si>
    <t>R301, R302</t>
  </si>
  <si>
    <t>AVCC_L and AVCC_R feeds (separate branches from the LDO; ≈ 18 mV drop at 8 mA)</t>
  </si>
  <si>
    <t>2.2 Ω</t>
  </si>
  <si>
    <t>0805</t>
  </si>
  <si>
    <t>UNI-ROYAL 0805W8F220JT5E</t>
  </si>
  <si>
    <t>C17521</t>
  </si>
  <si>
    <t>C303, C304</t>
  </si>
  <si>
    <t>AVCC_L and AVCC_R</t>
  </si>
  <si>
    <t>C305–C309</t>
  </si>
  <si>
    <t>AVCC_L, AVCC_R, VCCA, DVCC, DVDD HF decoupling</t>
  </si>
  <si>
    <t>C310</t>
  </si>
  <si>
    <t>DVDD at the DAC pin (datasheet: ≥ 1 µF effective; 2.2 µF X5R recommended)</t>
  </si>
  <si>
    <t>U303</t>
  </si>
  <si>
    <t>LDO, fixed 1.3 V for the external DVDD (required for FSR &gt; 192 kHz), fed from 3V3D so DVDD ≤ DVCC during ramps</t>
  </si>
  <si>
    <t>1.3 V, 300 mA</t>
  </si>
  <si>
    <t>SOT-23</t>
  </si>
  <si>
    <t>±1 %, ceramic-stable, 6 µA Iq</t>
  </si>
  <si>
    <t>Microne ME6216A13M3G</t>
  </si>
  <si>
    <t>C236662</t>
  </si>
  <si>
    <t>LCSC stock ≈ 410: reserve before ordering</t>
  </si>
  <si>
    <t>C311</t>
  </si>
  <si>
    <t>1.3 V LDO input</t>
  </si>
  <si>
    <t>C312</t>
  </si>
  <si>
    <t>1.3 V LDO output</t>
  </si>
  <si>
    <t>R305</t>
  </si>
  <si>
    <t>RESETB pull-down (DAC held in reset until firmware releases it)</t>
  </si>
  <si>
    <t>R306</t>
  </si>
  <si>
    <t>ADDR strap (I²C address 0x90)</t>
  </si>
  <si>
    <t>FB301</t>
  </si>
  <si>
    <t>Ferrite bead, 3V3D → DVCC (≈ 14 mA)</t>
  </si>
  <si>
    <t>600 Ω @ 100 MHz</t>
  </si>
  <si>
    <t>200 mA, 0.45 Ω</t>
  </si>
  <si>
    <t>Sunlord GZ1608D601TF</t>
  </si>
  <si>
    <t>C1002</t>
  </si>
  <si>
    <t>U403, U404</t>
  </si>
  <si>
    <t>Op-amp, dual, I/V converters, one amplifier per DAC pin (U403 = DACL, DACLB; U404 = DACR, DACRB); single input pair, so VREF 1.703 V sits 0.47 V inside the common-mode range (no input-pair transition)</t>
  </si>
  <si>
    <t>SOIC-8</t>
  </si>
  <si>
    <t>Vos ±35 µV max, 2.2 nV/√Hz, 18 MHz, CM (V−)+1.5 V to (V+)−1.5 V, 2.5 mA/ch max</t>
  </si>
  <si>
    <t>TI OPA2210IDR</t>
  </si>
  <si>
    <t>C1849415</t>
  </si>
  <si>
    <t>JLCPCB part-page price (the PCBA order is charged at JLCPCB prices); LCSC lists US$2.67 at 10+; at the LCSC price the board would cost ≈ 1,753 NTD; JLCPCB available 76 → reserve 10; page notes an assembly fixture may be needed</t>
  </si>
  <si>
    <t>R423–R426</t>
  </si>
  <si>
    <t>I/V feedback, part 1: 1 kΩ ∥ 5.1 kΩ = 836 Ω (Basic values; 750 Ω is Extended). 2 × 836/806 × 1.078 = 2.24 Vrms per leg before calibration</t>
  </si>
  <si>
    <t>1 kΩ</t>
  </si>
  <si>
    <t>UNI-ROYAL 0402WGF1001TCE</t>
  </si>
  <si>
    <t>C11702</t>
  </si>
  <si>
    <t>R434–R437</t>
  </si>
  <si>
    <t>I/V feedback, part 2 (in parallel with R423–R426)</t>
  </si>
  <si>
    <t>R427–R430</t>
  </si>
  <si>
    <t>Resistor in series with each I/V feedback capacitor (ESS application circuit)</t>
  </si>
  <si>
    <t>10 Ω</t>
  </si>
  <si>
    <t>UNI-ROYAL 0603WAF100JT5E</t>
  </si>
  <si>
    <t>C22859</t>
  </si>
  <si>
    <t>C417–C420, C427–C430</t>
  </si>
  <si>
    <t>I/V feedback capacitor, two 330 pF C0G in parallel per converter = 660 pF (≈ 288 kHz with 836 Ω; no Basic C0G above 330 pF)</t>
  </si>
  <si>
    <t>330 pF</t>
  </si>
  <si>
    <t>Samsung CL10C331JB8NNNC</t>
  </si>
  <si>
    <t>C1664</t>
  </si>
  <si>
    <t>R431</t>
  </si>
  <si>
    <t>VREF divider, top (from 3V3A)</t>
  </si>
  <si>
    <t>15 kΩ</t>
  </si>
  <si>
    <t>UNI-ROYAL 0402WGF1502TCE</t>
  </si>
  <si>
    <t>C25756</t>
  </si>
  <si>
    <t>R432</t>
  </si>
  <si>
    <t>VREF divider, bottom, part 1 (15 kΩ + 1 kΩ = 16 kΩ → VREF 1.703 V ≈ DAC zero-DC-current point)</t>
  </si>
  <si>
    <t>R433</t>
  </si>
  <si>
    <t>VREF divider, bottom, part 2</t>
  </si>
  <si>
    <t>C421</t>
  </si>
  <si>
    <t>VREF filter at the divider (with C422: τ ≈ 1.5 ms; VREF noise is common mode to both pins of a pair)</t>
  </si>
  <si>
    <t>D401</t>
  </si>
  <si>
    <t>VREF clamp to 3V3A (anode = VREF): when AVCC collapses at unplug, VREF follows it, so the I/V converters never hold the DAC pins far above AVCC (ES9018K2M abs. max: GND &lt; Vout &lt; AVCC)</t>
  </si>
  <si>
    <t>1N4148WS</t>
  </si>
  <si>
    <t>SOD-323</t>
  </si>
  <si>
    <t>100 V, 150 mA; reverse-biased 1.6 V in use</t>
  </si>
  <si>
    <t>JSCJ 1N4148WS</t>
  </si>
  <si>
    <t>C2128</t>
  </si>
  <si>
    <t>C422</t>
  </si>
  <si>
    <t>VREF HF decoupling, between the two OPA2210</t>
  </si>
  <si>
    <t>C423–C426</t>
  </si>
  <si>
    <t>OPA2210 V+ and V−</t>
  </si>
  <si>
    <t>U401, U402</t>
  </si>
  <si>
    <t>Op-amp, dual, output legs; U401 = L+ and L−, U402 = R+ and R− (one amplifier per leg)</t>
  </si>
  <si>
    <t>VSON-10 3 × 3 mm</t>
  </si>
  <si>
    <t>Isc +145/−130 mA typ; thermal pad to V−</t>
  </si>
  <si>
    <t>TI OPA1622IDRCR</t>
  </si>
  <si>
    <t>C2876559</t>
  </si>
  <si>
    <t>R401–R416</t>
  </si>
  <si>
    <t>4-resistor difference amplifier per leg, fed by the I/V outputs (leg+ = I/V(DAC−) − I/V(DAC+), leg− the swap)</t>
  </si>
  <si>
    <t>2.00 kΩ</t>
  </si>
  <si>
    <t>0.1 %, 25 ppm thin film</t>
  </si>
  <si>
    <t>YAGEO RT0603BRD072KL</t>
  </si>
  <si>
    <t>C728588</t>
  </si>
  <si>
    <t>C401–C408</t>
  </si>
  <si>
    <t>Across each feedback and ground-leg resistor (≈ 241 kHz with 2 kΩ)</t>
  </si>
  <si>
    <t>R417–R420</t>
  </si>
  <si>
    <t>Output link per leg (0 Ω; fit 0.47 Ω only if the capacitive-load test needs it)</t>
  </si>
  <si>
    <t>0 Ω</t>
  </si>
  <si>
    <t>jumper</t>
  </si>
  <si>
    <t>UNI-ROYAL 0402WGF0000TCE</t>
  </si>
  <si>
    <t>C17168</t>
  </si>
  <si>
    <t>R421</t>
  </si>
  <si>
    <t>AMP_EN pull-down (both OPA1622 EN pins; amplifiers off by default)</t>
  </si>
  <si>
    <t>C409–C412</t>
  </si>
  <si>
    <t>OPA1622 V+ and V−</t>
  </si>
  <si>
    <t>C413–C416</t>
  </si>
  <si>
    <t>OPA1622 local bulk, V+ and V−</t>
  </si>
  <si>
    <t>10 µF</t>
  </si>
  <si>
    <t>Samsung CL21A106KAYNNNE</t>
  </si>
  <si>
    <t>C15850</t>
  </si>
  <si>
    <t>U502</t>
  </si>
  <si>
    <t>LDO 3.3 V, always-on MCU domain (3V3M)</t>
  </si>
  <si>
    <t>3.3 V, 500 mA</t>
  </si>
  <si>
    <t>±2 %, 100 mV at 100 mA</t>
  </si>
  <si>
    <t>Microne ME6211C33M5G-N</t>
  </si>
  <si>
    <t>C82942</t>
  </si>
  <si>
    <t>C501</t>
  </si>
  <si>
    <t>ME6211 (3V3M) input</t>
  </si>
  <si>
    <t>C502</t>
  </si>
  <si>
    <t>ME6211 (3V3M) output</t>
  </si>
  <si>
    <t>U504</t>
  </si>
  <si>
    <t>LDO 3.3 V, switched audio-digital domain (3V3D: CPLD, oscillators, DAC DVCC, 1.3 V LDO), CE = AUD_EN</t>
  </si>
  <si>
    <t>±2 %</t>
  </si>
  <si>
    <t>C503</t>
  </si>
  <si>
    <t>ME6211 (3V3D) input</t>
  </si>
  <si>
    <t>C504</t>
  </si>
  <si>
    <t>ME6211 (3V3D) output</t>
  </si>
  <si>
    <t>R508</t>
  </si>
  <si>
    <t>ME6211 (3V3D) CE pull-down</t>
  </si>
  <si>
    <t>U503</t>
  </si>
  <si>
    <t>Current-limited power switch for the headphone rails (5V_ANA), EN = ANA_EN, FAULT → MCU</t>
  </si>
  <si>
    <t>0.075–1.7 A adjustable, 85 mΩ, soft start</t>
  </si>
  <si>
    <t>TI TPS2553DBVR</t>
  </si>
  <si>
    <t>C55266</t>
  </si>
  <si>
    <t>C505</t>
  </si>
  <si>
    <t>TPS2553 input (part of the 5 µF VBUS budget)</t>
  </si>
  <si>
    <t>C506</t>
  </si>
  <si>
    <t>TPS2553 output</t>
  </si>
  <si>
    <t>R509</t>
  </si>
  <si>
    <t>TPS2553 RILIM, part 1 (100 kΩ + 47 kΩ = 147 kΩ, always in circuit: Default limit ≈ 0.157–0.213 A)</t>
  </si>
  <si>
    <t>R514</t>
  </si>
  <si>
    <t>TPS2553 RILIM, part 2 (series with R509)</t>
  </si>
  <si>
    <t>R510</t>
  </si>
  <si>
    <t>TPS2553 RILIM, switched in parallel for High mode (147 kΩ ∥ 100 kΩ = 59.5 kΩ: ≈ 0.39–0.50 A)</t>
  </si>
  <si>
    <t>Q501</t>
  </si>
  <si>
    <t>N-MOSFET, switches R510 (ILIM_HI from MCU; only when Type-C advertises ≥ 1.5 A)</t>
  </si>
  <si>
    <t>2N7002</t>
  </si>
  <si>
    <t>60 V</t>
  </si>
  <si>
    <t>JSCJ 2N7002</t>
  </si>
  <si>
    <t>C8545</t>
  </si>
  <si>
    <t>R511</t>
  </si>
  <si>
    <t>Q501 gate pull-down</t>
  </si>
  <si>
    <t>R512</t>
  </si>
  <si>
    <t>TPS2553 FAULT pull-up to 3V3M</t>
  </si>
  <si>
    <t>R513</t>
  </si>
  <si>
    <t>TPS2553 EN pull-down</t>
  </si>
  <si>
    <t>FB501</t>
  </si>
  <si>
    <t>Ferrite bead, 5V_ANA → LM27762 VIN (charge-pump input ripple)</t>
  </si>
  <si>
    <t>120 Ω @ 100 MHz</t>
  </si>
  <si>
    <t>2 A, 50 mΩ</t>
  </si>
  <si>
    <t>Murata BLM18PG121SN1D</t>
  </si>
  <si>
    <t>C14709</t>
  </si>
  <si>
    <t>U501</t>
  </si>
  <si>
    <t>Charge pump + low-noise LDOs, ±3.8 V from 5V_ANA, EN± = RAIL_EN, PGOOD (active low)</t>
  </si>
  <si>
    <t>±3.8 V</t>
  </si>
  <si>
    <t>WSON-12 2 × 3 mm</t>
  </si>
  <si>
    <t>±250 mA, 2 MHz</t>
  </si>
  <si>
    <t>TI LM27762DSSR</t>
  </si>
  <si>
    <t>C473398</t>
  </si>
  <si>
    <t>C507</t>
  </si>
  <si>
    <t>LM27762 input</t>
  </si>
  <si>
    <t>C508</t>
  </si>
  <si>
    <t>LM27762 flying capacitor</t>
  </si>
  <si>
    <t>C509</t>
  </si>
  <si>
    <t>LM27762 charge-pump output (CP)</t>
  </si>
  <si>
    <t>C510</t>
  </si>
  <si>
    <t>LM27762 OUT+</t>
  </si>
  <si>
    <t>C511</t>
  </si>
  <si>
    <t>LM27762 OUT−</t>
  </si>
  <si>
    <t>R501, R515</t>
  </si>
  <si>
    <t>LM27762 FB+ divider, top: 100 kΩ + 100 kΩ + 15 kΩ = 215 kΩ (+3.780 V = 1.2 × 315/100; 3.673–3.890 V incl. VFB and 1 % resistors)</t>
  </si>
  <si>
    <t>R516</t>
  </si>
  <si>
    <t>LM27762 FB+ divider, top, third part</t>
  </si>
  <si>
    <t>R502</t>
  </si>
  <si>
    <t>LM27762 FB+ divider, bottom (≥ 50 kΩ per datasheet)</t>
  </si>
  <si>
    <t>R503, R517</t>
  </si>
  <si>
    <t>LM27762 FB− divider, top: 100 kΩ + 100 kΩ + 5.1 kΩ = 205.1 kΩ (−3.722 V = −1.22 × 305.1/100; 3.618–3.828 V incl. VFB and 1 % resistors)</t>
  </si>
  <si>
    <t>R518</t>
  </si>
  <si>
    <t>LM27762 FB− divider, top, third part (was 10 kΩ; lowers |V−| by 60 mV for charge-pump headroom)</t>
  </si>
  <si>
    <t>R504</t>
  </si>
  <si>
    <t>LM27762 FB− divider, bottom (≥ 50 kΩ per datasheet)</t>
  </si>
  <si>
    <t>R505</t>
  </si>
  <si>
    <t>LM27762 PGOOD pull-up to 3V3M (MCU reads RAILS_OK_N)</t>
  </si>
  <si>
    <t>R506</t>
  </si>
  <si>
    <t>RAIL_EN pull-down (rails off by default)</t>
  </si>
  <si>
    <t>R507</t>
  </si>
  <si>
    <t>RAIL_EN series resistor from the MCU GPIO</t>
  </si>
  <si>
    <t>U601</t>
  </si>
  <si>
    <t>Comparator, dual, open collector, on the ±3.8 V rails: window detector for DC on any leg</t>
  </si>
  <si>
    <t>2–36 V</t>
  </si>
  <si>
    <t>onsemi LM393DR2G</t>
  </si>
  <si>
    <t>C7955</t>
  </si>
  <si>
    <t>R601–R604</t>
  </si>
  <si>
    <t>DC-detect filter, part 1, one per leg (100 kΩ + 47 kΩ = 147 kΩ; τ = 147 ms with 1 µF)</t>
  </si>
  <si>
    <t>R619–R622</t>
  </si>
  <si>
    <t>DC-detect filter, part 2 (series with R601–R604)</t>
  </si>
  <si>
    <t>C601–C604</t>
  </si>
  <si>
    <t>DC-detect filter capacitor</t>
  </si>
  <si>
    <t>D601–D604</t>
  </si>
  <si>
    <t>Diode pair, diode-OR of each leg into the MAX and MIN nodes</t>
  </si>
  <si>
    <t>BAV99</t>
  </si>
  <si>
    <t>100 V</t>
  </si>
  <si>
    <t>Nexperia BAV99,215</t>
  </si>
  <si>
    <t>C2500</t>
  </si>
  <si>
    <t>R605, R606</t>
  </si>
  <si>
    <t>MAX/MIN node loads</t>
  </si>
  <si>
    <t>R607, R608</t>
  </si>
  <si>
    <t>Threshold dividers from ±3.8 V, top (→ ±0.406 V)</t>
  </si>
  <si>
    <t>R609, R610</t>
  </si>
  <si>
    <t>Threshold dividers, bottom</t>
  </si>
  <si>
    <t>12 kΩ</t>
  </si>
  <si>
    <t>UNI-ROYAL 0402WGF1202TCE</t>
  </si>
  <si>
    <t>C25752</t>
  </si>
  <si>
    <t>R611</t>
  </si>
  <si>
    <t>Comparator outputs → node F series resistor (limits clamp current to ≤ 0.31 mA)</t>
  </si>
  <si>
    <t>R612</t>
  </si>
  <si>
    <t>Node F pull-up to 3V3M</t>
  </si>
  <si>
    <t>D605, D606</t>
  </si>
  <si>
    <t>D605: clamp, node F to GND (3.3 V logic never sees the −3.8 V comparator output); D606: diode-OR from node F to ANA_FAULT (anode = F), so a sustained TPS2553 overcurrent (FAULT low after the 5–10 ms deglitch) sets the latch</t>
  </si>
  <si>
    <t>100 V, 150 mA</t>
  </si>
  <si>
    <t>Q601–Q610</t>
  </si>
  <si>
    <t>N-MOSFETs: Q601 inverter, Q602 set, Q603 blanking, Q604/Q605 cross-coupled latch, Q606 clear (FLT_CLR), Q607 RAIL_EN kill, Q608 AMP_EN kill (fault), Q609 AMP_EN kill (PGOOD), Q610 set request when PGOOD is bad (overload or rail loss latches; blanked at start-up)</t>
  </si>
  <si>
    <t>R613</t>
  </si>
  <si>
    <t>Set-request node S pull-up to 3V3M</t>
  </si>
  <si>
    <t>R614, R615</t>
  </si>
  <si>
    <t>Latch pull-ups to 3V3M (nodes A and B)</t>
  </si>
  <si>
    <t>C605</t>
  </si>
  <si>
    <t>Latch power-up set (3V3M to node B: starts in the fault state)</t>
  </si>
  <si>
    <t>R616</t>
  </si>
  <si>
    <t>FLT_CLR pull-down</t>
  </si>
  <si>
    <t>R617</t>
  </si>
  <si>
    <t>Blanking delay from PGOOD (set path armed 25–133 ms after PGOOD goes good; re-blanked 35–173 ms after it goes bad)</t>
  </si>
  <si>
    <t>C606</t>
  </si>
  <si>
    <t>Blanking delay capacitor</t>
  </si>
  <si>
    <t>R618</t>
  </si>
  <si>
    <t>AMP_EN series resistor from the MCU GPIO</t>
  </si>
  <si>
    <t>J701</t>
  </si>
  <si>
    <t>Jack, 4.4 mm 5-pole balanced (L+, L−, R+, R−, GND)</t>
  </si>
  <si>
    <t>Through-hole</t>
  </si>
  <si>
    <t>Gold-plated</t>
  </si>
  <si>
    <t>G-Switch GT-3321667P-01</t>
  </si>
  <si>
    <t>C2762984</t>
  </si>
  <si>
    <t>No cheaper 4.4 mm jack at LCSC; stock 721</t>
  </si>
  <si>
    <t>J702</t>
  </si>
  <si>
    <t>Jack, 3.5 mm (TRRS body with TRS plugs; ring 2 tied to GND)</t>
  </si>
  <si>
    <t>SMD</t>
  </si>
  <si>
    <t>Gold-plated, 1 A</t>
  </si>
  <si>
    <t>HRO PJ-332A-6A</t>
  </si>
  <si>
    <t>C2848643</t>
  </si>
  <si>
    <t>JLCPCB marks assembly difficulty "high"</t>
  </si>
  <si>
    <t>D701–D704</t>
  </si>
  <si>
    <t>ESD diode, bidirectional, one per jack leg (legs swing ≤ ±3.8 V)</t>
  </si>
  <si>
    <t>5 V</t>
  </si>
  <si>
    <t>SOD-523</t>
  </si>
  <si>
    <t>Vrwm 5 V, 12 pF</t>
  </si>
  <si>
    <t>GOODWORK LESD5D5.0CT1G</t>
  </si>
  <si>
    <t>C41399463</t>
  </si>
  <si>
    <t>D705</t>
  </si>
  <si>
    <t>LED, status (green), 3.3 V GPIO</t>
  </si>
  <si>
    <t>Green</t>
  </si>
  <si>
    <t>2.6–3.1 V</t>
  </si>
  <si>
    <t>Hubei KENTO KT-0805G</t>
  </si>
  <si>
    <t>C2297</t>
  </si>
  <si>
    <t>D706</t>
  </si>
  <si>
    <t>LED, fault (red), 3.3 V GPIO</t>
  </si>
  <si>
    <t>Red</t>
  </si>
  <si>
    <t>1.8–2.4 V</t>
  </si>
  <si>
    <t>Hubei KENTO KT-0603R</t>
  </si>
  <si>
    <t>C2286</t>
  </si>
  <si>
    <t>R701, R702</t>
  </si>
  <si>
    <t>LED series resistors (≈ 0.5–0.7 mA)</t>
  </si>
  <si>
    <t>J703</t>
  </si>
  <si>
    <t>Header, 3.3 V I²S test port (MCLK monitor output, BCLK, LRCLK, SDATA, GND, 3V3 ref); an external source drives only BCLK, LRCLK and SDATA</t>
  </si>
  <si>
    <t>1 × 6</t>
  </si>
  <si>
    <t>2.54 mm</t>
  </si>
  <si>
    <t>Generic 2.54 mm header</t>
  </si>
  <si>
    <t>R703</t>
  </si>
  <si>
    <t>DNF (fitted with J703): 1 kΩ in series with the J703 MCLK pin, which is a monitor output only (limits contention if an instrument drives it)</t>
  </si>
  <si>
    <t>TP701–TP729</t>
  </si>
  <si>
    <t>Test pads: rails (5V_SYS, 5V_ANA, 3V3M, 3V3D, 3V3A, 1V3, +3.78 V, −3.72 V), clocks incl. the shared family-clock node, OSC48_EN, OSC44_EN, I²S, EN/PG/FLT/FAULT nodes, 4 GND</t>
  </si>
  <si>
    <t>Pad</t>
  </si>
  <si>
    <t>MH, FID</t>
  </si>
  <si>
    <t>M3 mounting holes (4) and fiducials (3)</t>
  </si>
  <si>
    <t>PCB</t>
  </si>
  <si>
    <t>Bare board, 4 layers, ≤ 80 × 60 mm, 90 Ω USB pair</t>
  </si>
  <si>
    <t>JLCPCB</t>
  </si>
  <si>
    <t>Totals, fitted lines (line-cost columns include the bare-PCB row)</t>
  </si>
  <si>
    <t>Parts only (bare PCB excluded)</t>
  </si>
  <si>
    <t>Purchasing list — one line per LCSC number (fitted parts)</t>
  </si>
  <si>
    <t>Qty per board is summed from the Parts list by LCSC number. Line cost = qty for the run × sample-run-tier price, with a US$0.10 minimum per line for parts under US$0.05 (inputs on the Cost sheet); the Cost sheet takes the parts cost from this list. The bare PCBs are costed on the Cost sheet.</t>
  </si>
  <si>
    <t>Item</t>
  </si>
  <si>
    <t>Part type</t>
  </si>
  <si>
    <t>Minimum applies (&lt; US$0.05)</t>
  </si>
  <si>
    <t>Line cost US$, 5-board run (incl. minimum)</t>
  </si>
  <si>
    <t>Ext. per board US$ (100-board tier)</t>
  </si>
  <si>
    <t>Connector</t>
  </si>
  <si>
    <t>IC</t>
  </si>
  <si>
    <t>Oscillator</t>
  </si>
  <si>
    <t>Resistor</t>
  </si>
  <si>
    <t>Crystal</t>
  </si>
  <si>
    <t>N-MOSFET</t>
  </si>
  <si>
    <t>Q501; Q601–Q610</t>
  </si>
  <si>
    <t>Capacitor</t>
  </si>
  <si>
    <t>C413–C416; C507; C509; C510; C511</t>
  </si>
  <si>
    <t>U502; U504</t>
  </si>
  <si>
    <t>C203–C210; C212; C213–C216; C217–C219; C305–C309; C421; C422; C423–C426; C409–C412; C605; C606</t>
  </si>
  <si>
    <t>C102; C301; C302; C311; C312; C501; C502; C503; C504; C505; C506; C508; C601–C604</t>
  </si>
  <si>
    <t>Diode</t>
  </si>
  <si>
    <t>C417–C420, C427–C430; C401–C408</t>
  </si>
  <si>
    <t>R105; R303; R305; R421; R508; R509; R510; R511; R512; R513; R501, R515; R502; R503, R517; R504; R505; R506; R601–R604; R607, R608; R613; R614, R615; R616</t>
  </si>
  <si>
    <t>D401; D605, D606</t>
  </si>
  <si>
    <t>C211; C303, C304; C310</t>
  </si>
  <si>
    <t>R103, R104; R201; R202; R214; R306; R507; R611; R618</t>
  </si>
  <si>
    <t>LED</t>
  </si>
  <si>
    <t>Ferrite bead</t>
  </si>
  <si>
    <t>R101, R102; R434–R437; R518</t>
  </si>
  <si>
    <t>R106; R514; R619–R622; R612</t>
  </si>
  <si>
    <t>R203–R206; R209; R210, R211</t>
  </si>
  <si>
    <t>R212, R213; R207, R208; R701, R702</t>
  </si>
  <si>
    <t>R423–R426; R433</t>
  </si>
  <si>
    <t>R107; R605, R606; R617</t>
  </si>
  <si>
    <t>R431; R432; R516</t>
  </si>
  <si>
    <t>Total, all purchase lines</t>
  </si>
  <si>
    <t>Cost — 5-board sample run (JLCPCB Economic PCBA) and 100-unit reference</t>
  </si>
  <si>
    <t>Parts List v0.4 (24 Sep 2026, after the fifth review round) · parts at the LCSC tier matching the run quantity (100-board tier for the reference); OPA2210 at its JLCPCB part-page price · JLCPCB PCBA fee schedules · blue on yellow = input · every NTD figure uses the exchange rate in B5 · planning estimate until the JLCPCB quote after layout</t>
  </si>
  <si>
    <t>Inputs</t>
  </si>
  <si>
    <t>Note</t>
  </si>
  <si>
    <t>Exchange rate</t>
  </si>
  <si>
    <t>NTD per US$</t>
  </si>
  <si>
    <t>fixed for the cost gate; applies to every NTD figure</t>
  </si>
  <si>
    <t>Boards in the sample run</t>
  </si>
  <si>
    <t>boards</t>
  </si>
  <si>
    <t>JLCPCB Economic PCBA (one side, 2–50 boards)</t>
  </si>
  <si>
    <t>Boards in the reference build</t>
  </si>
  <si>
    <t>JLCPCB Standard PCBA — reference only, not the budget basis</t>
  </si>
  <si>
    <t>Minimum line cost per purchasing line</t>
  </si>
  <si>
    <t>US$</t>
  </si>
  <si>
    <t>applied to purchasing lines whose unit price is below B9 (attrition / minimum-quantity allowance)</t>
  </si>
  <si>
    <t>Minimum applies below this unit price</t>
  </si>
  <si>
    <t>Purchasing list: line = MAX(qty × price, B8) when 0 &lt; price &lt; B9</t>
  </si>
  <si>
    <t>Cost target per board, 5-board run</t>
  </si>
  <si>
    <t>Ceiling per board, 5-board run (hard order gate)</t>
  </si>
  <si>
    <t>Ceiling 1,700 NTD per board, set when the third oscillator was added; on 24 Sep 2026 the owner confirmed the budget is flexible as long as it does not surge; the actual JLCPCB quote from the real BOM/CPL files must pass the ceiling before ordering; FAIL above</t>
  </si>
  <si>
    <t>Board data (linked from the Parts list and Purchasing list)</t>
  </si>
  <si>
    <t>Source</t>
  </si>
  <si>
    <t>Fitted BOM lines</t>
  </si>
  <si>
    <t>Parts list: Fit = Yes (includes the bare-PCB row)</t>
  </si>
  <si>
    <t>Parts list: Qty where Fit = Yes and SMT joints per part &gt; 0</t>
  </si>
  <si>
    <t>Through-hole parts per board</t>
  </si>
  <si>
    <t>Parts list: through-hole joints per part &gt; 0 (4.4 mm jack J701)</t>
  </si>
  <si>
    <t>Extended part types (incl. through-hole)</t>
  </si>
  <si>
    <t>Parts list helper W: distinct LCSC numbers, class Extended — every fitted Extended type, incl. the through-hole jack</t>
  </si>
  <si>
    <t>Parts list helper W: distinct LCSC numbers, class Basic</t>
  </si>
  <si>
    <t>All part types</t>
  </si>
  <si>
    <t>Extended + Basic (feeder loading on the 100-unit reference)</t>
  </si>
  <si>
    <t>Parts list: Qty × SMT joints per part where Fit = Yes</t>
  </si>
  <si>
    <t>Parts list: Qty × through-hole joints per part where Fit = Yes</t>
  </si>
  <si>
    <t>Leadless parts per board (X-ray)</t>
  </si>
  <si>
    <t>Parts list: Leadless (X-ray) = Yes — CPLD, ES9018K2M, 2 × OPA1622, LM27762, three oscillators (80 / 24.576 / 22.5792 MHz)</t>
  </si>
  <si>
    <t>of which oscillators</t>
  </si>
  <si>
    <t>X201, X202 and X203 — counted conservatively (see levers)</t>
  </si>
  <si>
    <t>Extended through-hole part types</t>
  </si>
  <si>
    <t>J701 — Extended fee counted conservatively (see levers)</t>
  </si>
  <si>
    <t>Parts, 5-board run (incl. minimum)</t>
  </si>
  <si>
    <t>Purchasing list: line costs, incl. the US$0.10 minimum for parts under US$0.05</t>
  </si>
  <si>
    <t>of which minimum-spend uplift</t>
  </si>
  <si>
    <t>Purchasing list total minus the Parts list line costs before the minimum</t>
  </si>
  <si>
    <t>Bare 4-layer PCBs, 5-board run (estimate)</t>
  </si>
  <si>
    <t>Parts list: PCB row, qty × boards × unit price</t>
  </si>
  <si>
    <t>Parts per board, 100-board tier (bare PCB excluded)</t>
  </si>
  <si>
    <t>Parts list: Line cost 100-board run ÷ boards</t>
  </si>
  <si>
    <t>Bare PCB per board, 100-board tier (estimate)</t>
  </si>
  <si>
    <t>Parts list: PCB row</t>
  </si>
  <si>
    <t>PCBA fee (per order)</t>
  </si>
  <si>
    <t>Quantity</t>
  </si>
  <si>
    <t>Rate US$</t>
  </si>
  <si>
    <t>Fixed US$</t>
  </si>
  <si>
    <t>Setup</t>
  </si>
  <si>
    <t>fixed fee per order</t>
  </si>
  <si>
    <t>Stencil</t>
  </si>
  <si>
    <t>SMT joints</t>
  </si>
  <si>
    <t>X-ray (leadless parts)</t>
  </si>
  <si>
    <t>Through-hole joints</t>
  </si>
  <si>
    <t>Confirm Parts Placement</t>
  </si>
  <si>
    <t>PCBA fees, total per order</t>
  </si>
  <si>
    <t>5-board run total</t>
  </si>
  <si>
    <t>Purchasing list, incl. the minimum per line for parts under US$0.05</t>
  </si>
  <si>
    <t>JLCPCB PCBA fees</t>
  </si>
  <si>
    <t>Economic PCBA, itemised above</t>
  </si>
  <si>
    <t>cost-gate figure</t>
  </si>
  <si>
    <t>input B11 (set when the third oscillator was added; 24 Sep 2026: the owner confirmed the budget is flexible as long as it does not surge; the JLCPCB quote must pass it before ordering); FAIL above</t>
  </si>
  <si>
    <t>Margin to the target per board</t>
  </si>
  <si>
    <t>Margin to the ceiling per board</t>
  </si>
  <si>
    <t>Conservative fee items and levers — effect on the 5-board run</t>
  </si>
  <si>
    <t>Current US$</t>
  </si>
  <si>
    <t>Change US$ (run)</t>
  </si>
  <si>
    <t>Through-hole jack not charged the Extended fee</t>
  </si>
  <si>
    <t>JLCPCB does not say whether through-hole parts pay the Extended fee (JLCPCB help text, Notes sheet); counted above</t>
  </si>
  <si>
    <t>Oscillators not X-rayed (X201, X202, X203)</t>
  </si>
  <si>
    <t>Per-board total without the conservative items</t>
  </si>
  <si>
    <t>Cheaper 4.4 mm jack — current J701 cost</t>
  </si>
  <si>
    <t>Reduction needed to reach PASS (target)</t>
  </si>
  <si>
    <t>OPA2210 at the LCSC price (price risk, not counted)</t>
  </si>
  <si>
    <t>Setup (single side)</t>
  </si>
  <si>
    <t>Fixtures</t>
  </si>
  <si>
    <t>fixed fee, 100–199-board tier</t>
  </si>
  <si>
    <t>Feeder loading (all part types)</t>
  </si>
  <si>
    <t>Cost per board, 100-unit reference</t>
  </si>
  <si>
    <t>Parts (100-board tier)</t>
  </si>
  <si>
    <t>Parts list: fitted lines except the PCB row</t>
  </si>
  <si>
    <t>Bare PCB (estimate)</t>
  </si>
  <si>
    <t>PCBA fees per board</t>
  </si>
  <si>
    <t>Total per board, 100-unit reference</t>
  </si>
  <si>
    <t>reference line only</t>
  </si>
  <si>
    <t>Excludes shipping, import tax, the WCH-LinkE and CPLD programming cable, the enclosure, proof-of-concept hardware (Stage 2 board ≈ US$79 ≈ 2,500 NTD for two) and a possible JLCPCB assembly-fixture fee (X202 and OPA2210 part pages). Planning estimate: the gate becomes final with the JLCPCB quote from the real BOM / CPL files after layout.</t>
  </si>
  <si>
    <t>Notes &amp; open items</t>
  </si>
  <si>
    <t>Parts List v0.4 · Diego Yang · 24 Sep 2026 · companion to Design Specification v0.6 and Schematic Design Notes v0.5 · Parts List v0.3 is kept unchanged as history</t>
  </si>
  <si>
    <t>About this list</t>
  </si>
  <si>
    <t>Designators are grouped by block: 1xx USB-C input and sensing, 2xx USB audio bridge, 3xx DAC and its supplies, 4xx I/V converters and output legs, 5xx power domains, current limit and rails, 6xx protection and control, 7xx outputs, indicators, test and board.</t>
  </si>
  <si>
    <t>Fit: Yes = placed on every board; DNF = footprint only (U205 clock mux and R215, the fallback for the shared family-clock node; R703 and the J703 I²S test header); No part = copper only (J201 / J202 debug pads, TP701–TP729 test pads, 4 mounting holes and 3 fiducials).</t>
  </si>
  <si>
    <t>One part per line. Every fitted part has an LCSC number and a JLCPCB class verified on the JLCPCB part page or the JLCPCB basic-parts list — except X202 (24.576 MHz oscillator), whose class is not shown on its part page and is assumed Extended (conservative); the Purchasing list has one line per LCSC number and quantities summed from the Parts list.</t>
  </si>
  <si>
    <t>Legend: Quote = listing price at the tier matching the run quantity (LCSC; the OPA2210 line uses its JLCPCB part-page price, see its note); Estimate = planning price (bare PCB, DNF header); blue on yellow = input on the Cost sheet; Parts list columns V–W are helpers that count distinct part types by LCSC number.</t>
  </si>
  <si>
    <t>Change log</t>
  </si>
  <si>
    <t>24 Sep 2026 — Parts List v0.3 after the fourth review round (reviews R4-A, R4-B and R4-C of Spec v0.4 / Notes v0.3 / Parts List v0.2). Parts List v0.2 stays unchanged as history.</t>
  </si>
  <si>
    <t>24 Sep 2026 — Current limit: TI TPS2553DBVR (C55266) current-limited switch feeds the LM27762 (Default 0.157–0.213 A, High 0.393–0.498 A); RILIM from Basic values 100 kΩ + 47 kΩ, High limit via 2N7002 + 100 kΩ.</t>
  </si>
  <si>
    <t>24 Sep 2026 — Power domains: second ME6211C33M5G-N (U504, switched 3V3D domain with CE) added beside the always-on 3V3M ME6211; LP5907 EN and TPS2553 EN switch the audio domains.</t>
  </si>
  <si>
    <t>24 Sep 2026 — Clock: one 100 MHz oscillator YXC OT3225100MJBA4SL (C4353707) replaces the two audio oscillators (22.5792 / 24.576 MHz); the ES9018K2M runs in its asynchronous (DPLL) mode.</t>
  </si>
  <si>
    <t>24 Sep 2026 — I/V op-amp: TI OPA2197IDR (C139363, Vos ±0.25 mV max) replaces the OPA1678 (±2 mV max).</t>
  </si>
  <si>
    <t>24 Sep 2026 — 1.3 V DVDD: Microne ME6216A13M3G (C236662, fixed, ±1 %, ceramic-stable) replaces the AMS1117-ADJ, fed from the switched 3V3D domain.</t>
  </si>
  <si>
    <t>24 Sep 2026 — Ferrite: Murata BLM18PG121SN1D (C14709, Basic, 2 A, 50 mΩ) in the 5V_ANA path; Sunlord GZ1608D601TF (C1002, 200 mA / 450 mΩ) only on the DAC DVCC branch (≈ 14 mA).</t>
  </si>
  <si>
    <t>24 Sep 2026 — Protection: all-2N7002 fault latch (Q601–Q609, JSCJ 2N7002 C8545) with PGOOD hardware kill and ≈ 60 ms set-path blanking; the MMBT3904 / MMBT3906 transistors are gone.</t>
  </si>
  <si>
    <t>24 Sep 2026 — Basic value combinations instead of Extended values: 100 k + 47 k (TPS2553 RILIM, DC-detect filter), 1 k ∥ 5.1 k = 836 Ω (I/V feedback), 15 k + 1 k (VREF divider), 2 × 330 pF C0G (I/V feedback capacitor), 100 k + 100 k + 15 k / 10 k (LM27762 feedback).</t>
  </si>
  <si>
    <t>24 Sep 2026 — Other part changes: Basic 5032 8 MHz crystal YXC X50328MSB2GI (C115962); GOODWORK LESD5D5.0CT1G ESD diodes (C41399463); SHOU HAN TYPE-C 16-pin receptacle (C2765186); 0805 green status LED KT-0805G (C2297, Basic).</t>
  </si>
  <si>
    <t>24 Sep 2026 — Design context: headphone rails ±3.78 V (was ±4.5 V); output calibrated to 1.75 Vrms per leg; parts list rebuilt one part per line with an LCSC number and a verified class on every fitted line.</t>
  </si>
  <si>
    <t>24 Sep 2026 — Cost: 1,536 NTD per board (v0.2) → 1,540 NTD per board (US$242.95 = 7,702 NTD for 5 boards); gate WARNING, 10 NTD under the approved ceiling of 1,550 NTD at the time. Verified prices are mostly lower; new parts and three more Extended types are counted.</t>
  </si>
  <si>
    <t>24 Sep 2026 (amendment) — 24.576 MHz oscillator X202 added for the 48 kHz rate family (the DAC requires a 45:55 bit-clock duty cycle; generating both families from 100 MHz gave 40:60 at 352.8/384 kHz); owner accepted ≈ +62 NTD per board and raised the ceiling to 1,650 NTD per board.</t>
  </si>
  <si>
    <t>24 Sep 2026 (amendment) — Parts: X202 YXC OT322524.576MJBA4SL (C2831388; leadless, counted for X-ray; class assumed Extended), C218 100 nF decoupling (line "C217, C218") and R210 33 Ω series termination (C25105) added; X201 and U202 descriptions updated for the two-oscillator clock. Cost 1,540 → 1,602 NTD per board (US$252.74 = 8,012 NTD for 5 boards); gate WARNING, 48 NTD under the approved ceiling of 1,650 NTD.</t>
  </si>
  <si>
    <t>24 Sep 2026 (second amendment) — 22.5792 MHz oscillator X203 added; X202/X203 are selected by their enable pins in front of the CPLD PLL, so all 8 sample rates use exact clocks; owner raised the ceiling to 1,700 NTD per board.</t>
  </si>
  <si>
    <t>24 Sep 2026 (second amendment) — Parts: X203 SCTF SX2M22.5792M20F30TNN (C5452663; Extended per its JLCPCB part page; leadless, counted for X-ray), R211 33 Ω (line "R210, R211"), R212 100 kΩ enable pull-up and R213 100 kΩ enable pull-down (C25741), and C219 100 nF (line "C217–C219") added; X201, X202 and U202 descriptions updated. Cost 1,602 → 1,666 NTD per board (US$262.77 = 8,330 NTD for 5 boards); gate WARNING, 34 NTD under the approved ceiling of 1,700 NTD. Supersedes the cost in entry 14.</t>
  </si>
  <si>
    <t>24 Sep 2026 — v0.4 (fifth review round): MCLK oscillator 80 MHz (SCTF SX3M80.000B20F30TNN) replaces 100 MHz; I/V op-amp OPA2210IDR replaces OPA2197IDR; both family-oscillator enables 2.2 kΩ pull-downs, node pull-down R214, DNF mux U205/R215; overload latch parts Q610 and D606; VREF clamp D401 and C421 100 nF; R518 5.1 kΩ (−3.722 V rail); DNF R703 for the test-header MCLK monitor; 29 test pads; cost 1,666 → 1,647 NTD per board</t>
  </si>
  <si>
    <t>Pricing rules</t>
  </si>
  <si>
    <t>Price tier: the LCSC tier that matches the run quantity — 1+ tier for one-per-board ICs (5 pieces), 10+ tier for two-per-board parts (10 pieces). The Parts list column "Unit price US$ (sample-run tier)" already holds that price. Exception: the OPA2210 (U403, U404) is priced at its JLCPCB part page (10+ US$1.0035), because the PCBA order is charged at JLCPCB prices; LCSC lists US$2.67 at 10+.</t>
  </si>
  <si>
    <t>100-unit reference: JLCPCB Standard PCBA with parts at the 100-board tier — for information only, not the budget basis.</t>
  </si>
  <si>
    <t>Prices, classes and stock come from LCSC and JLCPCB pages indexed Jun–Sep 2026 (cached copies) — check again before ordering. The cost is a planning estimate; the gate becomes final with the JLCPCB quote from the real BOM / CPL files after layout.</t>
  </si>
  <si>
    <t>Stock to reserve (JLCPCB parts library, before ordering)</t>
  </si>
  <si>
    <t>CH32V307RCT6 (C2988083): LCSC stock 119.</t>
  </si>
  <si>
    <t>ME6216A13M3G (C236662): LCSC stock ≈ 410.</t>
  </si>
  <si>
    <t>4.4 mm jack G-Switch GT-3321667P-01 (C2762984): LCSC stock 721.</t>
  </si>
  <si>
    <t>ES9018K2M (C2688377): LCSC stock 724; AGRV2KQ32 (C18208899): LCSC stock 980.</t>
  </si>
  <si>
    <t>The 5-board run needs 5 of each (10 of the OPA2210; Purchasing list, Qty for 5-board run): enough today, but not deep — reserve or pre-order in the JLCPCB parts library (LCSC stock seen Jun–Sep 2026; OPA2210: JLCPCB available quantity).</t>
  </si>
  <si>
    <t>Fee assumptions (JLCPCB Economic PCBA)</t>
  </si>
  <si>
    <t>Setup US$8.18, stencil US$1.53, US$3.07 per Extended part type, US$0.0016 per SMT joint, X-ray US$0.82 per leadless part (11–50-part tier), through-hole US$0.0164 per joint + US$3.58 hand-soldering per order, Confirm Parts Placement US$0.45; one side only, 2–50 boards.</t>
  </si>
  <si>
    <t>JLCPCB help text: "Extended Components Fee: For Economic PCBA orders, an additional labor fee applies to extended components that require extra feeder setup or changeover on pick-and-place machines." Pricing table: "Feeder Loading $3.07 Extend"; "Hand-soldering Labor $3.58 per order".</t>
  </si>
  <si>
    <t>JLCPCB help text: "X-ray inspection is required for components such as BGA, QFN, and other leadless packages whose solder joints are not visible after SMT assembly"; fee "1–10 pcs: $1.64/pc, 11–50 pcs: $0.82/pc, 51–200 pcs: $0.49/pc". Third-party guide (PedalPCB forum): "Through-hole parts are always 'Extended' but do not incur a $3-per-part cost."</t>
  </si>
  <si>
    <t>Exclusions</t>
  </si>
  <si>
    <t>Not in the cost and outside the ceiling: shipping, import tax, the WCH-LinkE and CPLD programming cable, the enclosure, proof-of-concept hardware (Stage 2 board ≈ US$79 ≈ 2,500 NTD for two) and a possible JLCPCB assembly-fixture fee (fixture notes on the X202 and OPA2210 part pages).</t>
  </si>
  <si>
    <t>The DNF parts (U205, R215, R703 and the I²S test header J703) and the copper-only items (debug pads, test pads, mounting holes, fiducials) carry no part cost.</t>
  </si>
  <si>
    <t>Open items relevant to purchasing (Design Specification v0.6, risks and open items)</t>
  </si>
  <si>
    <t>Stock of CH32V307, ES9018K2M, AGRV2K, ME6216, the 4.4 mm jack and the OPA2210 (JLCPCB 76) is thin → reserve the parts (section above).</t>
  </si>
  <si>
    <t>JLCPCB assembly-fixture notes on the X202 and OPA2210 part pages → a possible fixture fee, not in the estimate (outside the ceiling) → confirm in the JLCPCB quote.</t>
  </si>
  <si>
    <t>X202 (24.576 MHz oscillator, C2831388): the JLCPCB class is not shown on its part page → assumed Extended (conservative; its US$3.07 Extended fee is counted) — confirm in the JLCPCB quote.</t>
  </si>
  <si>
    <t>Oscillator disable time and disabled-output state are not specified in the SCTF (X203) and YXC (X202) datasheets → measure on the Stage 2 proof-of-concept board (scope on the shared family-clock node); fallback: the DNF mux U205 + R215 (fit them, remove R210 and R211), already built on one of the two Stage 2 boards. Gate: Stage 2.</t>
  </si>
  <si>
    <t>Stage 2 digital proof-of-concept board, now mandatory (layout gate: clock handover, all 8 rates, USB currents in every state): ≈ US$79 ≈ 2,500 NTD for two assembled boards (parts ≈ US$18, fees ≈ US$53 incl. 9 Extended types and X-ray of 4–5 leadless parts per board, PCBs ≈ US$8) — outside the board budget; Stage 1 stays ≈ US$48–57.</t>
  </si>
  <si>
    <t>OPA2210 stability with the DAC pin capacitance and the 10 Ω + 660 pF feedback network → SPICE before layout (may change R427–R430 and C417–C420 / C427–C430).</t>
  </si>
  <si>
    <t>Own USB Audio Class 2.0 firmware and CPLD logic (top risk: host compatibility of high-speed isochronous streaming with feedback) — owner decision 24 Sep 2026 (unchanged):
Firmware: own UAC2 firmware on the CH32V307's high-speed USB port, built on WCH's register-level high-speed USB device examples; the CPLD logic is our own too.
Reference: the USBAudioToI2S project (Apache-2.0) is kept only as a known-good comparison and reference; keep its license notices if any code is copied. TinyUSB is an alternative only if its CH32V307 high-speed audio path proves reliable.
Descriptors: 0x80 (bus-powered) and 0xFA (500 mA); test VID/PID 1209:0001 during development only, a real PID before publishing; serial number from the chip's 96-bit unique ID.
Gate (two-stage proof of concept; layout starts only after it passes): Stage 1 on three boards — WCH CH32V307V-EVT-R1, an AGM 2K-LUT CPLD board and an ES9018K2M I²S-input DAC board (≈ US$48–57); Stage 2 digital proof-of-concept board, now mandatory (two boards: shared family-clock node on one, mux U205 fitted on the other). Pass criteria: enumeration and host volume/mute on Windows, macOS and Linux; all 8 rates bit-perfect; PLL relock after every family change with no runt pulses; CPLD timing met at 80 MHz (system clock) and at the PLL output (49.152 MHz); USB currents in every state (attached, not configured ≤ 100 mA; configured digital ≤ 256 mA; suspend ≤ 2.5 mA).</t>
  </si>
  <si>
    <t>Oscillator stock: X201 (80 MHz, C5179978) LCSC 2,503, X202 1,755 and X203 1,426 → enough for the 5-board run (5 of each); check again before ordering.</t>
  </si>
  <si>
    <t>Other risks tracked in the Design Specification v0.6 (MCU / CPLD / oscillator currents incl. the USB Default-mode estimated maximum of 0.469 A — 31 mA margin, measured on the Stage 2 board before layout; AGRV2K I/O state during configuration; CH32V307 SPI/I²S link clock; USB suspend; DAC offset and null point; OPA1622 swing at the rails; LM27762 charge-pump resistance and the momentary negative-rail dropout at the 4.40 V stress corner; unplug pop and transient; 4.4 mm leg short; rail-stuck energy in High mode) are measurements or design checks with no purchasing change today.</t>
  </si>
  <si>
    <t>Checks — formula-based self-checks</t>
  </si>
  <si>
    <t>Each check recomputes a figure from the lists or the Cost sheet and compares it with the expected value. Two-sided checks: OK when |Difference| ≤ Tolerance. One-sided gate checks: OK / WARNING when Difference ≤ 0. Expected counts and totals are the cost-model results of 24 Sep 2026 for Parts List v0.4 (fifth review round) — update them when the BOM changes.</t>
  </si>
  <si>
    <t>Check</t>
  </si>
  <si>
    <t>Expected</t>
  </si>
  <si>
    <t>Actual</t>
  </si>
  <si>
    <t>Difference</t>
  </si>
  <si>
    <t>Tolerance</t>
  </si>
  <si>
    <t>Result</t>
  </si>
  <si>
    <t>BOM lines in the Parts list</t>
  </si>
  <si>
    <t>Parts list rows 4–133</t>
  </si>
  <si>
    <t>Cost sheet (Fit = Yes, incl. the bare-PCB row)</t>
  </si>
  <si>
    <t>Cost sheet (Fit = Yes, SMT joints &gt; 0)</t>
  </si>
  <si>
    <t>Cost sheet (drives the US$3.07-per-type fee)</t>
  </si>
  <si>
    <t>Cost sheet</t>
  </si>
  <si>
    <t>Cost sheet (drives the X-ray fee)</t>
  </si>
  <si>
    <t>Cost sheet (drives the SMT joint fee)</t>
  </si>
  <si>
    <t>Cost sheet (drives the through-hole fee)</t>
  </si>
  <si>
    <t>Purchasing list rows 4–51, one per LCSC number</t>
  </si>
  <si>
    <t>Purchasing lines, class Extended = Extended part types</t>
  </si>
  <si>
    <t>Purchasing list vs Parts list helper count</t>
  </si>
  <si>
    <t>Purchasing lines, class Basic = Basic part types</t>
  </si>
  <si>
    <t>Purchasing qty per board = SMT-placed + through-hole parts</t>
  </si>
  <si>
    <t>every fitted part appears once in the Purchasing list</t>
  </si>
  <si>
    <t>Purchasing cost before the minimum = Parts list line costs (US$, 5-board run)</t>
  </si>
  <si>
    <t>purchasing prices and quantities match the Parts list</t>
  </si>
  <si>
    <t>Purchasing per-board cost = Cost sheet (US$, 100-board tier)</t>
  </si>
  <si>
    <t>Total, 5-board run: Cost sheet = purchasing lines + PCB + fee lines (US$)</t>
  </si>
  <si>
    <t>recomputed from the Purchasing list, the Parts list PCB row and the seven fee lines</t>
  </si>
  <si>
    <t>Summary total = Cost sheet total (NTD)</t>
  </si>
  <si>
    <t>Summary links to the Cost sheet</t>
  </si>
  <si>
    <t>Parts, 5-board run (US$)</t>
  </si>
  <si>
    <t>cost-model result 24 Sep 2026 (Parts List v0.4)</t>
  </si>
  <si>
    <t>Total, 5-board run (US$)</t>
  </si>
  <si>
    <t>Per-board total, 5-board run (NTD)</t>
  </si>
  <si>
    <t>cost-model result 24 Sep 2026 (Parts List v0.4; ±1 NTD)</t>
  </si>
  <si>
    <t>Block 4 parts per board: I/V converters and output legs (NTD)</t>
  </si>
  <si>
    <t>cost-model result (rounded; sample-run tier, before the minimum)</t>
  </si>
  <si>
    <t>100-unit reference per board (NTD)</t>
  </si>
  <si>
    <t>Per board without the conservative fee items (NTD)</t>
  </si>
  <si>
    <t>without the through-hole Extended fee and the X-ray of the three oscillators: ≈ 1,550 NTD per board (±1 NTD)</t>
  </si>
  <si>
    <t>Fitted parts without an LCSC number or with a class other than Basic / Extended</t>
  </si>
  <si>
    <t>every fitted part line (bare-PCB row excluded) has an LCSC number (C…) and JLCPCB class Basic or Extended — no "likely", no "Assign"</t>
  </si>
  <si>
    <t>Per-board total within the ceiling (NTD)</t>
  </si>
  <si>
    <t>Per-board total within the target (NTD)</t>
  </si>
  <si>
    <t>Cost-gate status (target 1,500 WARN / ceiling 1,700 FAIL)</t>
  </si>
  <si>
    <t>WARNING</t>
  </si>
  <si>
    <t>All checks</t>
  </si>
  <si>
    <t>External links</t>
  </si>
  <si>
    <t>Every formula in this workbook references only its own sheets (Summary, Parts list, Purchasing list, Cost, Notes &amp; open items, Checks); there are no external workbook links. Copying a sheet into another workbook can create links — repeat the file check after any copy.</t>
  </si>
  <si>
    <t>File check at save (Parts List v0.4, 24 Sep 2026): the saved .xlsx opened as a zip has no xl/externalLinks part and no externalReferences entry; none of its 1,187 cell formulas (nor any table-column or conditional-format formula) contains "["; recalculation shows no formula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</si>
</sst>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000;\-0.0000;&quot;—&quot;"/>
    <numFmt numFmtId="165" formatCode="#,##0;\-#,##0;&quot;—&quot;"/>
    <numFmt numFmtId="166" formatCode="#,##0.00;\-#,##0.00;&quot;—&quot;"/>
    <numFmt numFmtId="167" formatCode="0.0000"/>
    <numFmt numFmtId="168" formatCode="0.0"/>
    <numFmt numFmtId="169" formatCode="\+#,##0.0;\-#,##0.0;0"/>
    <numFmt numFmtId="170" formatCode="\+#,##0.00;\-#,##0.00;0.00"/>
    <numFmt numFmtId="171" formatCode="#,##0.0"/>
    <numFmt numFmtId="172" formatCode="\+#,##0;\-#,##0;0"/>
    <numFmt numFmtId="173" formatCode="#,##0.0000"/>
    <numFmt numFmtId="174" formatCode="#,##0;\-#,##0;0"/>
    <numFmt numFmtId="175" formatCode="0.###"/>
    <numFmt numFmtId="176" formatCode="0&quot;.&quot;"/>
  </numFmts>
  <fonts count="16">
    <font>
      <sz val="11"/>
      <color theme="1"/>
      <name val="Calibri"/>
      <family val="2"/>
      <scheme val="minor"/>
    </font>
    <font>
      <sz val="10"/>
      <color theme="1"/>
      <name val="Calibri"/>
    </font>
    <font>
      <b/>
      <sz val="10"/>
      <color theme="1"/>
      <name val="Calibri"/>
    </font>
    <font>
      <b/>
      <sz val="14"/>
      <color rgb="FF1F4E5F"/>
      <name val="Calibri"/>
    </font>
    <font>
      <sz val="10"/>
      <color rgb="FF6B7780"/>
      <name val="Calibri"/>
    </font>
    <font>
      <b/>
      <sz val="10"/>
      <color rgb="FFFFFFFF"/>
      <name val="Calibri"/>
    </font>
    <font>
      <sz val="10"/>
      <color rgb="FF8A969D"/>
      <name val="Calibri"/>
    </font>
    <font>
      <sz val="9"/>
      <color rgb="FF8A969D"/>
      <name val="Calibri"/>
    </font>
    <font>
      <b/>
      <sz val="10"/>
      <color rgb="FF1A1A1A"/>
      <name val="Calibri"/>
    </font>
    <font>
      <i/>
      <sz val="10"/>
      <color theme="1"/>
      <name val="Calibri"/>
    </font>
    <font>
      <i/>
      <sz val="10"/>
      <color rgb="FF6B7780"/>
      <name val="Calibri"/>
    </font>
    <font>
      <sz val="10"/>
      <color rgb="FF0000FF"/>
      <name val="Calibri"/>
    </font>
    <font>
      <b/>
      <sz val="16"/>
      <color rgb="FF1F4E5F"/>
      <name val="Calibri"/>
    </font>
    <font>
      <b/>
      <sz val="12"/>
      <color rgb="FF1F4E5F"/>
      <name val="Calibri"/>
    </font>
    <font>
      <b/>
      <sz val="10"/>
      <color rgb="FF6B7780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5F"/>
        <bgColor indexed="64"/>
      </patternFill>
    </fill>
    <fill>
      <patternFill patternType="solid">
        <fgColor rgb="FFF8ECDF"/>
        <bgColor indexed="64"/>
      </patternFill>
    </fill>
    <fill>
      <patternFill patternType="solid">
        <fgColor rgb="FFD5E4E9"/>
        <bgColor indexed="64"/>
      </patternFill>
    </fill>
    <fill>
      <patternFill patternType="solid">
        <fgColor rgb="FFEAF1F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4" fillId="0" borderId="0" xfId="0" applyFont="1" applyAlignment="1">
      <alignment vertical="top" wrapText="1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1" fontId="1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center" vertical="top" wrapText="1"/>
    </xf>
    <xf numFmtId="166" fontId="1" fillId="0" borderId="0" xfId="0" applyNumberFormat="1" applyFont="1" applyAlignment="1">
      <alignment vertical="top" wrapText="1"/>
    </xf>
    <xf numFmtId="0" fontId="7" fillId="0" borderId="0" xfId="0" applyFont="1" applyAlignment="1">
      <alignment vertical="top" wrapText="1"/>
    </xf>
    <xf numFmtId="1" fontId="7" fillId="0" borderId="0" xfId="0" applyNumberFormat="1" applyFont="1" applyAlignment="1">
      <alignment horizontal="center" vertical="top" wrapText="1"/>
    </xf>
    <xf numFmtId="0" fontId="2" fillId="3" borderId="0" xfId="0" applyFont="1" applyFill="1"/>
    <xf numFmtId="3" fontId="2" fillId="3" borderId="0" xfId="0" applyNumberFormat="1" applyFont="1" applyFill="1" applyAlignment="1">
      <alignment horizontal="center"/>
    </xf>
    <xf numFmtId="4" fontId="2" fillId="3" borderId="0" xfId="0" applyNumberFormat="1" applyFont="1" applyFill="1"/>
    <xf numFmtId="49" fontId="6" fillId="0" borderId="0" xfId="0" applyNumberFormat="1" applyFont="1" applyAlignment="1">
      <alignment vertical="top" wrapText="1"/>
    </xf>
    <xf numFmtId="49" fontId="8" fillId="0" borderId="0" xfId="0" applyNumberFormat="1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3" fontId="1" fillId="0" borderId="0" xfId="0" applyNumberFormat="1" applyFont="1" applyAlignment="1">
      <alignment horizontal="center" vertical="top" wrapText="1"/>
    </xf>
    <xf numFmtId="167" fontId="1" fillId="0" borderId="0" xfId="0" applyNumberFormat="1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4" fontId="1" fillId="0" borderId="0" xfId="0" applyNumberFormat="1" applyFont="1" applyAlignment="1">
      <alignment vertical="top" wrapText="1"/>
    </xf>
    <xf numFmtId="1" fontId="2" fillId="3" borderId="0" xfId="0" applyNumberFormat="1" applyFont="1" applyFill="1" applyAlignment="1">
      <alignment horizontal="center"/>
    </xf>
    <xf numFmtId="167" fontId="2" fillId="3" borderId="0" xfId="0" applyNumberFormat="1" applyFont="1" applyFill="1"/>
    <xf numFmtId="0" fontId="5" fillId="2" borderId="0" xfId="0" applyFont="1" applyFill="1" applyAlignment="1">
      <alignment horizontal="left"/>
    </xf>
    <xf numFmtId="0" fontId="1" fillId="5" borderId="0" xfId="0" applyFont="1" applyFill="1" applyAlignment="1">
      <alignment vertical="top"/>
    </xf>
    <xf numFmtId="3" fontId="1" fillId="5" borderId="0" xfId="0" applyNumberFormat="1" applyFont="1" applyFill="1" applyAlignment="1">
      <alignment vertical="top"/>
    </xf>
    <xf numFmtId="3" fontId="1" fillId="0" borderId="0" xfId="0" applyNumberFormat="1" applyFont="1" applyAlignment="1">
      <alignment vertical="top"/>
    </xf>
    <xf numFmtId="0" fontId="5" fillId="2" borderId="0" xfId="0" applyFont="1" applyFill="1" applyAlignment="1">
      <alignment vertical="top"/>
    </xf>
    <xf numFmtId="0" fontId="5" fillId="2" borderId="0" xfId="0" applyFont="1" applyFill="1" applyAlignment="1">
      <alignment horizontal="left" vertical="top"/>
    </xf>
    <xf numFmtId="0" fontId="9" fillId="5" borderId="0" xfId="0" applyFont="1" applyFill="1" applyAlignment="1">
      <alignment vertical="top"/>
    </xf>
    <xf numFmtId="0" fontId="9" fillId="0" borderId="0" xfId="0" applyFont="1" applyAlignment="1">
      <alignment vertical="top"/>
    </xf>
    <xf numFmtId="4" fontId="1" fillId="5" borderId="0" xfId="0" applyNumberFormat="1" applyFont="1" applyFill="1" applyAlignment="1">
      <alignment vertical="top"/>
    </xf>
    <xf numFmtId="4" fontId="1" fillId="0" borderId="0" xfId="0" applyNumberFormat="1" applyFont="1" applyAlignment="1">
      <alignment vertical="top"/>
    </xf>
    <xf numFmtId="0" fontId="8" fillId="4" borderId="0" xfId="0" applyFont="1" applyFill="1" applyAlignment="1">
      <alignment vertical="top"/>
    </xf>
    <xf numFmtId="0" fontId="8" fillId="4" borderId="0" xfId="0" applyFont="1" applyFill="1" applyAlignment="1">
      <alignment horizontal="right" vertical="top"/>
    </xf>
    <xf numFmtId="167" fontId="1" fillId="0" borderId="0" xfId="0" applyNumberFormat="1" applyFont="1" applyAlignment="1">
      <alignment vertical="top"/>
    </xf>
    <xf numFmtId="167" fontId="1" fillId="5" borderId="0" xfId="0" applyNumberFormat="1" applyFont="1" applyFill="1" applyAlignment="1">
      <alignment vertical="top"/>
    </xf>
    <xf numFmtId="0" fontId="2" fillId="3" borderId="0" xfId="0" applyFont="1" applyFill="1" applyAlignment="1">
      <alignment vertical="top"/>
    </xf>
    <xf numFmtId="3" fontId="2" fillId="3" borderId="0" xfId="0" applyNumberFormat="1" applyFont="1" applyFill="1" applyAlignment="1">
      <alignment vertical="top"/>
    </xf>
    <xf numFmtId="167" fontId="2" fillId="3" borderId="0" xfId="0" applyNumberFormat="1" applyFont="1" applyFill="1" applyAlignment="1">
      <alignment vertical="top"/>
    </xf>
    <xf numFmtId="4" fontId="2" fillId="3" borderId="0" xfId="0" applyNumberFormat="1" applyFont="1" applyFill="1" applyAlignment="1">
      <alignment vertical="top"/>
    </xf>
    <xf numFmtId="169" fontId="1" fillId="0" borderId="0" xfId="0" applyNumberFormat="1" applyFont="1" applyAlignment="1">
      <alignment vertical="top"/>
    </xf>
    <xf numFmtId="169" fontId="1" fillId="5" borderId="0" xfId="0" applyNumberFormat="1" applyFont="1" applyFill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170" fontId="1" fillId="0" borderId="0" xfId="0" applyNumberFormat="1" applyFont="1" applyAlignment="1">
      <alignment vertical="top"/>
    </xf>
    <xf numFmtId="170" fontId="1" fillId="5" borderId="0" xfId="0" applyNumberFormat="1" applyFont="1" applyFill="1" applyAlignment="1">
      <alignment vertical="top"/>
    </xf>
    <xf numFmtId="171" fontId="1" fillId="0" borderId="0" xfId="0" applyNumberFormat="1" applyFont="1" applyAlignment="1">
      <alignment vertical="top"/>
    </xf>
    <xf numFmtId="0" fontId="1" fillId="5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168" fontId="11" fillId="6" borderId="0" xfId="0" applyNumberFormat="1" applyFont="1" applyFill="1" applyAlignment="1">
      <alignment vertical="top"/>
    </xf>
    <xf numFmtId="3" fontId="11" fillId="6" borderId="0" xfId="0" applyNumberFormat="1" applyFont="1" applyFill="1" applyAlignment="1">
      <alignment vertical="top"/>
    </xf>
    <xf numFmtId="2" fontId="11" fillId="6" borderId="0" xfId="0" applyNumberFormat="1" applyFont="1" applyFill="1" applyAlignment="1">
      <alignment vertical="top"/>
    </xf>
    <xf numFmtId="4" fontId="11" fillId="6" borderId="0" xfId="0" applyNumberFormat="1" applyFont="1" applyFill="1" applyAlignment="1">
      <alignment vertical="top"/>
    </xf>
    <xf numFmtId="167" fontId="11" fillId="6" borderId="0" xfId="0" applyNumberFormat="1" applyFont="1" applyFill="1" applyAlignment="1">
      <alignment vertical="top"/>
    </xf>
    <xf numFmtId="0" fontId="13" fillId="0" borderId="0" xfId="0" applyFont="1"/>
    <xf numFmtId="0" fontId="5" fillId="2" borderId="0" xfId="0" applyFont="1" applyFill="1" applyAlignment="1">
      <alignment horizontal="right"/>
    </xf>
    <xf numFmtId="0" fontId="4" fillId="0" borderId="0" xfId="0" applyFont="1"/>
    <xf numFmtId="0" fontId="14" fillId="2" borderId="0" xfId="0" applyFont="1" applyFill="1"/>
    <xf numFmtId="3" fontId="2" fillId="0" borderId="0" xfId="0" applyNumberFormat="1" applyFont="1" applyAlignment="1">
      <alignment vertical="top" wrapText="1"/>
    </xf>
    <xf numFmtId="3" fontId="2" fillId="5" borderId="0" xfId="0" applyNumberFormat="1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3" fontId="2" fillId="3" borderId="0" xfId="0" applyNumberFormat="1" applyFont="1" applyFill="1" applyAlignment="1">
      <alignment vertical="top" wrapText="1"/>
    </xf>
    <xf numFmtId="0" fontId="14" fillId="3" borderId="0" xfId="0" applyFont="1" applyFill="1" applyAlignment="1">
      <alignment vertical="top" wrapText="1"/>
    </xf>
    <xf numFmtId="172" fontId="2" fillId="5" borderId="0" xfId="0" applyNumberFormat="1" applyFont="1" applyFill="1" applyAlignment="1">
      <alignment vertical="top" wrapText="1"/>
    </xf>
    <xf numFmtId="172" fontId="2" fillId="0" borderId="0" xfId="0" applyNumberFormat="1" applyFont="1" applyAlignment="1">
      <alignment vertical="top" wrapText="1"/>
    </xf>
    <xf numFmtId="0" fontId="2" fillId="5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3" fillId="0" borderId="0" xfId="0" applyFont="1" applyAlignment="1">
      <alignment vertical="top" wrapText="1"/>
    </xf>
    <xf numFmtId="0" fontId="5" fillId="2" borderId="0" xfId="0" applyFont="1" applyFill="1" applyAlignment="1">
      <alignment horizontal="right" vertical="top" wrapText="1"/>
    </xf>
    <xf numFmtId="0" fontId="14" fillId="2" borderId="0" xfId="0" applyFont="1" applyFill="1" applyAlignment="1">
      <alignment vertical="top" wrapText="1"/>
    </xf>
    <xf numFmtId="4" fontId="1" fillId="5" borderId="0" xfId="0" applyNumberFormat="1" applyFont="1" applyFill="1" applyAlignment="1">
      <alignment vertical="top" wrapText="1"/>
    </xf>
    <xf numFmtId="3" fontId="1" fillId="5" borderId="0" xfId="0" applyNumberFormat="1" applyFont="1" applyFill="1" applyAlignment="1">
      <alignment vertical="top" wrapText="1"/>
    </xf>
    <xf numFmtId="4" fontId="2" fillId="3" borderId="0" xfId="0" applyNumberFormat="1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14" fillId="5" borderId="0" xfId="0" applyFont="1" applyFill="1" applyAlignment="1">
      <alignment vertical="top" wrapText="1"/>
    </xf>
    <xf numFmtId="173" fontId="1" fillId="5" borderId="0" xfId="0" applyNumberFormat="1" applyFont="1" applyFill="1" applyAlignment="1">
      <alignment vertical="top" wrapText="1"/>
    </xf>
    <xf numFmtId="171" fontId="1" fillId="5" borderId="0" xfId="0" applyNumberFormat="1" applyFont="1" applyFill="1" applyAlignment="1">
      <alignment vertical="top" wrapText="1"/>
    </xf>
    <xf numFmtId="174" fontId="1" fillId="5" borderId="0" xfId="0" applyNumberFormat="1" applyFont="1" applyFill="1" applyAlignment="1">
      <alignment vertical="top" wrapText="1"/>
    </xf>
    <xf numFmtId="174" fontId="1" fillId="0" borderId="0" xfId="0" applyNumberFormat="1" applyFont="1" applyAlignment="1">
      <alignment vertical="top" wrapText="1"/>
    </xf>
    <xf numFmtId="0" fontId="1" fillId="5" borderId="0" xfId="0" applyFont="1" applyFill="1" applyAlignment="1">
      <alignment horizontal="center" vertical="top" wrapText="1"/>
    </xf>
    <xf numFmtId="175" fontId="1" fillId="0" borderId="0" xfId="0" applyNumberFormat="1" applyFont="1" applyAlignment="1">
      <alignment vertical="top" wrapText="1"/>
    </xf>
    <xf numFmtId="175" fontId="1" fillId="5" borderId="0" xfId="0" applyNumberFormat="1" applyFont="1" applyFill="1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17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2" fillId="0" borderId="0" xfId="0" applyFont="1" applyAlignment="1">
      <alignment vertical="center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176" fontId="15" fillId="2" borderId="0" xfId="0" applyNumberFormat="1" applyFont="1" applyFill="1" applyAlignment="1">
      <alignment horizontal="right" vertical="top"/>
    </xf>
    <xf numFmtId="0" fontId="15" fillId="2" borderId="0" xfId="0" applyFont="1" applyFill="1" applyAlignment="1">
      <alignment vertical="top" wrapText="1"/>
    </xf>
    <xf numFmtId="0" fontId="1" fillId="0" borderId="0" xfId="0" applyFont="1" applyAlignment="1"/>
    <xf numFmtId="0" fontId="4" fillId="0" borderId="0" xfId="0" applyFont="1" applyAlignment="1"/>
    <xf numFmtId="0" fontId="15" fillId="2" borderId="0" xfId="0" applyFont="1" applyFill="1" applyAlignment="1"/>
  </cellXfs>
  <cellStyles count="1">
    <cellStyle name="Normal" xfId="0" builtinId="0"/>
  </cellStyles>
  <dxfs count="57">
    <dxf>
      <font>
        <b/>
        <i val="0"/>
        <color rgb="FF006100"/>
      </font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C0000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0.00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0.00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0.00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5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8A969D"/>
        <name val="Calibri"/>
        <scheme val="none"/>
      </font>
      <numFmt numFmtId="1" formatCode="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8A969D"/>
        <name val="Calibri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6" formatCode="#,##0.00;\-#,##0.00;&quot;—&quot;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6" formatCode="#,##0.00;\-#,##0.00;&quot;—&quot;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#,##0;\-#,##0;&quot;—&quot;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000;\-0.0000;&quot;—&quot;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000;\-0.0000;&quot;—&quot;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8A969D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5F"/>
        </patternFill>
      </fill>
      <alignment horizontal="center" vertical="center" textRotation="0" wrapText="1" indent="0" justifyLastLine="0" shrinkToFit="0" readingOrder="0"/>
    </dxf>
    <dxf>
      <font>
        <b/>
        <i val="0"/>
        <color rgb="FFC00000"/>
      </font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E42852-FC16-4B97-AAAC-4F7782AB050F}" name="PartsList" displayName="PartsList" ref="A3:W133" totalsRowShown="0" headerRowDxfId="50" dataDxfId="49">
  <autoFilter ref="A3:W133" xr:uid="{1AE42852-FC16-4B97-AAAC-4F7782AB050F}"/>
  <tableColumns count="23">
    <tableColumn id="1" xr3:uid="{8FF62EAD-A75D-41BB-B216-1ABD8EFF39B8}" name="Block" dataDxfId="48"/>
    <tableColumn id="2" xr3:uid="{1DE90572-78FF-4272-95C5-9D3116C60840}" name="Designators" dataDxfId="47"/>
    <tableColumn id="3" xr3:uid="{102668DB-26C5-49BB-90B8-3AE2F46697B3}" name="Qty per board" dataDxfId="46"/>
    <tableColumn id="4" xr3:uid="{AA49B0BE-3172-4872-BD21-E9F5F8D6CD18}" name="Description" dataDxfId="45"/>
    <tableColumn id="5" xr3:uid="{06018167-BA92-43C1-BFCC-94392E316138}" name="Value" dataDxfId="44"/>
    <tableColumn id="6" xr3:uid="{95B5CC90-628E-4F23-94CF-A8454A1BF0A9}" name="Package" dataDxfId="43"/>
    <tableColumn id="7" xr3:uid="{8F77B72B-5C8E-40BA-BA9D-9B807ED4DEAD}" name="Rating / tolerance" dataDxfId="42"/>
    <tableColumn id="8" xr3:uid="{00D3DFE9-572F-4183-892B-5A0FE5EB51CC}" name="Part number (MPN)" dataDxfId="41"/>
    <tableColumn id="9" xr3:uid="{B22B22BE-5FAF-43FC-A52A-3EF1F420B0FA}" name="LCSC no." dataDxfId="40"/>
    <tableColumn id="10" xr3:uid="{6736D4C2-1119-44B5-B71A-FC5FDA43D4C1}" name="JLCPCB library type" dataDxfId="39"/>
    <tableColumn id="11" xr3:uid="{75777ADE-AA53-4E12-A13C-41F7EB1A9CC4}" name="Fit" dataDxfId="38"/>
    <tableColumn id="12" xr3:uid="{94FDCEE1-8F36-4E52-A88E-5FA121736D8C}" name="Leadless (X-ray)" dataDxfId="37"/>
    <tableColumn id="13" xr3:uid="{3383D54A-926C-4E3C-9C95-0A8914640580}" name="SMT joints per part" dataDxfId="36"/>
    <tableColumn id="14" xr3:uid="{C830FD07-E2E8-4C5A-9562-ED67962E3DC8}" name="Through-hole joints per part" dataDxfId="35"/>
    <tableColumn id="15" xr3:uid="{703FB3D3-D74C-427A-9909-4DAAF7686354}" name="Unit price US$ (sample-run tier)" dataDxfId="34"/>
    <tableColumn id="16" xr3:uid="{06C1DA18-3CDB-4392-B293-E77F98B8A229}" name="Unit price US$ (100-board tier)" dataDxfId="33"/>
    <tableColumn id="17" xr3:uid="{5785C570-7848-4AB1-9F5B-CC54D1180864}" name="Price basis" dataDxfId="32"/>
    <tableColumn id="18" xr3:uid="{51671083-412B-49F3-B930-069DF2EC359A}" name="Qty for 5-board run" dataDxfId="31">
      <calculatedColumnFormula>IF($K4="Yes",$C4*Cost!$B$6,0)</calculatedColumnFormula>
    </tableColumn>
    <tableColumn id="19" xr3:uid="{F73FE1D4-A3A0-435B-84FC-0DB1B439D1FF}" name="Line cost US$, 5-board run (before the minimum)" dataDxfId="30">
      <calculatedColumnFormula>IF($K4="Yes",$C4*Cost!$B$6*$O4,0)</calculatedColumnFormula>
    </tableColumn>
    <tableColumn id="20" xr3:uid="{BCC96465-0227-4F47-90E6-0707A1052174}" name="Line cost US$, 100-board run (reference)" dataDxfId="29">
      <calculatedColumnFormula>IF($K4="Yes",$C4*Cost!$B$7*$P4,0)</calculatedColumnFormula>
    </tableColumn>
    <tableColumn id="21" xr3:uid="{D79CC53E-3FD7-4412-ADEA-08D5AFCAC44B}" name="Notes" dataDxfId="28"/>
    <tableColumn id="22" xr3:uid="{26745A3A-4B24-47B1-8B16-AC28A1EB30D4}" name="Part-type key (helper)" dataDxfId="27">
      <calculatedColumnFormula>IF(AND($K4="Yes",$B4&lt;&gt;"PCB",LEFT($I4,1)="C"),$I4,"")</calculatedColumnFormula>
    </tableColumn>
    <tableColumn id="23" xr3:uid="{26F32FA1-A0DA-4FDB-B946-108B8726BC22}" name="New part type (helper)" dataDxfId="26">
      <calculatedColumnFormula>IF($V4="",0,IF(COUNTIF($V$4:$V4,$V4)=1,1,0))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A79712-C504-4FC3-922F-2B3DB88A671B}" name="PurchasingList" displayName="PurchasingList" ref="A3:Q51" totalsRowShown="0" headerRowDxfId="25" dataDxfId="24">
  <autoFilter ref="A3:Q51" xr:uid="{44A79712-C504-4FC3-922F-2B3DB88A671B}"/>
  <tableColumns count="17">
    <tableColumn id="1" xr3:uid="{C131D223-E8D9-493E-B965-027E46F4BFDA}" name="Item" dataDxfId="23"/>
    <tableColumn id="2" xr3:uid="{1C12B944-8178-4EA1-905C-6B265C835177}" name="Part type" dataDxfId="22"/>
    <tableColumn id="3" xr3:uid="{C6558870-05F6-4908-957F-3B0A4D0A1F59}" name="Part number (MPN)" dataDxfId="21"/>
    <tableColumn id="4" xr3:uid="{19C4D5AF-AB61-43CF-8C6F-1ABDD84839BC}" name="Value" dataDxfId="20"/>
    <tableColumn id="5" xr3:uid="{BB40E91D-38B8-49EB-B6A9-251B1098A5BB}" name="Package" dataDxfId="19"/>
    <tableColumn id="6" xr3:uid="{F177D209-F56F-4A3F-B294-117538C2A7F1}" name="Rating / tolerance" dataDxfId="18"/>
    <tableColumn id="7" xr3:uid="{2A760E9C-F26F-4423-BBDB-3DF3E2A027BF}" name="LCSC no." dataDxfId="17"/>
    <tableColumn id="8" xr3:uid="{D75DA871-B809-4DB8-9FDE-59CE55C9BC22}" name="JLCPCB library type" dataDxfId="16"/>
    <tableColumn id="9" xr3:uid="{01421C7F-C910-4F01-8B15-A4844BF98779}" name="Designators" dataDxfId="15"/>
    <tableColumn id="10" xr3:uid="{93928AB9-5C38-496A-A412-40EFA77B3D17}" name="Qty per board" dataDxfId="14">
      <calculatedColumnFormula>SUMIFS('Parts list'!$C$4:$C$133,'Parts list'!$I$4:$I$133,$G4,'Parts list'!$K$4:$K$133,"Yes")</calculatedColumnFormula>
    </tableColumn>
    <tableColumn id="11" xr3:uid="{A4B9F6B0-0C19-4534-8E04-911D4401B70A}" name="Qty for 5-board run" dataDxfId="13">
      <calculatedColumnFormula>$J4*Cost!$B$6</calculatedColumnFormula>
    </tableColumn>
    <tableColumn id="12" xr3:uid="{72620B78-DA2C-457C-B341-8BC74C30632D}" name="Unit price US$ (sample-run tier)" dataDxfId="12"/>
    <tableColumn id="13" xr3:uid="{BA8332A0-285A-45E0-93DE-019F988B3D27}" name="Unit price US$ (100-board tier)" dataDxfId="11"/>
    <tableColumn id="14" xr3:uid="{7986440E-D300-449A-BA59-59C078D7B80D}" name="Leadless (X-ray)" dataDxfId="10"/>
    <tableColumn id="15" xr3:uid="{1C4B8037-6178-4408-9E44-1D3AF0DF05B0}" name="Minimum applies (&lt; US$0.05)" dataDxfId="9">
      <calculatedColumnFormula>IF(AND($L4&gt;0,$L4&lt;Cost!$B$9),"Yes","")</calculatedColumnFormula>
    </tableColumn>
    <tableColumn id="16" xr3:uid="{567C307F-4AC0-4021-9A3F-9182D6D41DCA}" name="Line cost US$, 5-board run (incl. minimum)" dataDxfId="8">
      <calculatedColumnFormula>IF($O4="Yes",MAX($K4*$L4,Cost!$B$8),$K4*$L4)</calculatedColumnFormula>
    </tableColumn>
    <tableColumn id="17" xr3:uid="{8CE54EFB-3E7D-4DBB-86CD-D960264F8671}" name="Ext. per board US$ (100-board tier)" dataDxfId="7">
      <calculatedColumnFormula>$J4*$M4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47.42578125" customWidth="1"/>
    <col min="2" max="3" width="14.42578125" customWidth="1"/>
    <col min="4" max="4" width="79.42578125" customWidth="1"/>
  </cols>
  <sheetData>
    <row r="1" spans="1:4" ht="24" customHeight="1">
      <c r="A1" s="95" t="s">
        <v>0</v>
      </c>
      <c r="B1" s="102"/>
      <c r="C1" s="102"/>
      <c r="D1" s="102"/>
    </row>
    <row r="2" spans="1:4" ht="27" customHeight="1">
      <c r="A2" s="96" t="s">
        <v>1</v>
      </c>
      <c r="B2" s="93"/>
      <c r="C2" s="93"/>
      <c r="D2" s="93"/>
    </row>
    <row r="3" spans="1:4">
      <c r="A3" s="1"/>
      <c r="B3" s="1"/>
      <c r="C3" s="1"/>
      <c r="D3" s="1"/>
    </row>
    <row r="4" spans="1:4">
      <c r="A4" s="63" t="s">
        <v>2</v>
      </c>
      <c r="B4" s="1"/>
      <c r="C4" s="1"/>
      <c r="D4" s="1"/>
    </row>
    <row r="5" spans="1:4">
      <c r="A5" s="3" t="s">
        <v>3</v>
      </c>
      <c r="B5" s="64" t="s">
        <v>4</v>
      </c>
      <c r="C5" s="64" t="s">
        <v>5</v>
      </c>
      <c r="D5" s="3" t="s">
        <v>6</v>
      </c>
    </row>
    <row r="6" spans="1:4">
      <c r="A6" s="8" t="s">
        <v>7</v>
      </c>
      <c r="B6" s="67">
        <f>Cost!F43</f>
        <v>4401.2279999999973</v>
      </c>
      <c r="C6" s="8" t="s">
        <v>8</v>
      </c>
      <c r="D6" s="2" t="str">
        <f>"US$ "&amp;TEXT(Cost!E43,"#,##0.00")&amp;"; includes the US$"&amp;TEXT(Cost!B8,"0.00")&amp;" minimum per purchasing line for parts under US$"&amp;TEXT(Cost!B9,"0.00")</f>
        <v>US$ 138.84; includes the US$0.10 minimum per purchasing line for parts under US$0.05</v>
      </c>
    </row>
    <row r="7" spans="1:4">
      <c r="A7" s="53" t="s">
        <v>9</v>
      </c>
      <c r="B7" s="68">
        <f>Cost!F44</f>
        <v>317</v>
      </c>
      <c r="C7" s="53" t="s">
        <v>8</v>
      </c>
      <c r="D7" s="69" t="str">
        <f>"US$ "&amp;TEXT(Cost!E44,"#,##0.00")&amp;" for "&amp;TEXT(Cost!B6,"0")&amp;" boards"</f>
        <v>US$ 10.00 for 5 boards</v>
      </c>
    </row>
    <row r="8" spans="1:4">
      <c r="A8" s="8" t="s">
        <v>10</v>
      </c>
      <c r="B8" s="67">
        <f>Cost!F45</f>
        <v>3517.5587999999993</v>
      </c>
      <c r="C8" s="8" t="s">
        <v>8</v>
      </c>
      <c r="D8" s="2" t="str">
        <f>"US$ "&amp;TEXT(Cost!E45,"#,##0.00")&amp;"; itemised on the Cost sheet"</f>
        <v>US$ 110.96; itemised on the Cost sheet</v>
      </c>
    </row>
    <row r="9" spans="1:4">
      <c r="A9" s="56" t="s">
        <v>11</v>
      </c>
      <c r="B9" s="70">
        <f>Cost!F46</f>
        <v>8235.786799999998</v>
      </c>
      <c r="C9" s="56" t="s">
        <v>8</v>
      </c>
      <c r="D9" s="71" t="str">
        <f>"US$ "&amp;TEXT(Cost!E46,"#,##0.00")&amp;" at "&amp;TEXT(Cost!B5,"0.0")&amp;" NTD per US$"</f>
        <v>US$ 259.80 at 31.7 NTD per US$</v>
      </c>
    </row>
    <row r="10" spans="1:4">
      <c r="A10" s="56" t="s">
        <v>12</v>
      </c>
      <c r="B10" s="70">
        <f>Cost!F47</f>
        <v>1647.1573599999995</v>
      </c>
      <c r="C10" s="56" t="s">
        <v>8</v>
      </c>
      <c r="D10" s="71" t="str">
        <f>"US$ "&amp;TEXT(Cost!E47,"#,##0.00")&amp;" per board — the cost-gate figure"</f>
        <v>US$ 51.96 per board — the cost-gate figure</v>
      </c>
    </row>
    <row r="11" spans="1:4" ht="42.75" customHeight="1">
      <c r="A11" s="53" t="s">
        <v>13</v>
      </c>
      <c r="B11" s="68">
        <f>Cost!F48</f>
        <v>1500</v>
      </c>
      <c r="C11" s="53" t="s">
        <v>8</v>
      </c>
      <c r="D11" s="69" t="str">
        <f>TEXT(Cost!B10*Cost!B6,"#,##0")&amp;" NTD for "&amp;TEXT(Cost!B6,"0")&amp;" boards; WARNING above; incl. bare PCBs and assembly fees; excl. shipping, import tax, programmers, enclosure, proof-of-concept hardware and a possible assembly-fixture fee"</f>
        <v>7,500 NTD for 5 boards; WARNING above; incl. bare PCBs and assembly fees; excl. shipping, import tax, programmers, enclosure, proof-of-concept hardware and a possible assembly-fixture fee</v>
      </c>
    </row>
    <row r="12" spans="1:4" ht="56.25" customHeight="1">
      <c r="A12" s="8" t="s">
        <v>14</v>
      </c>
      <c r="B12" s="67">
        <f>Cost!F49</f>
        <v>1700</v>
      </c>
      <c r="C12" s="8" t="s">
        <v>8</v>
      </c>
      <c r="D12" s="2" t="str">
        <f>"Ceiling "&amp;TEXT(Cost!B11,"#,##0")&amp;" NTD per board, set when the third oscillator was added; on 24 Sep 2026 the owner confirmed the budget is flexible as long as it does not surge; the actual JLCPCB quote from the real BOM/CPL files must pass the ceiling before ordering; FAIL above"</f>
        <v>Ceiling 1,700 NTD per board, set when the third oscillator was added; on 24 Sep 2026 the owner confirmed the budget is flexible as long as it does not surge; the actual JLCPCB quote from the real BOM/CPL files must pass the ceiling before ordering; FAIL above</v>
      </c>
    </row>
    <row r="13" spans="1:4">
      <c r="A13" s="53" t="s">
        <v>15</v>
      </c>
      <c r="B13" s="72">
        <f>Cost!F50</f>
        <v>-147.15735999999947</v>
      </c>
      <c r="C13" s="53" t="s">
        <v>16</v>
      </c>
      <c r="D13" s="69" t="str">
        <f>Cost!G50</f>
        <v>147 NTD over the target (9.8%)</v>
      </c>
    </row>
    <row r="14" spans="1:4">
      <c r="A14" s="8" t="s">
        <v>17</v>
      </c>
      <c r="B14" s="73">
        <f>Cost!F51</f>
        <v>52.842640000000529</v>
      </c>
      <c r="C14" s="8" t="s">
        <v>16</v>
      </c>
      <c r="D14" s="2" t="str">
        <f>Cost!G51</f>
        <v>53 NTD under the ceiling</v>
      </c>
    </row>
    <row r="15" spans="1:4">
      <c r="A15" s="82" t="s">
        <v>18</v>
      </c>
      <c r="B15" s="74" t="str">
        <f>Cost!F52</f>
        <v>WARNING</v>
      </c>
      <c r="C15" s="82"/>
      <c r="D15" s="83" t="str">
        <f>Cost!G52</f>
        <v>PASS ≤ 1,500 NTD per board (target); WARNING ≤ 1,700 (ceiling, hard order gate); FAIL &gt; 1,700</v>
      </c>
    </row>
    <row r="16" spans="1:4" ht="27" customHeight="1">
      <c r="A16" s="8" t="s">
        <v>19</v>
      </c>
      <c r="B16" s="67">
        <f>Cost!F58</f>
        <v>1549.7115599999995</v>
      </c>
      <c r="C16" s="8" t="s">
        <v>16</v>
      </c>
      <c r="D16" s="2" t="str">
        <f>"through-hole Extended fee "&amp;TEXT(Cost!F56,"+0.0;-0.0")&amp;" NTD and X-ray of the "&amp;TEXT(Cost!B23,"0")&amp;" oscillators "&amp;IF(Cost!B23=0,"+0.0",TEXT(Cost!F57/Cost!B23,"+0.0;-0.0"))&amp;" NTD each, per board, all counted above; the JLCPCB quote after layout decides"</f>
        <v>through-hole Extended fee -19.5 NTD and X-ray of the 3 oscillators -26.0 NTD each, per board, all counted above; the JLCPCB quote after layout decides</v>
      </c>
    </row>
    <row r="17" spans="1:4" ht="27" customHeight="1">
      <c r="A17" s="8" t="s">
        <v>20</v>
      </c>
      <c r="B17" s="75" t="str">
        <f>Checks!F32</f>
        <v>ALL OK — target WARNING</v>
      </c>
      <c r="C17" s="8"/>
      <c r="D17" s="2" t="str">
        <f>"Checks sheet: counts, LCSC / class rule, cross-sheet totals, the "&amp;TEXT(Checks!B23,"#,##0")&amp;" NTD result and the gate rule"</f>
        <v>Checks sheet: counts, LCSC / class rule, cross-sheet totals, the 1,647 NTD result and the gate rule</v>
      </c>
    </row>
    <row r="18" spans="1:4">
      <c r="A18" s="8"/>
      <c r="B18" s="8"/>
      <c r="C18" s="8"/>
      <c r="D18" s="2"/>
    </row>
    <row r="19" spans="1:4">
      <c r="A19" s="76" t="s">
        <v>21</v>
      </c>
      <c r="B19" s="8"/>
      <c r="C19" s="8"/>
      <c r="D19" s="2"/>
    </row>
    <row r="20" spans="1:4">
      <c r="A20" s="54" t="s">
        <v>22</v>
      </c>
      <c r="B20" s="77" t="s">
        <v>4</v>
      </c>
      <c r="C20" s="77" t="s">
        <v>5</v>
      </c>
      <c r="D20" s="78" t="s">
        <v>6</v>
      </c>
    </row>
    <row r="21" spans="1:4">
      <c r="A21" s="8" t="s">
        <v>23</v>
      </c>
      <c r="B21" s="67">
        <f>COUNTA('Parts list'!$B$4:$B$133)</f>
        <v>130</v>
      </c>
      <c r="C21" s="8" t="s">
        <v>24</v>
      </c>
      <c r="D21" s="2" t="s">
        <v>25</v>
      </c>
    </row>
    <row r="22" spans="1:4">
      <c r="A22" s="53" t="s">
        <v>26</v>
      </c>
      <c r="B22" s="68">
        <f>Cost!B14</f>
        <v>122</v>
      </c>
      <c r="C22" s="53" t="s">
        <v>24</v>
      </c>
      <c r="D22" s="69" t="str">
        <f>"Fit = Yes, including the bare-PCB row; DNF: "&amp;TEXT(COUNTIF('Parts list'!$K$4:$K$133,"DNF"),"0")&amp;" lines (U205, R215, R703, J703)"</f>
        <v>Fit = Yes, including the bare-PCB row; DNF: 4 lines (U205, R215, R703, J703)</v>
      </c>
    </row>
    <row r="23" spans="1:4">
      <c r="A23" s="8" t="s">
        <v>27</v>
      </c>
      <c r="B23" s="67">
        <f>COUNTA('Purchasing list'!$C$4:$C$51)</f>
        <v>48</v>
      </c>
      <c r="C23" s="8" t="s">
        <v>24</v>
      </c>
      <c r="D23" s="2" t="s">
        <v>28</v>
      </c>
    </row>
    <row r="24" spans="1:4">
      <c r="A24" s="53" t="s">
        <v>29</v>
      </c>
      <c r="B24" s="68">
        <f>Cost!B15</f>
        <v>231</v>
      </c>
      <c r="C24" s="53" t="s">
        <v>30</v>
      </c>
      <c r="D24" s="69" t="str">
        <f>"plus "&amp;TEXT(Cost!B16,"0")&amp;" through-hole part (4.4 mm jack J701)"</f>
        <v>plus 1 through-hole part (4.4 mm jack J701)</v>
      </c>
    </row>
    <row r="25" spans="1:4" ht="27" customHeight="1">
      <c r="A25" s="8" t="s">
        <v>31</v>
      </c>
      <c r="B25" s="67">
        <f>Cost!B17</f>
        <v>19</v>
      </c>
      <c r="C25" s="8" t="s">
        <v>32</v>
      </c>
      <c r="D25" s="2" t="str">
        <f>"US$"&amp;TEXT(Cost!C35,"0.00")&amp;" each on the sample run; includes the through-hole jack and X202 (class assumed Extended)"</f>
        <v>US$3.07 each on the sample run; includes the through-hole jack and X202 (class assumed Extended)</v>
      </c>
    </row>
    <row r="26" spans="1:4" ht="42.75" customHeight="1">
      <c r="A26" s="53" t="s">
        <v>33</v>
      </c>
      <c r="B26" s="68">
        <f>Cost!B18</f>
        <v>29</v>
      </c>
      <c r="C26" s="53" t="s">
        <v>32</v>
      </c>
      <c r="D26" s="69" t="s">
        <v>34</v>
      </c>
    </row>
    <row r="27" spans="1:4">
      <c r="A27" s="8" t="s">
        <v>35</v>
      </c>
      <c r="B27" s="67">
        <f>Cost!B20</f>
        <v>690</v>
      </c>
      <c r="C27" s="8" t="s">
        <v>36</v>
      </c>
      <c r="D27" s="2" t="s">
        <v>37</v>
      </c>
    </row>
    <row r="28" spans="1:4">
      <c r="A28" s="53" t="s">
        <v>38</v>
      </c>
      <c r="B28" s="68">
        <f>Cost!B21</f>
        <v>7</v>
      </c>
      <c r="C28" s="53" t="s">
        <v>36</v>
      </c>
      <c r="D28" s="69" t="s">
        <v>39</v>
      </c>
    </row>
    <row r="29" spans="1:4">
      <c r="A29" s="8" t="s">
        <v>40</v>
      </c>
      <c r="B29" s="67">
        <f>Cost!B22</f>
        <v>8</v>
      </c>
      <c r="C29" s="8" t="s">
        <v>30</v>
      </c>
      <c r="D29" s="2" t="s">
        <v>41</v>
      </c>
    </row>
    <row r="30" spans="1:4">
      <c r="A30" s="8"/>
      <c r="B30" s="8"/>
      <c r="C30" s="8"/>
      <c r="D30" s="2"/>
    </row>
    <row r="31" spans="1:4">
      <c r="A31" s="76" t="s">
        <v>42</v>
      </c>
      <c r="B31" s="8"/>
      <c r="C31" s="8"/>
      <c r="D31" s="2"/>
    </row>
    <row r="32" spans="1:4">
      <c r="A32" s="54" t="s">
        <v>3</v>
      </c>
      <c r="B32" s="77" t="s">
        <v>4</v>
      </c>
      <c r="C32" s="77" t="s">
        <v>5</v>
      </c>
      <c r="D32" s="78" t="s">
        <v>6</v>
      </c>
    </row>
    <row r="33" spans="1:4" ht="27" customHeight="1">
      <c r="A33" s="8" t="s">
        <v>43</v>
      </c>
      <c r="B33" s="67">
        <f>Cost!F79</f>
        <v>798.52933999999971</v>
      </c>
      <c r="C33" s="8" t="s">
        <v>8</v>
      </c>
      <c r="D33" s="2" t="str">
        <f>"JLCPCB Standard PCBA, parts at the 100-board tier; US$ "&amp;TEXT(Cost!E79,"#,##0.00")&amp;" per board — not the budget basis"</f>
        <v>JLCPCB Standard PCBA, parts at the 100-board tier; US$ 25.19 per board — not the budget basis</v>
      </c>
    </row>
    <row r="34" spans="1:4">
      <c r="A34" s="1"/>
      <c r="B34" s="1"/>
      <c r="C34" s="1"/>
      <c r="D34" s="65"/>
    </row>
    <row r="35" spans="1:4">
      <c r="A35" s="63" t="s">
        <v>44</v>
      </c>
      <c r="B35" s="1"/>
      <c r="C35" s="1"/>
      <c r="D35" s="65"/>
    </row>
    <row r="36" spans="1:4">
      <c r="A36" s="3" t="s">
        <v>45</v>
      </c>
      <c r="B36" s="64" t="s">
        <v>46</v>
      </c>
      <c r="C36" s="64" t="s">
        <v>16</v>
      </c>
      <c r="D36" s="66" t="s">
        <v>47</v>
      </c>
    </row>
    <row r="37" spans="1:4">
      <c r="A37" s="8" t="s">
        <v>48</v>
      </c>
      <c r="B37" s="25" cm="1">
        <f t="array" ref="B37">SUMPRODUCT(('Parts list'!$A$4:$A$133=$A37)*('Parts list'!$K$4:$K$133="Yes")*('Parts list'!$B$4:$B$133&lt;&gt;"PCB")*'Parts list'!$C$4:$C$133*'Parts list'!$O$4:$O$133)</f>
        <v>0.30640000000000001</v>
      </c>
      <c r="C37" s="21">
        <f>B37*Cost!$B$5</f>
        <v>9.7128800000000002</v>
      </c>
      <c r="D37" s="2" t="s">
        <v>49</v>
      </c>
    </row>
    <row r="38" spans="1:4">
      <c r="A38" s="53" t="s">
        <v>50</v>
      </c>
      <c r="B38" s="79" cm="1">
        <f t="array" ref="B38">SUMPRODUCT(('Parts list'!$A$4:$A$133=$A38)*('Parts list'!$K$4:$K$133="Yes")*('Parts list'!$B$4:$B$133&lt;&gt;"PCB")*'Parts list'!$C$4:$C$133*'Parts list'!$O$4:$O$133)</f>
        <v>7.375099999999998</v>
      </c>
      <c r="C38" s="80">
        <f>B38*Cost!$B$5</f>
        <v>233.79066999999992</v>
      </c>
      <c r="D38" s="69" t="s">
        <v>51</v>
      </c>
    </row>
    <row r="39" spans="1:4">
      <c r="A39" s="8" t="s">
        <v>52</v>
      </c>
      <c r="B39" s="25" cm="1">
        <f t="array" ref="B39">SUMPRODUCT(('Parts list'!$A$4:$A$133=$A39)*('Parts list'!$K$4:$K$133="Yes")*('Parts list'!$B$4:$B$133&lt;&gt;"PCB")*'Parts list'!$C$4:$C$133*'Parts list'!$O$4:$O$133)</f>
        <v>3.8168999999999982</v>
      </c>
      <c r="C39" s="21">
        <f>B39*Cost!$B$5</f>
        <v>120.99572999999994</v>
      </c>
      <c r="D39" s="2" t="s">
        <v>53</v>
      </c>
    </row>
    <row r="40" spans="1:4">
      <c r="A40" s="53" t="s">
        <v>54</v>
      </c>
      <c r="B40" s="79" cm="1">
        <f t="array" ref="B40">SUMPRODUCT(('Parts list'!$A$4:$A$133=$A40)*('Parts list'!$K$4:$K$133="Yes")*('Parts list'!$B$4:$B$133&lt;&gt;"PCB")*'Parts list'!$C$4:$C$133*'Parts list'!$O$4:$O$133)</f>
        <v>6.3712</v>
      </c>
      <c r="C40" s="80">
        <f>B40*Cost!$B$5</f>
        <v>201.96704</v>
      </c>
      <c r="D40" s="69" t="s">
        <v>55</v>
      </c>
    </row>
    <row r="41" spans="1:4" ht="27" customHeight="1">
      <c r="A41" s="8" t="s">
        <v>56</v>
      </c>
      <c r="B41" s="25" cm="1">
        <f t="array" ref="B41">SUMPRODUCT(('Parts list'!$A$4:$A$133=$A41)*('Parts list'!$K$4:$K$133="Yes")*('Parts list'!$B$4:$B$133&lt;&gt;"PCB")*'Parts list'!$C$4:$C$133*'Parts list'!$O$4:$O$133)</f>
        <v>2.0086999999999993</v>
      </c>
      <c r="C41" s="21">
        <f>B41*Cost!$B$5</f>
        <v>63.675789999999978</v>
      </c>
      <c r="D41" s="2" t="s">
        <v>57</v>
      </c>
    </row>
    <row r="42" spans="1:4">
      <c r="A42" s="53" t="s">
        <v>58</v>
      </c>
      <c r="B42" s="79" cm="1">
        <f t="array" ref="B42">SUMPRODUCT(('Parts list'!$A$4:$A$133=$A42)*('Parts list'!$K$4:$K$133="Yes")*('Parts list'!$B$4:$B$133&lt;&gt;"PCB")*'Parts list'!$C$4:$C$133*'Parts list'!$O$4:$O$133)</f>
        <v>0.44440000000000002</v>
      </c>
      <c r="C42" s="80">
        <f>B42*Cost!$B$5</f>
        <v>14.087480000000001</v>
      </c>
      <c r="D42" s="69" t="s">
        <v>59</v>
      </c>
    </row>
    <row r="43" spans="1:4">
      <c r="A43" s="8" t="s">
        <v>60</v>
      </c>
      <c r="B43" s="25" cm="1">
        <f t="array" ref="B43">SUMPRODUCT(('Parts list'!$A$4:$A$133=$A43)*('Parts list'!$K$4:$K$133="Yes")*('Parts list'!$B$4:$B$133&lt;&gt;"PCB")*'Parts list'!$C$4:$C$133*'Parts list'!$O$4:$O$133)</f>
        <v>7.2655000000000003</v>
      </c>
      <c r="C43" s="21">
        <f>B43*Cost!$B$5</f>
        <v>230.31635</v>
      </c>
      <c r="D43" s="2" t="str">
        <f>"4.4 mm jack J701 ("&amp;TEXT(SUMIFS('Parts list'!$O$4:$O$133,'Parts list'!$B$4:$B$133,"J701")*Cost!$B$5,"#,##0")&amp;" NTD), 3.5 mm jack, ESD diodes, LEDs"</f>
        <v>4.4 mm jack J701 (218 NTD), 3.5 mm jack, ESD diodes, LEDs</v>
      </c>
    </row>
    <row r="44" spans="1:4">
      <c r="A44" s="53" t="s">
        <v>61</v>
      </c>
      <c r="B44" s="79">
        <f>Cost!B26/Cost!B6</f>
        <v>0.17979999999995472</v>
      </c>
      <c r="C44" s="80">
        <f>B44*Cost!$B$5</f>
        <v>5.6996599999985644</v>
      </c>
      <c r="D44" s="69" t="str">
        <f>"US$"&amp;TEXT(Cost!B8,"0.00")&amp;" minimum per purchasing line, spread over "&amp;TEXT(Cost!B6,"0")&amp;" boards"</f>
        <v>US$0.10 minimum per purchasing line, spread over 5 boards</v>
      </c>
    </row>
    <row r="45" spans="1:4">
      <c r="A45" s="56" t="s">
        <v>62</v>
      </c>
      <c r="B45" s="81">
        <f>SUM(B37:B44)</f>
        <v>27.767999999999951</v>
      </c>
      <c r="C45" s="70">
        <f>B45*Cost!$B$5</f>
        <v>880.24559999999838</v>
      </c>
      <c r="D45" s="71" t="str">
        <f>"= Cost sheet parts ÷ "&amp;TEXT(Cost!B6,"0")&amp;" boards (bare PCB excluded)"</f>
        <v>= Cost sheet parts ÷ 5 boards (bare PCB excluded)</v>
      </c>
    </row>
    <row r="46" spans="1:4">
      <c r="A46" s="8"/>
      <c r="B46" s="8"/>
      <c r="C46" s="8"/>
      <c r="D46" s="8"/>
    </row>
    <row r="47" spans="1:4">
      <c r="A47" s="76" t="s">
        <v>63</v>
      </c>
      <c r="B47" s="8"/>
      <c r="C47" s="8"/>
      <c r="D47" s="8"/>
    </row>
    <row r="48" spans="1:4">
      <c r="A48" s="54" t="s">
        <v>64</v>
      </c>
      <c r="B48" s="54" t="s">
        <v>65</v>
      </c>
      <c r="C48" s="54"/>
      <c r="D48" s="54"/>
    </row>
    <row r="49" spans="1:4" ht="42.75" customHeight="1">
      <c r="A49" s="57" t="s">
        <v>66</v>
      </c>
      <c r="B49" s="93" t="s">
        <v>67</v>
      </c>
      <c r="C49" s="93"/>
      <c r="D49" s="93"/>
    </row>
    <row r="50" spans="1:4" ht="42.75" customHeight="1">
      <c r="A50" s="82" t="s">
        <v>68</v>
      </c>
      <c r="B50" s="94" t="s">
        <v>69</v>
      </c>
      <c r="C50" s="94"/>
      <c r="D50" s="94"/>
    </row>
    <row r="51" spans="1:4" ht="29.25" customHeight="1">
      <c r="A51" s="57" t="s">
        <v>70</v>
      </c>
      <c r="B51" s="93" t="s">
        <v>71</v>
      </c>
      <c r="C51" s="93"/>
      <c r="D51" s="93"/>
    </row>
    <row r="52" spans="1:4" ht="29.25" customHeight="1">
      <c r="A52" s="82" t="s">
        <v>72</v>
      </c>
      <c r="B52" s="94" t="s">
        <v>73</v>
      </c>
      <c r="C52" s="94"/>
      <c r="D52" s="94"/>
    </row>
    <row r="53" spans="1:4" ht="29.25" customHeight="1">
      <c r="A53" s="57" t="s">
        <v>74</v>
      </c>
      <c r="B53" s="93" t="s">
        <v>75</v>
      </c>
      <c r="C53" s="93"/>
      <c r="D53" s="93"/>
    </row>
    <row r="54" spans="1:4" ht="29.25" customHeight="1">
      <c r="A54" s="82" t="s">
        <v>76</v>
      </c>
      <c r="B54" s="94" t="s">
        <v>77</v>
      </c>
      <c r="C54" s="94"/>
      <c r="D54" s="94"/>
    </row>
    <row r="55" spans="1:4" ht="29.25" customHeight="1">
      <c r="A55" s="57" t="s">
        <v>78</v>
      </c>
      <c r="B55" s="93" t="s">
        <v>79</v>
      </c>
      <c r="C55" s="93"/>
      <c r="D55" s="93"/>
    </row>
    <row r="56" spans="1:4" ht="29.25" customHeight="1">
      <c r="A56" s="82" t="s">
        <v>80</v>
      </c>
      <c r="B56" s="94" t="str">
        <f>"Parts US$"&amp;TEXT(Cost!E43,"#,##0.00")&amp;" ("&amp;TEXT(Cost!F43,"#,##0")&amp;" NTD), "&amp;TEXT(Cost!B6,"0")&amp;" PCBs US$"&amp;TEXT(Cost!E44,"#,##0")&amp;", fees US$"&amp;TEXT(Cost!E45,"#,##0.00")&amp;" → US$"&amp;TEXT(Cost!E46,"#,##0.00")&amp;" = "&amp;TEXT(Cost!F46,"#,##0")&amp;" NTD = "&amp;TEXT(Cost!F47,"#,##0")&amp;" NTD per board (was 1,666): the 80 MHz part and the OPA2210 at the JLCPCB price are cheaper; the new protection parts add a little."</f>
        <v>Parts US$138.84 (4,401 NTD), 5 PCBs US$10, fees US$110.96 → US$259.80 = 8,236 NTD = 1,647 NTD per board (was 1,666): the 80 MHz part and the OPA2210 at the JLCPCB price are cheaper; the new protection parts add a little.</v>
      </c>
      <c r="C56" s="94"/>
      <c r="D56" s="94"/>
    </row>
    <row r="57" spans="1:4" ht="29.25" customHeight="1">
      <c r="A57" s="57" t="s">
        <v>81</v>
      </c>
      <c r="B57" s="93" t="str">
        <f>"OPA2210 at the LCSC price (US$"&amp;TEXT(Cost!C61,"0.00")&amp;" at 10+, if the JLCPCB stock of 76 is gone): "&amp;TEXT(Cost!F61,"+#,##0;-#,##0")&amp;" NTD per board → ≈ "&amp;TEXT(Cost!F47+Cost!F61,"#,##0")&amp;" NTD, "&amp;IF(Cost!F47+Cost!F61&gt;Cost!F49,"above","within")&amp;" the ceiling → reserve the "&amp;TEXT(Cost!B61,"0")&amp;" pieces in the JLCPCB parts library."</f>
        <v>OPA2210 at the LCSC price (US$2.67 at 10+, if the JLCPCB stock of 76 is gone): +106 NTD per board → ≈ 1,753 NTD, above the ceiling → reserve the 10 pieces in the JLCPCB parts library.</v>
      </c>
      <c r="C57" s="93"/>
      <c r="D57" s="93"/>
    </row>
    <row r="58" spans="1:4" ht="42.75" customHeight="1">
      <c r="A58" s="82" t="s">
        <v>82</v>
      </c>
      <c r="B58" s="94" t="str">
        <f>"Ceiling "&amp;TEXT(Cost!B11,"#,##0")&amp;" NTD per board, set when the third oscillator was added; on 24 Sep 2026 the owner confirmed the budget is flexible as long as it does not surge; the actual JLCPCB quote from the real BOM/CPL files must pass the ceiling before ordering. Target "&amp;TEXT(Cost!B10,"#,##0")&amp;" NTD per board (WARNING above)."</f>
        <v>Ceiling 1,700 NTD per board, set when the third oscillator was added; on 24 Sep 2026 the owner confirmed the budget is flexible as long as it does not surge; the actual JLCPCB quote from the real BOM/CPL files must pass the ceiling before ordering. Target 1,500 NTD per board (WARNING above).</v>
      </c>
      <c r="C58" s="94"/>
      <c r="D58" s="94"/>
    </row>
    <row r="59" spans="1:4" ht="42.75" customHeight="1">
      <c r="A59" s="57" t="s">
        <v>83</v>
      </c>
      <c r="B59" s="93" t="str">
        <f>"One part per line: "&amp;TEXT(B21,"0")&amp;" BOM lines ("&amp;TEXT(B22,"0")&amp;" fitted; DNF: U205, R215, R703, J703), "&amp;TEXT(B23,"0")&amp;" purchasing lines (one per LCSC number); every fitted part has an LCSC number; every class is taken from its JLCPCB part page or the basic-parts list, except X202, whose class is not shown on its JLCPCB page (assumed Extended)."</f>
        <v>One part per line: 130 BOM lines (122 fitted; DNF: U205, R215, R703, J703), 48 purchasing lines (one per LCSC number); every fitted part has an LCSC number; every class is taken from its JLCPCB part page or the basic-parts list, except X202, whose class is not shown on its JLCPCB page (assumed Extended).</v>
      </c>
      <c r="C59" s="93"/>
      <c r="D59" s="93"/>
    </row>
    <row r="60" spans="1:4" ht="56.25" customHeight="1">
      <c r="A60" s="82" t="s">
        <v>84</v>
      </c>
      <c r="B60" s="94" t="str">
        <f>"LCSC tier matching the run quantity (OPA2210: JLCPCB part-page price); US$"&amp;TEXT(Cost!B8,"0.00")&amp;" minimum per purchasing line for parts under US$"&amp;TEXT(Cost!B9,"0.00")&amp;"; "&amp;TEXT(Cost!B17,"0")&amp;" Extended types incl. the through-hole jack; estimate history 1,540 (one oscillator) → 1,602 (+24.576 MHz) → 1,666 (+22.5792 MHz) → "&amp;TEXT(Cost!F47,"#,##0")&amp;" NTD per board (80 MHz MCLK, OPA2210 at the JLCPCB price, protection parts)."</f>
        <v>LCSC tier matching the run quantity (OPA2210: JLCPCB part-page price); US$0.10 minimum per purchasing line for parts under US$0.05; 19 Extended types incl. the through-hole jack; estimate history 1,540 (one oscillator) → 1,602 (+24.576 MHz) → 1,666 (+22.5792 MHz) → 1,647 NTD per board (80 MHz MCLK, OPA2210 at the JLCPCB price, protection parts).</v>
      </c>
      <c r="C60" s="94"/>
      <c r="D60" s="94"/>
    </row>
  </sheetData>
  <mergeCells count="14">
    <mergeCell ref="B60:D60"/>
    <mergeCell ref="B52:D52"/>
    <mergeCell ref="B53:D53"/>
    <mergeCell ref="B54:D54"/>
    <mergeCell ref="A1:D1"/>
    <mergeCell ref="A2:D2"/>
    <mergeCell ref="B49:D49"/>
    <mergeCell ref="B50:D50"/>
    <mergeCell ref="B51:D51"/>
    <mergeCell ref="B55:D55"/>
    <mergeCell ref="B56:D56"/>
    <mergeCell ref="B57:D57"/>
    <mergeCell ref="B58:D58"/>
    <mergeCell ref="B59:D59"/>
  </mergeCells>
  <conditionalFormatting sqref="B15">
    <cfRule type="containsText" dxfId="56" priority="1" operator="containsText" text="PASS">
      <formula>NOT(ISERROR(SEARCH("PASS",B15)))</formula>
    </cfRule>
  </conditionalFormatting>
  <conditionalFormatting sqref="B15">
    <cfRule type="containsText" dxfId="55" priority="2" operator="containsText" text="WARNING">
      <formula>NOT(ISERROR(SEARCH("WARNING",B15)))</formula>
    </cfRule>
  </conditionalFormatting>
  <conditionalFormatting sqref="B15">
    <cfRule type="containsText" dxfId="54" priority="3" operator="containsText" text="FAIL">
      <formula>NOT(ISERROR(SEARCH("FAIL",B15)))</formula>
    </cfRule>
  </conditionalFormatting>
  <conditionalFormatting sqref="B17">
    <cfRule type="containsText" dxfId="53" priority="4" operator="containsText" text="to check">
      <formula>NOT(ISERROR(SEARCH("to check",B17)))</formula>
    </cfRule>
  </conditionalFormatting>
  <conditionalFormatting sqref="B17">
    <cfRule type="containsText" dxfId="52" priority="5" operator="containsText" text="ALL OK">
      <formula>NOT(ISERROR(SEARCH("ALL OK",B17)))</formula>
    </cfRule>
  </conditionalFormatting>
  <conditionalFormatting sqref="B13:B14">
    <cfRule type="cellIs" dxfId="51" priority="6" operator="less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D12D5-0584-490C-B58B-E3B6088665FA}">
  <dimension ref="A1:W136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21.42578125" customWidth="1"/>
    <col min="2" max="2" width="16.42578125" customWidth="1"/>
    <col min="3" max="3" width="8.42578125" customWidth="1"/>
    <col min="4" max="4" width="47.42578125" customWidth="1"/>
    <col min="5" max="5" width="14.42578125" customWidth="1"/>
    <col min="6" max="6" width="16.42578125" customWidth="1"/>
    <col min="7" max="7" width="19.42578125" customWidth="1"/>
    <col min="8" max="8" width="25.42578125" customWidth="1"/>
    <col min="9" max="9" width="12.42578125" customWidth="1"/>
    <col min="10" max="10" width="11.42578125" customWidth="1"/>
    <col min="11" max="11" width="8.42578125" customWidth="1"/>
    <col min="12" max="13" width="10.42578125" customWidth="1"/>
    <col min="14" max="14" width="11.42578125" customWidth="1"/>
    <col min="15" max="16" width="12.42578125" customWidth="1"/>
    <col min="17" max="18" width="10.42578125" customWidth="1"/>
    <col min="19" max="20" width="13.42578125" customWidth="1"/>
    <col min="21" max="21" width="29.42578125" customWidth="1"/>
    <col min="22" max="22" width="13.42578125" customWidth="1"/>
    <col min="23" max="23" width="11.42578125" customWidth="1"/>
  </cols>
  <sheetData>
    <row r="1" spans="1:23" ht="21.75" customHeight="1">
      <c r="A1" s="97" t="s">
        <v>85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</row>
    <row r="2" spans="1:23" ht="30" customHeight="1">
      <c r="A2" s="96" t="s">
        <v>86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</row>
    <row r="3" spans="1:23" ht="45" customHeight="1">
      <c r="A3" s="5" t="s">
        <v>45</v>
      </c>
      <c r="B3" s="5" t="s">
        <v>87</v>
      </c>
      <c r="C3" s="5" t="s">
        <v>88</v>
      </c>
      <c r="D3" s="5" t="s">
        <v>89</v>
      </c>
      <c r="E3" s="5" t="s">
        <v>4</v>
      </c>
      <c r="F3" s="5" t="s">
        <v>90</v>
      </c>
      <c r="G3" s="5" t="s">
        <v>91</v>
      </c>
      <c r="H3" s="5" t="s">
        <v>92</v>
      </c>
      <c r="I3" s="5" t="s">
        <v>93</v>
      </c>
      <c r="J3" s="5" t="s">
        <v>94</v>
      </c>
      <c r="K3" s="5" t="s">
        <v>95</v>
      </c>
      <c r="L3" s="5" t="s">
        <v>96</v>
      </c>
      <c r="M3" s="5" t="s">
        <v>97</v>
      </c>
      <c r="N3" s="5" t="s">
        <v>98</v>
      </c>
      <c r="O3" s="5" t="s">
        <v>99</v>
      </c>
      <c r="P3" s="5" t="s">
        <v>100</v>
      </c>
      <c r="Q3" s="5" t="s">
        <v>101</v>
      </c>
      <c r="R3" s="5" t="s">
        <v>102</v>
      </c>
      <c r="S3" s="5" t="s">
        <v>103</v>
      </c>
      <c r="T3" s="5" t="s">
        <v>104</v>
      </c>
      <c r="U3" s="5" t="s">
        <v>105</v>
      </c>
      <c r="V3" s="5" t="s">
        <v>106</v>
      </c>
      <c r="W3" s="5" t="s">
        <v>107</v>
      </c>
    </row>
    <row r="4" spans="1:23" ht="29.25" customHeight="1">
      <c r="A4" s="20" t="s">
        <v>48</v>
      </c>
      <c r="B4" s="7" t="s">
        <v>108</v>
      </c>
      <c r="C4" s="9">
        <v>1</v>
      </c>
      <c r="D4" s="7" t="s">
        <v>109</v>
      </c>
      <c r="E4" s="7" t="s">
        <v>110</v>
      </c>
      <c r="F4" s="7" t="s">
        <v>111</v>
      </c>
      <c r="G4" s="7" t="s">
        <v>112</v>
      </c>
      <c r="H4" s="7" t="s">
        <v>113</v>
      </c>
      <c r="I4" s="10" t="s">
        <v>114</v>
      </c>
      <c r="J4" s="10" t="s">
        <v>115</v>
      </c>
      <c r="K4" s="10" t="s">
        <v>116</v>
      </c>
      <c r="L4" s="10"/>
      <c r="M4" s="9">
        <v>20</v>
      </c>
      <c r="N4" s="9">
        <v>0</v>
      </c>
      <c r="O4" s="11">
        <v>0.1</v>
      </c>
      <c r="P4" s="11">
        <v>6.0400000000000002E-2</v>
      </c>
      <c r="Q4" s="7" t="s">
        <v>117</v>
      </c>
      <c r="R4" s="12">
        <f>IF($K4="Yes",$C4*Cost!$B$6,0)</f>
        <v>5</v>
      </c>
      <c r="S4" s="13">
        <f>IF($K4="Yes",$C4*Cost!$B$6*$O4,0)</f>
        <v>0.5</v>
      </c>
      <c r="T4" s="13">
        <f>IF($K4="Yes",$C4*Cost!$B$7*$P4,0)</f>
        <v>6.04</v>
      </c>
      <c r="U4" s="7"/>
      <c r="V4" s="14" t="str">
        <f>IF(AND($K4="Yes",$B4&lt;&gt;"PCB",LEFT($I4,1)="C"),$I4,"")</f>
        <v>C2765186</v>
      </c>
      <c r="W4" s="15">
        <f>IF($V4="",0,IF(COUNTIF($V$4:$V4,$V4)=1,1,0))</f>
        <v>1</v>
      </c>
    </row>
    <row r="5" spans="1:23" ht="29.25" customHeight="1">
      <c r="A5" s="19" t="s">
        <v>48</v>
      </c>
      <c r="B5" s="7" t="s">
        <v>118</v>
      </c>
      <c r="C5" s="9">
        <v>2</v>
      </c>
      <c r="D5" s="7" t="s">
        <v>119</v>
      </c>
      <c r="E5" s="7" t="s">
        <v>120</v>
      </c>
      <c r="F5" s="7" t="s">
        <v>121</v>
      </c>
      <c r="G5" s="7" t="s">
        <v>122</v>
      </c>
      <c r="H5" s="7" t="s">
        <v>123</v>
      </c>
      <c r="I5" s="10" t="s">
        <v>124</v>
      </c>
      <c r="J5" s="10" t="s">
        <v>125</v>
      </c>
      <c r="K5" s="10" t="s">
        <v>116</v>
      </c>
      <c r="L5" s="10"/>
      <c r="M5" s="9">
        <v>2</v>
      </c>
      <c r="N5" s="9">
        <v>0</v>
      </c>
      <c r="O5" s="11">
        <v>2E-3</v>
      </c>
      <c r="P5" s="11">
        <v>5.0000000000000001E-4</v>
      </c>
      <c r="Q5" s="7" t="s">
        <v>117</v>
      </c>
      <c r="R5" s="12">
        <f>IF($K5="Yes",$C5*Cost!$B$6,0)</f>
        <v>10</v>
      </c>
      <c r="S5" s="13">
        <f>IF($K5="Yes",$C5*Cost!$B$6*$O5,0)</f>
        <v>0.02</v>
      </c>
      <c r="T5" s="13">
        <f>IF($K5="Yes",$C5*Cost!$B$7*$P5,0)</f>
        <v>0.1</v>
      </c>
      <c r="U5" s="7"/>
      <c r="V5" s="14" t="str">
        <f>IF(AND($K5="Yes",$B5&lt;&gt;"PCB",LEFT($I5,1)="C"),$I5,"")</f>
        <v>C25905</v>
      </c>
      <c r="W5" s="15">
        <f>IF($V5="",0,IF(COUNTIF($V$4:$V5,$V5)=1,1,0))</f>
        <v>1</v>
      </c>
    </row>
    <row r="6" spans="1:23" ht="29.25" customHeight="1">
      <c r="A6" s="19" t="s">
        <v>48</v>
      </c>
      <c r="B6" s="7" t="s">
        <v>126</v>
      </c>
      <c r="C6" s="9">
        <v>2</v>
      </c>
      <c r="D6" s="7" t="s">
        <v>127</v>
      </c>
      <c r="E6" s="7" t="s">
        <v>128</v>
      </c>
      <c r="F6" s="7" t="s">
        <v>121</v>
      </c>
      <c r="G6" s="7" t="s">
        <v>122</v>
      </c>
      <c r="H6" s="7" t="s">
        <v>129</v>
      </c>
      <c r="I6" s="10" t="s">
        <v>130</v>
      </c>
      <c r="J6" s="10" t="s">
        <v>125</v>
      </c>
      <c r="K6" s="10" t="s">
        <v>116</v>
      </c>
      <c r="L6" s="10"/>
      <c r="M6" s="9">
        <v>2</v>
      </c>
      <c r="N6" s="9">
        <v>0</v>
      </c>
      <c r="O6" s="11">
        <v>2E-3</v>
      </c>
      <c r="P6" s="11">
        <v>5.0000000000000001E-4</v>
      </c>
      <c r="Q6" s="7" t="s">
        <v>117</v>
      </c>
      <c r="R6" s="12">
        <f>IF($K6="Yes",$C6*Cost!$B$6,0)</f>
        <v>10</v>
      </c>
      <c r="S6" s="13">
        <f>IF($K6="Yes",$C6*Cost!$B$6*$O6,0)</f>
        <v>0.02</v>
      </c>
      <c r="T6" s="13">
        <f>IF($K6="Yes",$C6*Cost!$B$7*$P6,0)</f>
        <v>0.1</v>
      </c>
      <c r="U6" s="7"/>
      <c r="V6" s="14" t="str">
        <f>IF(AND($K6="Yes",$B6&lt;&gt;"PCB",LEFT($I6,1)="C"),$I6,"")</f>
        <v>C25744</v>
      </c>
      <c r="W6" s="15">
        <f>IF($V6="",0,IF(COUNTIF($V$4:$V6,$V6)=1,1,0))</f>
        <v>1</v>
      </c>
    </row>
    <row r="7" spans="1:23" ht="29.25" customHeight="1">
      <c r="A7" s="19" t="s">
        <v>48</v>
      </c>
      <c r="B7" s="7" t="s">
        <v>131</v>
      </c>
      <c r="C7" s="9">
        <v>1</v>
      </c>
      <c r="D7" s="7" t="s">
        <v>132</v>
      </c>
      <c r="E7" s="7" t="s">
        <v>133</v>
      </c>
      <c r="F7" s="7" t="s">
        <v>121</v>
      </c>
      <c r="G7" s="7" t="s">
        <v>122</v>
      </c>
      <c r="H7" s="7" t="s">
        <v>134</v>
      </c>
      <c r="I7" s="10" t="s">
        <v>135</v>
      </c>
      <c r="J7" s="10" t="s">
        <v>125</v>
      </c>
      <c r="K7" s="10" t="s">
        <v>116</v>
      </c>
      <c r="L7" s="10"/>
      <c r="M7" s="9">
        <v>2</v>
      </c>
      <c r="N7" s="9">
        <v>0</v>
      </c>
      <c r="O7" s="11">
        <v>2E-3</v>
      </c>
      <c r="P7" s="11">
        <v>5.0000000000000001E-4</v>
      </c>
      <c r="Q7" s="7" t="s">
        <v>117</v>
      </c>
      <c r="R7" s="12">
        <f>IF($K7="Yes",$C7*Cost!$B$6,0)</f>
        <v>5</v>
      </c>
      <c r="S7" s="13">
        <f>IF($K7="Yes",$C7*Cost!$B$6*$O7,0)</f>
        <v>0.01</v>
      </c>
      <c r="T7" s="13">
        <f>IF($K7="Yes",$C7*Cost!$B$7*$P7,0)</f>
        <v>0.05</v>
      </c>
      <c r="U7" s="7"/>
      <c r="V7" s="14" t="str">
        <f>IF(AND($K7="Yes",$B7&lt;&gt;"PCB",LEFT($I7,1)="C"),$I7,"")</f>
        <v>C25741</v>
      </c>
      <c r="W7" s="15">
        <f>IF($V7="",0,IF(COUNTIF($V$4:$V7,$V7)=1,1,0))</f>
        <v>1</v>
      </c>
    </row>
    <row r="8" spans="1:23" ht="29.25" customHeight="1">
      <c r="A8" s="19" t="s">
        <v>48</v>
      </c>
      <c r="B8" s="7" t="s">
        <v>136</v>
      </c>
      <c r="C8" s="9">
        <v>1</v>
      </c>
      <c r="D8" s="7" t="s">
        <v>137</v>
      </c>
      <c r="E8" s="7" t="s">
        <v>138</v>
      </c>
      <c r="F8" s="7" t="s">
        <v>121</v>
      </c>
      <c r="G8" s="7" t="s">
        <v>122</v>
      </c>
      <c r="H8" s="7" t="s">
        <v>139</v>
      </c>
      <c r="I8" s="10" t="s">
        <v>140</v>
      </c>
      <c r="J8" s="10" t="s">
        <v>125</v>
      </c>
      <c r="K8" s="10" t="s">
        <v>116</v>
      </c>
      <c r="L8" s="10"/>
      <c r="M8" s="9">
        <v>2</v>
      </c>
      <c r="N8" s="9">
        <v>0</v>
      </c>
      <c r="O8" s="11">
        <v>2E-3</v>
      </c>
      <c r="P8" s="11">
        <v>5.0000000000000001E-4</v>
      </c>
      <c r="Q8" s="7" t="s">
        <v>117</v>
      </c>
      <c r="R8" s="12">
        <f>IF($K8="Yes",$C8*Cost!$B$6,0)</f>
        <v>5</v>
      </c>
      <c r="S8" s="13">
        <f>IF($K8="Yes",$C8*Cost!$B$6*$O8,0)</f>
        <v>0.01</v>
      </c>
      <c r="T8" s="13">
        <f>IF($K8="Yes",$C8*Cost!$B$7*$P8,0)</f>
        <v>0.05</v>
      </c>
      <c r="U8" s="7"/>
      <c r="V8" s="14" t="str">
        <f>IF(AND($K8="Yes",$B8&lt;&gt;"PCB",LEFT($I8,1)="C"),$I8,"")</f>
        <v>C25792</v>
      </c>
      <c r="W8" s="15">
        <f>IF($V8="",0,IF(COUNTIF($V$4:$V8,$V8)=1,1,0))</f>
        <v>1</v>
      </c>
    </row>
    <row r="9" spans="1:23" ht="29.25" customHeight="1">
      <c r="A9" s="19" t="s">
        <v>48</v>
      </c>
      <c r="B9" s="7" t="s">
        <v>141</v>
      </c>
      <c r="C9" s="9">
        <v>1</v>
      </c>
      <c r="D9" s="7" t="s">
        <v>142</v>
      </c>
      <c r="E9" s="7" t="s">
        <v>143</v>
      </c>
      <c r="F9" s="7" t="s">
        <v>121</v>
      </c>
      <c r="G9" s="7" t="s">
        <v>122</v>
      </c>
      <c r="H9" s="7" t="s">
        <v>144</v>
      </c>
      <c r="I9" s="10" t="s">
        <v>145</v>
      </c>
      <c r="J9" s="10" t="s">
        <v>125</v>
      </c>
      <c r="K9" s="10" t="s">
        <v>116</v>
      </c>
      <c r="L9" s="10"/>
      <c r="M9" s="9">
        <v>2</v>
      </c>
      <c r="N9" s="9">
        <v>0</v>
      </c>
      <c r="O9" s="11">
        <v>2E-3</v>
      </c>
      <c r="P9" s="11">
        <v>5.0000000000000001E-4</v>
      </c>
      <c r="Q9" s="7" t="s">
        <v>117</v>
      </c>
      <c r="R9" s="12">
        <f>IF($K9="Yes",$C9*Cost!$B$6,0)</f>
        <v>5</v>
      </c>
      <c r="S9" s="13">
        <f>IF($K9="Yes",$C9*Cost!$B$6*$O9,0)</f>
        <v>0.01</v>
      </c>
      <c r="T9" s="13">
        <f>IF($K9="Yes",$C9*Cost!$B$7*$P9,0)</f>
        <v>0.05</v>
      </c>
      <c r="U9" s="7"/>
      <c r="V9" s="14" t="str">
        <f>IF(AND($K9="Yes",$B9&lt;&gt;"PCB",LEFT($I9,1)="C"),$I9,"")</f>
        <v>C26083</v>
      </c>
      <c r="W9" s="15">
        <f>IF($V9="",0,IF(COUNTIF($V$4:$V9,$V9)=1,1,0))</f>
        <v>1</v>
      </c>
    </row>
    <row r="10" spans="1:23" ht="29.25" customHeight="1">
      <c r="A10" s="19" t="s">
        <v>48</v>
      </c>
      <c r="B10" s="7" t="s">
        <v>146</v>
      </c>
      <c r="C10" s="9">
        <v>1</v>
      </c>
      <c r="D10" s="7" t="s">
        <v>147</v>
      </c>
      <c r="E10" s="7" t="s">
        <v>148</v>
      </c>
      <c r="F10" s="7" t="s">
        <v>121</v>
      </c>
      <c r="G10" s="7" t="s">
        <v>149</v>
      </c>
      <c r="H10" s="7" t="s">
        <v>150</v>
      </c>
      <c r="I10" s="10" t="s">
        <v>151</v>
      </c>
      <c r="J10" s="10" t="s">
        <v>125</v>
      </c>
      <c r="K10" s="10" t="s">
        <v>116</v>
      </c>
      <c r="L10" s="10"/>
      <c r="M10" s="9">
        <v>2</v>
      </c>
      <c r="N10" s="9">
        <v>0</v>
      </c>
      <c r="O10" s="11">
        <v>2E-3</v>
      </c>
      <c r="P10" s="11">
        <v>5.9999999999999995E-4</v>
      </c>
      <c r="Q10" s="7" t="s">
        <v>117</v>
      </c>
      <c r="R10" s="12">
        <f>IF($K10="Yes",$C10*Cost!$B$6,0)</f>
        <v>5</v>
      </c>
      <c r="S10" s="13">
        <f>IF($K10="Yes",$C10*Cost!$B$6*$O10,0)</f>
        <v>0.01</v>
      </c>
      <c r="T10" s="13">
        <f>IF($K10="Yes",$C10*Cost!$B$7*$P10,0)</f>
        <v>0.06</v>
      </c>
      <c r="U10" s="7"/>
      <c r="V10" s="14" t="str">
        <f>IF(AND($K10="Yes",$B10&lt;&gt;"PCB",LEFT($I10,1)="C"),$I10,"")</f>
        <v>C1538</v>
      </c>
      <c r="W10" s="15">
        <f>IF($V10="",0,IF(COUNTIF($V$4:$V10,$V10)=1,1,0))</f>
        <v>1</v>
      </c>
    </row>
    <row r="11" spans="1:23" ht="29.25" customHeight="1">
      <c r="A11" s="19" t="s">
        <v>48</v>
      </c>
      <c r="B11" s="7" t="s">
        <v>152</v>
      </c>
      <c r="C11" s="9">
        <v>1</v>
      </c>
      <c r="D11" s="7" t="s">
        <v>153</v>
      </c>
      <c r="E11" s="7" t="s">
        <v>110</v>
      </c>
      <c r="F11" s="7" t="s">
        <v>154</v>
      </c>
      <c r="G11" s="7" t="s">
        <v>155</v>
      </c>
      <c r="H11" s="7" t="s">
        <v>156</v>
      </c>
      <c r="I11" s="10" t="s">
        <v>157</v>
      </c>
      <c r="J11" s="10" t="s">
        <v>115</v>
      </c>
      <c r="K11" s="10" t="s">
        <v>116</v>
      </c>
      <c r="L11" s="10"/>
      <c r="M11" s="9">
        <v>6</v>
      </c>
      <c r="N11" s="9">
        <v>0</v>
      </c>
      <c r="O11" s="11">
        <v>0.18440000000000001</v>
      </c>
      <c r="P11" s="11">
        <v>0.1439</v>
      </c>
      <c r="Q11" s="7" t="s">
        <v>117</v>
      </c>
      <c r="R11" s="12">
        <f>IF($K11="Yes",$C11*Cost!$B$6,0)</f>
        <v>5</v>
      </c>
      <c r="S11" s="13">
        <f>IF($K11="Yes",$C11*Cost!$B$6*$O11,0)</f>
        <v>0.92200000000000004</v>
      </c>
      <c r="T11" s="13">
        <f>IF($K11="Yes",$C11*Cost!$B$7*$P11,0)</f>
        <v>14.39</v>
      </c>
      <c r="U11" s="7"/>
      <c r="V11" s="14" t="str">
        <f>IF(AND($K11="Yes",$B11&lt;&gt;"PCB",LEFT($I11,1)="C"),$I11,"")</f>
        <v>C7519</v>
      </c>
      <c r="W11" s="15">
        <f>IF($V11="",0,IF(COUNTIF($V$4:$V11,$V11)=1,1,0))</f>
        <v>1</v>
      </c>
    </row>
    <row r="12" spans="1:23" ht="29.25" customHeight="1">
      <c r="A12" s="19" t="s">
        <v>48</v>
      </c>
      <c r="B12" s="7" t="s">
        <v>158</v>
      </c>
      <c r="C12" s="9">
        <v>1</v>
      </c>
      <c r="D12" s="7" t="s">
        <v>159</v>
      </c>
      <c r="E12" s="7" t="s">
        <v>160</v>
      </c>
      <c r="F12" s="7" t="s">
        <v>161</v>
      </c>
      <c r="G12" s="7" t="s">
        <v>162</v>
      </c>
      <c r="H12" s="7" t="s">
        <v>163</v>
      </c>
      <c r="I12" s="10" t="s">
        <v>164</v>
      </c>
      <c r="J12" s="10" t="s">
        <v>125</v>
      </c>
      <c r="K12" s="10" t="s">
        <v>116</v>
      </c>
      <c r="L12" s="10"/>
      <c r="M12" s="9">
        <v>2</v>
      </c>
      <c r="N12" s="9">
        <v>0</v>
      </c>
      <c r="O12" s="11">
        <v>6.0000000000000001E-3</v>
      </c>
      <c r="P12" s="11">
        <v>2.2000000000000001E-3</v>
      </c>
      <c r="Q12" s="7" t="s">
        <v>117</v>
      </c>
      <c r="R12" s="12">
        <f>IF($K12="Yes",$C12*Cost!$B$6,0)</f>
        <v>5</v>
      </c>
      <c r="S12" s="13">
        <f>IF($K12="Yes",$C12*Cost!$B$6*$O12,0)</f>
        <v>0.03</v>
      </c>
      <c r="T12" s="13">
        <f>IF($K12="Yes",$C12*Cost!$B$7*$P12,0)</f>
        <v>0.22</v>
      </c>
      <c r="U12" s="7"/>
      <c r="V12" s="14" t="str">
        <f>IF(AND($K12="Yes",$B12&lt;&gt;"PCB",LEFT($I12,1)="C"),$I12,"")</f>
        <v>C15849</v>
      </c>
      <c r="W12" s="15">
        <f>IF($V12="",0,IF(COUNTIF($V$4:$V12,$V12)=1,1,0))</f>
        <v>1</v>
      </c>
    </row>
    <row r="13" spans="1:23" ht="29.25" customHeight="1">
      <c r="A13" s="20" t="s">
        <v>50</v>
      </c>
      <c r="B13" s="7" t="s">
        <v>165</v>
      </c>
      <c r="C13" s="9">
        <v>1</v>
      </c>
      <c r="D13" s="7" t="s">
        <v>166</v>
      </c>
      <c r="E13" s="7" t="s">
        <v>110</v>
      </c>
      <c r="F13" s="7" t="s">
        <v>167</v>
      </c>
      <c r="G13" s="7" t="s">
        <v>168</v>
      </c>
      <c r="H13" s="7" t="s">
        <v>169</v>
      </c>
      <c r="I13" s="10" t="s">
        <v>170</v>
      </c>
      <c r="J13" s="10" t="s">
        <v>115</v>
      </c>
      <c r="K13" s="10" t="s">
        <v>116</v>
      </c>
      <c r="L13" s="10"/>
      <c r="M13" s="9">
        <v>64</v>
      </c>
      <c r="N13" s="9">
        <v>0</v>
      </c>
      <c r="O13" s="11">
        <v>3.45</v>
      </c>
      <c r="P13" s="11">
        <v>2.33</v>
      </c>
      <c r="Q13" s="7" t="s">
        <v>117</v>
      </c>
      <c r="R13" s="12">
        <f>IF($K13="Yes",$C13*Cost!$B$6,0)</f>
        <v>5</v>
      </c>
      <c r="S13" s="13">
        <f>IF($K13="Yes",$C13*Cost!$B$6*$O13,0)</f>
        <v>17.25</v>
      </c>
      <c r="T13" s="13">
        <f>IF($K13="Yes",$C13*Cost!$B$7*$P13,0)</f>
        <v>233</v>
      </c>
      <c r="U13" s="7" t="s">
        <v>171</v>
      </c>
      <c r="V13" s="14" t="str">
        <f>IF(AND($K13="Yes",$B13&lt;&gt;"PCB",LEFT($I13,1)="C"),$I13,"")</f>
        <v>C2988083</v>
      </c>
      <c r="W13" s="15">
        <f>IF($V13="",0,IF(COUNTIF($V$4:$V13,$V13)=1,1,0))</f>
        <v>1</v>
      </c>
    </row>
    <row r="14" spans="1:23" ht="29.25" customHeight="1">
      <c r="A14" s="19" t="s">
        <v>50</v>
      </c>
      <c r="B14" s="7" t="s">
        <v>172</v>
      </c>
      <c r="C14" s="9">
        <v>1</v>
      </c>
      <c r="D14" s="7" t="s">
        <v>173</v>
      </c>
      <c r="E14" s="7" t="s">
        <v>174</v>
      </c>
      <c r="F14" s="7" t="s">
        <v>175</v>
      </c>
      <c r="G14" s="7" t="s">
        <v>176</v>
      </c>
      <c r="H14" s="7" t="s">
        <v>177</v>
      </c>
      <c r="I14" s="10" t="s">
        <v>178</v>
      </c>
      <c r="J14" s="10" t="s">
        <v>125</v>
      </c>
      <c r="K14" s="10" t="s">
        <v>116</v>
      </c>
      <c r="L14" s="10"/>
      <c r="M14" s="9">
        <v>2</v>
      </c>
      <c r="N14" s="9">
        <v>0</v>
      </c>
      <c r="O14" s="11">
        <v>0.2452</v>
      </c>
      <c r="P14" s="11">
        <v>0.2</v>
      </c>
      <c r="Q14" s="7" t="s">
        <v>117</v>
      </c>
      <c r="R14" s="12">
        <f>IF($K14="Yes",$C14*Cost!$B$6,0)</f>
        <v>5</v>
      </c>
      <c r="S14" s="13">
        <f>IF($K14="Yes",$C14*Cost!$B$6*$O14,0)</f>
        <v>1.226</v>
      </c>
      <c r="T14" s="13">
        <f>IF($K14="Yes",$C14*Cost!$B$7*$P14,0)</f>
        <v>20</v>
      </c>
      <c r="U14" s="7" t="s">
        <v>179</v>
      </c>
      <c r="V14" s="14" t="str">
        <f>IF(AND($K14="Yes",$B14&lt;&gt;"PCB",LEFT($I14,1)="C"),$I14,"")</f>
        <v>C115962</v>
      </c>
      <c r="W14" s="15">
        <f>IF($V14="",0,IF(COUNTIF($V$4:$V14,$V14)=1,1,0))</f>
        <v>1</v>
      </c>
    </row>
    <row r="15" spans="1:23" ht="29.25" customHeight="1">
      <c r="A15" s="19" t="s">
        <v>50</v>
      </c>
      <c r="B15" s="7" t="s">
        <v>180</v>
      </c>
      <c r="C15" s="9">
        <v>2</v>
      </c>
      <c r="D15" s="7" t="s">
        <v>181</v>
      </c>
      <c r="E15" s="7" t="s">
        <v>182</v>
      </c>
      <c r="F15" s="7" t="s">
        <v>121</v>
      </c>
      <c r="G15" s="7" t="s">
        <v>183</v>
      </c>
      <c r="H15" s="7" t="s">
        <v>184</v>
      </c>
      <c r="I15" s="10" t="s">
        <v>185</v>
      </c>
      <c r="J15" s="10" t="s">
        <v>125</v>
      </c>
      <c r="K15" s="10" t="s">
        <v>116</v>
      </c>
      <c r="L15" s="10"/>
      <c r="M15" s="9">
        <v>2</v>
      </c>
      <c r="N15" s="9">
        <v>0</v>
      </c>
      <c r="O15" s="11">
        <v>2E-3</v>
      </c>
      <c r="P15" s="11">
        <v>5.9999999999999995E-4</v>
      </c>
      <c r="Q15" s="7" t="s">
        <v>117</v>
      </c>
      <c r="R15" s="12">
        <f>IF($K15="Yes",$C15*Cost!$B$6,0)</f>
        <v>10</v>
      </c>
      <c r="S15" s="13">
        <f>IF($K15="Yes",$C15*Cost!$B$6*$O15,0)</f>
        <v>0.02</v>
      </c>
      <c r="T15" s="13">
        <f>IF($K15="Yes",$C15*Cost!$B$7*$P15,0)</f>
        <v>0.12</v>
      </c>
      <c r="U15" s="7"/>
      <c r="V15" s="14" t="str">
        <f>IF(AND($K15="Yes",$B15&lt;&gt;"PCB",LEFT($I15,1)="C"),$I15,"")</f>
        <v>C1562</v>
      </c>
      <c r="W15" s="15">
        <f>IF($V15="",0,IF(COUNTIF($V$4:$V15,$V15)=1,1,0))</f>
        <v>1</v>
      </c>
    </row>
    <row r="16" spans="1:23" ht="29.25" customHeight="1">
      <c r="A16" s="19" t="s">
        <v>50</v>
      </c>
      <c r="B16" s="7" t="s">
        <v>186</v>
      </c>
      <c r="C16" s="9">
        <v>8</v>
      </c>
      <c r="D16" s="7" t="s">
        <v>187</v>
      </c>
      <c r="E16" s="7" t="s">
        <v>188</v>
      </c>
      <c r="F16" s="7" t="s">
        <v>121</v>
      </c>
      <c r="G16" s="7" t="s">
        <v>189</v>
      </c>
      <c r="H16" s="7" t="s">
        <v>190</v>
      </c>
      <c r="I16" s="10" t="s">
        <v>191</v>
      </c>
      <c r="J16" s="10" t="s">
        <v>125</v>
      </c>
      <c r="K16" s="10" t="s">
        <v>116</v>
      </c>
      <c r="L16" s="10"/>
      <c r="M16" s="9">
        <v>2</v>
      </c>
      <c r="N16" s="9">
        <v>0</v>
      </c>
      <c r="O16" s="11">
        <v>3.0000000000000001E-3</v>
      </c>
      <c r="P16" s="11">
        <v>1.1000000000000001E-3</v>
      </c>
      <c r="Q16" s="7" t="s">
        <v>117</v>
      </c>
      <c r="R16" s="12">
        <f>IF($K16="Yes",$C16*Cost!$B$6,0)</f>
        <v>40</v>
      </c>
      <c r="S16" s="13">
        <f>IF($K16="Yes",$C16*Cost!$B$6*$O16,0)</f>
        <v>0.12</v>
      </c>
      <c r="T16" s="13">
        <f>IF($K16="Yes",$C16*Cost!$B$7*$P16,0)</f>
        <v>0.88</v>
      </c>
      <c r="U16" s="7"/>
      <c r="V16" s="14" t="str">
        <f>IF(AND($K16="Yes",$B16&lt;&gt;"PCB",LEFT($I16,1)="C"),$I16,"")</f>
        <v>C1525</v>
      </c>
      <c r="W16" s="15">
        <f>IF($V16="",0,IF(COUNTIF($V$4:$V16,$V16)=1,1,0))</f>
        <v>1</v>
      </c>
    </row>
    <row r="17" spans="1:23" ht="29.25" customHeight="1">
      <c r="A17" s="19" t="s">
        <v>50</v>
      </c>
      <c r="B17" s="7" t="s">
        <v>192</v>
      </c>
      <c r="C17" s="9">
        <v>1</v>
      </c>
      <c r="D17" s="7" t="s">
        <v>193</v>
      </c>
      <c r="E17" s="7" t="s">
        <v>194</v>
      </c>
      <c r="F17" s="7" t="s">
        <v>121</v>
      </c>
      <c r="G17" s="7" t="s">
        <v>195</v>
      </c>
      <c r="H17" s="7" t="s">
        <v>196</v>
      </c>
      <c r="I17" s="10" t="s">
        <v>197</v>
      </c>
      <c r="J17" s="10" t="s">
        <v>125</v>
      </c>
      <c r="K17" s="10" t="s">
        <v>116</v>
      </c>
      <c r="L17" s="10"/>
      <c r="M17" s="9">
        <v>2</v>
      </c>
      <c r="N17" s="9">
        <v>0</v>
      </c>
      <c r="O17" s="11">
        <v>5.0000000000000001E-3</v>
      </c>
      <c r="P17" s="11">
        <v>1.9E-3</v>
      </c>
      <c r="Q17" s="7" t="s">
        <v>117</v>
      </c>
      <c r="R17" s="12">
        <f>IF($K17="Yes",$C17*Cost!$B$6,0)</f>
        <v>5</v>
      </c>
      <c r="S17" s="13">
        <f>IF($K17="Yes",$C17*Cost!$B$6*$O17,0)</f>
        <v>2.5000000000000001E-2</v>
      </c>
      <c r="T17" s="13">
        <f>IF($K17="Yes",$C17*Cost!$B$7*$P17,0)</f>
        <v>0.19</v>
      </c>
      <c r="U17" s="7"/>
      <c r="V17" s="14" t="str">
        <f>IF(AND($K17="Yes",$B17&lt;&gt;"PCB",LEFT($I17,1)="C"),$I17,"")</f>
        <v>C12530</v>
      </c>
      <c r="W17" s="15">
        <f>IF($V17="",0,IF(COUNTIF($V$4:$V17,$V17)=1,1,0))</f>
        <v>1</v>
      </c>
    </row>
    <row r="18" spans="1:23" ht="29.25" customHeight="1">
      <c r="A18" s="19" t="s">
        <v>50</v>
      </c>
      <c r="B18" s="7" t="s">
        <v>198</v>
      </c>
      <c r="C18" s="9">
        <v>1</v>
      </c>
      <c r="D18" s="7" t="s">
        <v>199</v>
      </c>
      <c r="E18" s="7" t="s">
        <v>128</v>
      </c>
      <c r="F18" s="7" t="s">
        <v>121</v>
      </c>
      <c r="G18" s="7" t="s">
        <v>122</v>
      </c>
      <c r="H18" s="7" t="s">
        <v>129</v>
      </c>
      <c r="I18" s="10" t="s">
        <v>130</v>
      </c>
      <c r="J18" s="10" t="s">
        <v>125</v>
      </c>
      <c r="K18" s="10" t="s">
        <v>116</v>
      </c>
      <c r="L18" s="10"/>
      <c r="M18" s="9">
        <v>2</v>
      </c>
      <c r="N18" s="9">
        <v>0</v>
      </c>
      <c r="O18" s="11">
        <v>2E-3</v>
      </c>
      <c r="P18" s="11">
        <v>5.0000000000000001E-4</v>
      </c>
      <c r="Q18" s="7" t="s">
        <v>117</v>
      </c>
      <c r="R18" s="12">
        <f>IF($K18="Yes",$C18*Cost!$B$6,0)</f>
        <v>5</v>
      </c>
      <c r="S18" s="13">
        <f>IF($K18="Yes",$C18*Cost!$B$6*$O18,0)</f>
        <v>0.01</v>
      </c>
      <c r="T18" s="13">
        <f>IF($K18="Yes",$C18*Cost!$B$7*$P18,0)</f>
        <v>0.05</v>
      </c>
      <c r="U18" s="7"/>
      <c r="V18" s="14" t="str">
        <f>IF(AND($K18="Yes",$B18&lt;&gt;"PCB",LEFT($I18,1)="C"),$I18,"")</f>
        <v>C25744</v>
      </c>
      <c r="W18" s="15">
        <f>IF($V18="",0,IF(COUNTIF($V$4:$V18,$V18)=1,1,0))</f>
        <v>0</v>
      </c>
    </row>
    <row r="19" spans="1:23" ht="29.25" customHeight="1">
      <c r="A19" s="19" t="s">
        <v>50</v>
      </c>
      <c r="B19" s="7" t="s">
        <v>200</v>
      </c>
      <c r="C19" s="9">
        <v>1</v>
      </c>
      <c r="D19" s="7" t="s">
        <v>201</v>
      </c>
      <c r="E19" s="7" t="s">
        <v>188</v>
      </c>
      <c r="F19" s="7" t="s">
        <v>121</v>
      </c>
      <c r="G19" s="7" t="s">
        <v>189</v>
      </c>
      <c r="H19" s="7" t="s">
        <v>190</v>
      </c>
      <c r="I19" s="10" t="s">
        <v>191</v>
      </c>
      <c r="J19" s="10" t="s">
        <v>125</v>
      </c>
      <c r="K19" s="10" t="s">
        <v>116</v>
      </c>
      <c r="L19" s="10"/>
      <c r="M19" s="9">
        <v>2</v>
      </c>
      <c r="N19" s="9">
        <v>0</v>
      </c>
      <c r="O19" s="11">
        <v>3.0000000000000001E-3</v>
      </c>
      <c r="P19" s="11">
        <v>1.1000000000000001E-3</v>
      </c>
      <c r="Q19" s="7" t="s">
        <v>117</v>
      </c>
      <c r="R19" s="12">
        <f>IF($K19="Yes",$C19*Cost!$B$6,0)</f>
        <v>5</v>
      </c>
      <c r="S19" s="13">
        <f>IF($K19="Yes",$C19*Cost!$B$6*$O19,0)</f>
        <v>1.4999999999999999E-2</v>
      </c>
      <c r="T19" s="13">
        <f>IF($K19="Yes",$C19*Cost!$B$7*$P19,0)</f>
        <v>0.11</v>
      </c>
      <c r="U19" s="7"/>
      <c r="V19" s="14" t="str">
        <f>IF(AND($K19="Yes",$B19&lt;&gt;"PCB",LEFT($I19,1)="C"),$I19,"")</f>
        <v>C1525</v>
      </c>
      <c r="W19" s="15">
        <f>IF($V19="",0,IF(COUNTIF($V$4:$V19,$V19)=1,1,0))</f>
        <v>0</v>
      </c>
    </row>
    <row r="20" spans="1:23" ht="29.25" customHeight="1">
      <c r="A20" s="19" t="s">
        <v>50</v>
      </c>
      <c r="B20" s="7" t="s">
        <v>202</v>
      </c>
      <c r="C20" s="9">
        <v>1</v>
      </c>
      <c r="D20" s="7" t="s">
        <v>203</v>
      </c>
      <c r="E20" s="7" t="s">
        <v>128</v>
      </c>
      <c r="F20" s="7" t="s">
        <v>121</v>
      </c>
      <c r="G20" s="7" t="s">
        <v>122</v>
      </c>
      <c r="H20" s="7" t="s">
        <v>129</v>
      </c>
      <c r="I20" s="10" t="s">
        <v>130</v>
      </c>
      <c r="J20" s="10" t="s">
        <v>125</v>
      </c>
      <c r="K20" s="10" t="s">
        <v>116</v>
      </c>
      <c r="L20" s="10"/>
      <c r="M20" s="9">
        <v>2</v>
      </c>
      <c r="N20" s="9">
        <v>0</v>
      </c>
      <c r="O20" s="11">
        <v>2E-3</v>
      </c>
      <c r="P20" s="11">
        <v>5.0000000000000001E-4</v>
      </c>
      <c r="Q20" s="7" t="s">
        <v>117</v>
      </c>
      <c r="R20" s="12">
        <f>IF($K20="Yes",$C20*Cost!$B$6,0)</f>
        <v>5</v>
      </c>
      <c r="S20" s="13">
        <f>IF($K20="Yes",$C20*Cost!$B$6*$O20,0)</f>
        <v>0.01</v>
      </c>
      <c r="T20" s="13">
        <f>IF($K20="Yes",$C20*Cost!$B$7*$P20,0)</f>
        <v>0.05</v>
      </c>
      <c r="U20" s="7"/>
      <c r="V20" s="14" t="str">
        <f>IF(AND($K20="Yes",$B20&lt;&gt;"PCB",LEFT($I20,1)="C"),$I20,"")</f>
        <v>C25744</v>
      </c>
      <c r="W20" s="15">
        <f>IF($V20="",0,IF(COUNTIF($V$4:$V20,$V20)=1,1,0))</f>
        <v>0</v>
      </c>
    </row>
    <row r="21" spans="1:23" ht="69.75" customHeight="1">
      <c r="A21" s="19" t="s">
        <v>50</v>
      </c>
      <c r="B21" s="7" t="s">
        <v>204</v>
      </c>
      <c r="C21" s="9">
        <v>1</v>
      </c>
      <c r="D21" s="7" t="s">
        <v>205</v>
      </c>
      <c r="E21" s="7" t="s">
        <v>110</v>
      </c>
      <c r="F21" s="7" t="s">
        <v>206</v>
      </c>
      <c r="G21" s="7" t="s">
        <v>207</v>
      </c>
      <c r="H21" s="7" t="s">
        <v>208</v>
      </c>
      <c r="I21" s="10" t="s">
        <v>209</v>
      </c>
      <c r="J21" s="10" t="s">
        <v>115</v>
      </c>
      <c r="K21" s="10" t="s">
        <v>116</v>
      </c>
      <c r="L21" s="10" t="s">
        <v>116</v>
      </c>
      <c r="M21" s="9">
        <v>33</v>
      </c>
      <c r="N21" s="9">
        <v>0</v>
      </c>
      <c r="O21" s="11">
        <v>1.6503000000000001</v>
      </c>
      <c r="P21" s="11">
        <v>1.1100000000000001</v>
      </c>
      <c r="Q21" s="7" t="s">
        <v>117</v>
      </c>
      <c r="R21" s="12">
        <f>IF($K21="Yes",$C21*Cost!$B$6,0)</f>
        <v>5</v>
      </c>
      <c r="S21" s="13">
        <f>IF($K21="Yes",$C21*Cost!$B$6*$O21,0)</f>
        <v>8.2515000000000001</v>
      </c>
      <c r="T21" s="13">
        <f>IF($K21="Yes",$C21*Cost!$B$7*$P21,0)</f>
        <v>111.00000000000001</v>
      </c>
      <c r="U21" s="7" t="s">
        <v>210</v>
      </c>
      <c r="V21" s="14" t="str">
        <f>IF(AND($K21="Yes",$B21&lt;&gt;"PCB",LEFT($I21,1)="C"),$I21,"")</f>
        <v>C18208899</v>
      </c>
      <c r="W21" s="15">
        <f>IF($V21="",0,IF(COUNTIF($V$4:$V21,$V21)=1,1,0))</f>
        <v>1</v>
      </c>
    </row>
    <row r="22" spans="1:23" ht="29.25" customHeight="1">
      <c r="A22" s="19" t="s">
        <v>50</v>
      </c>
      <c r="B22" s="7" t="s">
        <v>211</v>
      </c>
      <c r="C22" s="9">
        <v>4</v>
      </c>
      <c r="D22" s="7" t="s">
        <v>212</v>
      </c>
      <c r="E22" s="7" t="s">
        <v>188</v>
      </c>
      <c r="F22" s="7" t="s">
        <v>121</v>
      </c>
      <c r="G22" s="7" t="s">
        <v>189</v>
      </c>
      <c r="H22" s="7" t="s">
        <v>190</v>
      </c>
      <c r="I22" s="10" t="s">
        <v>191</v>
      </c>
      <c r="J22" s="10" t="s">
        <v>125</v>
      </c>
      <c r="K22" s="10" t="s">
        <v>116</v>
      </c>
      <c r="L22" s="10"/>
      <c r="M22" s="9">
        <v>2</v>
      </c>
      <c r="N22" s="9">
        <v>0</v>
      </c>
      <c r="O22" s="11">
        <v>3.0000000000000001E-3</v>
      </c>
      <c r="P22" s="11">
        <v>1.1000000000000001E-3</v>
      </c>
      <c r="Q22" s="7" t="s">
        <v>117</v>
      </c>
      <c r="R22" s="12">
        <f>IF($K22="Yes",$C22*Cost!$B$6,0)</f>
        <v>20</v>
      </c>
      <c r="S22" s="13">
        <f>IF($K22="Yes",$C22*Cost!$B$6*$O22,0)</f>
        <v>0.06</v>
      </c>
      <c r="T22" s="13">
        <f>IF($K22="Yes",$C22*Cost!$B$7*$P22,0)</f>
        <v>0.44</v>
      </c>
      <c r="U22" s="7"/>
      <c r="V22" s="14" t="str">
        <f>IF(AND($K22="Yes",$B22&lt;&gt;"PCB",LEFT($I22,1)="C"),$I22,"")</f>
        <v>C1525</v>
      </c>
      <c r="W22" s="15">
        <f>IF($V22="",0,IF(COUNTIF($V$4:$V22,$V22)=1,1,0))</f>
        <v>0</v>
      </c>
    </row>
    <row r="23" spans="1:23" ht="56.25" customHeight="1">
      <c r="A23" s="19" t="s">
        <v>50</v>
      </c>
      <c r="B23" s="7" t="s">
        <v>213</v>
      </c>
      <c r="C23" s="9">
        <v>1</v>
      </c>
      <c r="D23" s="7" t="s">
        <v>214</v>
      </c>
      <c r="E23" s="7" t="s">
        <v>215</v>
      </c>
      <c r="F23" s="7" t="s">
        <v>216</v>
      </c>
      <c r="G23" s="7" t="s">
        <v>217</v>
      </c>
      <c r="H23" s="7" t="s">
        <v>218</v>
      </c>
      <c r="I23" s="10" t="s">
        <v>219</v>
      </c>
      <c r="J23" s="10" t="s">
        <v>115</v>
      </c>
      <c r="K23" s="10" t="s">
        <v>116</v>
      </c>
      <c r="L23" s="10" t="s">
        <v>116</v>
      </c>
      <c r="M23" s="9">
        <v>4</v>
      </c>
      <c r="N23" s="9">
        <v>0</v>
      </c>
      <c r="O23" s="11">
        <v>0.89159999999999995</v>
      </c>
      <c r="P23" s="11">
        <v>0.72109999999999996</v>
      </c>
      <c r="Q23" s="7" t="s">
        <v>117</v>
      </c>
      <c r="R23" s="12">
        <f>IF($K23="Yes",$C23*Cost!$B$6,0)</f>
        <v>5</v>
      </c>
      <c r="S23" s="13">
        <f>IF($K23="Yes",$C23*Cost!$B$6*$O23,0)</f>
        <v>4.4580000000000002</v>
      </c>
      <c r="T23" s="13">
        <f>IF($K23="Yes",$C23*Cost!$B$7*$P23,0)</f>
        <v>72.11</v>
      </c>
      <c r="U23" s="7" t="s">
        <v>220</v>
      </c>
      <c r="V23" s="14" t="str">
        <f>IF(AND($K23="Yes",$B23&lt;&gt;"PCB",LEFT($I23,1)="C"),$I23,"")</f>
        <v>C5179978</v>
      </c>
      <c r="W23" s="15">
        <f>IF($V23="",0,IF(COUNTIF($V$4:$V23,$V23)=1,1,0))</f>
        <v>1</v>
      </c>
    </row>
    <row r="24" spans="1:23" ht="69.75" customHeight="1">
      <c r="A24" s="19" t="s">
        <v>50</v>
      </c>
      <c r="B24" s="7" t="s">
        <v>221</v>
      </c>
      <c r="C24" s="9">
        <v>1</v>
      </c>
      <c r="D24" s="7" t="s">
        <v>222</v>
      </c>
      <c r="E24" s="7" t="s">
        <v>223</v>
      </c>
      <c r="F24" s="7" t="s">
        <v>216</v>
      </c>
      <c r="G24" s="7" t="s">
        <v>224</v>
      </c>
      <c r="H24" s="7" t="s">
        <v>225</v>
      </c>
      <c r="I24" s="10" t="s">
        <v>226</v>
      </c>
      <c r="J24" s="10" t="s">
        <v>115</v>
      </c>
      <c r="K24" s="10" t="s">
        <v>116</v>
      </c>
      <c r="L24" s="10" t="s">
        <v>116</v>
      </c>
      <c r="M24" s="9">
        <v>4</v>
      </c>
      <c r="N24" s="9">
        <v>0</v>
      </c>
      <c r="O24" s="11">
        <v>0.50749999999999995</v>
      </c>
      <c r="P24" s="11">
        <v>0.29070000000000001</v>
      </c>
      <c r="Q24" s="7" t="s">
        <v>117</v>
      </c>
      <c r="R24" s="12">
        <f>IF($K24="Yes",$C24*Cost!$B$6,0)</f>
        <v>5</v>
      </c>
      <c r="S24" s="13">
        <f>IF($K24="Yes",$C24*Cost!$B$6*$O24,0)</f>
        <v>2.5374999999999996</v>
      </c>
      <c r="T24" s="13">
        <f>IF($K24="Yes",$C24*Cost!$B$7*$P24,0)</f>
        <v>29.07</v>
      </c>
      <c r="U24" s="7" t="s">
        <v>227</v>
      </c>
      <c r="V24" s="14" t="str">
        <f>IF(AND($K24="Yes",$B24&lt;&gt;"PCB",LEFT($I24,1)="C"),$I24,"")</f>
        <v>C2831388</v>
      </c>
      <c r="W24" s="15">
        <f>IF($V24="",0,IF(COUNTIF($V$4:$V24,$V24)=1,1,0))</f>
        <v>1</v>
      </c>
    </row>
    <row r="25" spans="1:23" ht="83.25" customHeight="1">
      <c r="A25" s="19" t="s">
        <v>50</v>
      </c>
      <c r="B25" s="7" t="s">
        <v>228</v>
      </c>
      <c r="C25" s="9">
        <v>1</v>
      </c>
      <c r="D25" s="7" t="s">
        <v>229</v>
      </c>
      <c r="E25" s="7" t="s">
        <v>230</v>
      </c>
      <c r="F25" s="7" t="s">
        <v>231</v>
      </c>
      <c r="G25" s="7" t="s">
        <v>232</v>
      </c>
      <c r="H25" s="7" t="s">
        <v>233</v>
      </c>
      <c r="I25" s="10" t="s">
        <v>234</v>
      </c>
      <c r="J25" s="10" t="s">
        <v>115</v>
      </c>
      <c r="K25" s="10" t="s">
        <v>116</v>
      </c>
      <c r="L25" s="10" t="s">
        <v>116</v>
      </c>
      <c r="M25" s="9">
        <v>4</v>
      </c>
      <c r="N25" s="9">
        <v>0</v>
      </c>
      <c r="O25" s="11">
        <v>0.54549999999999998</v>
      </c>
      <c r="P25" s="11">
        <v>0.3085</v>
      </c>
      <c r="Q25" s="7" t="s">
        <v>117</v>
      </c>
      <c r="R25" s="12">
        <f>IF($K25="Yes",$C25*Cost!$B$6,0)</f>
        <v>5</v>
      </c>
      <c r="S25" s="13">
        <f>IF($K25="Yes",$C25*Cost!$B$6*$O25,0)</f>
        <v>2.7275</v>
      </c>
      <c r="T25" s="13">
        <f>IF($K25="Yes",$C25*Cost!$B$7*$P25,0)</f>
        <v>30.85</v>
      </c>
      <c r="U25" s="7" t="s">
        <v>235</v>
      </c>
      <c r="V25" s="14" t="str">
        <f t="shared" ref="V25:V27" si="0">IF(AND($K25="Yes",$B25&lt;&gt;"PCB",LEFT($I25,1)="C"),$I25,"")</f>
        <v>C5452663</v>
      </c>
      <c r="W25" s="15">
        <f>IF($V25="",0,IF(COUNTIF($V$4:$V25,$V25)=1,1,0))</f>
        <v>1</v>
      </c>
    </row>
    <row r="26" spans="1:23" ht="29.25" customHeight="1">
      <c r="A26" s="19" t="s">
        <v>50</v>
      </c>
      <c r="B26" s="7" t="s">
        <v>236</v>
      </c>
      <c r="C26" s="9">
        <v>3</v>
      </c>
      <c r="D26" s="7" t="s">
        <v>237</v>
      </c>
      <c r="E26" s="7" t="s">
        <v>188</v>
      </c>
      <c r="F26" s="7" t="s">
        <v>121</v>
      </c>
      <c r="G26" s="7" t="s">
        <v>189</v>
      </c>
      <c r="H26" s="7" t="s">
        <v>190</v>
      </c>
      <c r="I26" s="10" t="s">
        <v>191</v>
      </c>
      <c r="J26" s="10" t="s">
        <v>125</v>
      </c>
      <c r="K26" s="10" t="s">
        <v>116</v>
      </c>
      <c r="L26" s="10"/>
      <c r="M26" s="9">
        <v>2</v>
      </c>
      <c r="N26" s="9">
        <v>0</v>
      </c>
      <c r="O26" s="11">
        <v>3.0000000000000001E-3</v>
      </c>
      <c r="P26" s="11">
        <v>1.1000000000000001E-3</v>
      </c>
      <c r="Q26" s="7" t="s">
        <v>117</v>
      </c>
      <c r="R26" s="12">
        <f>IF($K26="Yes",$C26*Cost!$B$6,0)</f>
        <v>15</v>
      </c>
      <c r="S26" s="13">
        <f>IF($K26="Yes",$C26*Cost!$B$6*$O26,0)</f>
        <v>4.4999999999999998E-2</v>
      </c>
      <c r="T26" s="13">
        <f>IF($K26="Yes",$C26*Cost!$B$7*$P26,0)</f>
        <v>0.33</v>
      </c>
      <c r="U26" s="7"/>
      <c r="V26" s="14" t="str">
        <f t="shared" si="0"/>
        <v>C1525</v>
      </c>
      <c r="W26" s="15">
        <f>IF($V26="",0,IF(COUNTIF($V$4:$V26,$V26)=1,1,0))</f>
        <v>0</v>
      </c>
    </row>
    <row r="27" spans="1:23" ht="69.75" customHeight="1">
      <c r="A27" s="19" t="s">
        <v>50</v>
      </c>
      <c r="B27" s="7" t="s">
        <v>238</v>
      </c>
      <c r="C27" s="9">
        <v>2</v>
      </c>
      <c r="D27" s="7" t="s">
        <v>239</v>
      </c>
      <c r="E27" s="7" t="s">
        <v>240</v>
      </c>
      <c r="F27" s="7" t="s">
        <v>121</v>
      </c>
      <c r="G27" s="7" t="s">
        <v>122</v>
      </c>
      <c r="H27" s="7" t="s">
        <v>241</v>
      </c>
      <c r="I27" s="10" t="s">
        <v>242</v>
      </c>
      <c r="J27" s="10" t="s">
        <v>125</v>
      </c>
      <c r="K27" s="10" t="s">
        <v>116</v>
      </c>
      <c r="L27" s="10"/>
      <c r="M27" s="9">
        <v>2</v>
      </c>
      <c r="N27" s="9">
        <v>0</v>
      </c>
      <c r="O27" s="11">
        <v>2E-3</v>
      </c>
      <c r="P27" s="11">
        <v>5.0000000000000001E-4</v>
      </c>
      <c r="Q27" s="7" t="s">
        <v>117</v>
      </c>
      <c r="R27" s="12">
        <f>IF($K27="Yes",$C27*Cost!$B$6,0)</f>
        <v>10</v>
      </c>
      <c r="S27" s="13">
        <f>IF($K27="Yes",$C27*Cost!$B$6*$O27,0)</f>
        <v>0.02</v>
      </c>
      <c r="T27" s="13">
        <f>IF($K27="Yes",$C27*Cost!$B$7*$P27,0)</f>
        <v>0.1</v>
      </c>
      <c r="U27" s="7"/>
      <c r="V27" s="14" t="str">
        <f t="shared" si="0"/>
        <v>C25879</v>
      </c>
      <c r="W27" s="15">
        <f>IF($V27="",0,IF(COUNTIF($V$4:$V27,$V27)=1,1,0))</f>
        <v>1</v>
      </c>
    </row>
    <row r="28" spans="1:23" ht="29.25" customHeight="1">
      <c r="A28" s="19" t="s">
        <v>50</v>
      </c>
      <c r="B28" s="7" t="s">
        <v>243</v>
      </c>
      <c r="C28" s="9">
        <v>1</v>
      </c>
      <c r="D28" s="7" t="s">
        <v>244</v>
      </c>
      <c r="E28" s="7" t="s">
        <v>128</v>
      </c>
      <c r="F28" s="7" t="s">
        <v>121</v>
      </c>
      <c r="G28" s="7" t="s">
        <v>122</v>
      </c>
      <c r="H28" s="7" t="s">
        <v>129</v>
      </c>
      <c r="I28" s="10" t="s">
        <v>130</v>
      </c>
      <c r="J28" s="10" t="s">
        <v>125</v>
      </c>
      <c r="K28" s="10" t="s">
        <v>116</v>
      </c>
      <c r="L28" s="10"/>
      <c r="M28" s="9">
        <v>2</v>
      </c>
      <c r="N28" s="9">
        <v>0</v>
      </c>
      <c r="O28" s="11">
        <v>2E-3</v>
      </c>
      <c r="P28" s="11">
        <v>5.0000000000000001E-4</v>
      </c>
      <c r="Q28" s="7" t="s">
        <v>117</v>
      </c>
      <c r="R28" s="12">
        <f>IF($K28="Yes",$C28*Cost!$B$6,0)</f>
        <v>5</v>
      </c>
      <c r="S28" s="13">
        <f>IF($K28="Yes",$C28*Cost!$B$6*$O28,0)</f>
        <v>0.01</v>
      </c>
      <c r="T28" s="13">
        <f>IF($K28="Yes",$C28*Cost!$B$7*$P28,0)</f>
        <v>0.05</v>
      </c>
      <c r="U28" s="7"/>
      <c r="V28" s="14" t="str">
        <f>IF(AND($K28="Yes",$B28&lt;&gt;"PCB",LEFT($I28,1)="C"),$I28,"")</f>
        <v>C25744</v>
      </c>
      <c r="W28" s="15">
        <f>IF($V28="",0,IF(COUNTIF($V$4:$V28,$V28)=1,1,0))</f>
        <v>0</v>
      </c>
    </row>
    <row r="29" spans="1:23" ht="42.75" customHeight="1">
      <c r="A29" s="19" t="s">
        <v>50</v>
      </c>
      <c r="B29" s="7" t="s">
        <v>245</v>
      </c>
      <c r="C29" s="9">
        <v>1</v>
      </c>
      <c r="D29" s="7" t="s">
        <v>246</v>
      </c>
      <c r="E29" s="7" t="s">
        <v>110</v>
      </c>
      <c r="F29" s="7" t="s">
        <v>247</v>
      </c>
      <c r="G29" s="7" t="s">
        <v>248</v>
      </c>
      <c r="H29" s="7" t="s">
        <v>249</v>
      </c>
      <c r="I29" s="10" t="s">
        <v>250</v>
      </c>
      <c r="J29" s="10" t="s">
        <v>115</v>
      </c>
      <c r="K29" s="10" t="s">
        <v>251</v>
      </c>
      <c r="L29" s="10"/>
      <c r="M29" s="9">
        <v>6</v>
      </c>
      <c r="N29" s="9">
        <v>0</v>
      </c>
      <c r="O29" s="11">
        <v>0.21060000000000001</v>
      </c>
      <c r="P29" s="11">
        <v>0.1643</v>
      </c>
      <c r="Q29" s="7" t="s">
        <v>117</v>
      </c>
      <c r="R29" s="12">
        <f>IF($K29="Yes",$C29*Cost!$B$6,0)</f>
        <v>0</v>
      </c>
      <c r="S29" s="13">
        <f>IF($K29="Yes",$C29*Cost!$B$6*$O29,0)</f>
        <v>0</v>
      </c>
      <c r="T29" s="13">
        <f>IF($K29="Yes",$C29*Cost!$B$7*$P29,0)</f>
        <v>0</v>
      </c>
      <c r="U29" s="7"/>
      <c r="V29" s="14" t="str">
        <f t="shared" ref="V29:V30" si="1">IF(AND($K29="Yes",$B29&lt;&gt;"PCB",LEFT($I29,1)="C"),$I29,"")</f>
        <v/>
      </c>
      <c r="W29" s="15">
        <f>IF($V29="",0,IF(COUNTIF($V$4:$V29,$V29)=1,1,0))</f>
        <v>0</v>
      </c>
    </row>
    <row r="30" spans="1:23" ht="29.25" customHeight="1">
      <c r="A30" s="19" t="s">
        <v>50</v>
      </c>
      <c r="B30" s="7" t="s">
        <v>252</v>
      </c>
      <c r="C30" s="9">
        <v>1</v>
      </c>
      <c r="D30" s="7" t="s">
        <v>253</v>
      </c>
      <c r="E30" s="7" t="s">
        <v>254</v>
      </c>
      <c r="F30" s="7" t="s">
        <v>121</v>
      </c>
      <c r="G30" s="7" t="s">
        <v>122</v>
      </c>
      <c r="H30" s="7" t="s">
        <v>255</v>
      </c>
      <c r="I30" s="10" t="s">
        <v>256</v>
      </c>
      <c r="J30" s="10" t="s">
        <v>125</v>
      </c>
      <c r="K30" s="10" t="s">
        <v>251</v>
      </c>
      <c r="L30" s="10"/>
      <c r="M30" s="9">
        <v>2</v>
      </c>
      <c r="N30" s="9">
        <v>0</v>
      </c>
      <c r="O30" s="11">
        <v>2E-3</v>
      </c>
      <c r="P30" s="11">
        <v>5.0000000000000001E-4</v>
      </c>
      <c r="Q30" s="7" t="s">
        <v>117</v>
      </c>
      <c r="R30" s="12">
        <f>IF($K30="Yes",$C30*Cost!$B$6,0)</f>
        <v>0</v>
      </c>
      <c r="S30" s="13">
        <f>IF($K30="Yes",$C30*Cost!$B$6*$O30,0)</f>
        <v>0</v>
      </c>
      <c r="T30" s="13">
        <f>IF($K30="Yes",$C30*Cost!$B$7*$P30,0)</f>
        <v>0</v>
      </c>
      <c r="U30" s="7"/>
      <c r="V30" s="14" t="str">
        <f t="shared" si="1"/>
        <v/>
      </c>
      <c r="W30" s="15">
        <f>IF($V30="",0,IF(COUNTIF($V$4:$V30,$V30)=1,1,0))</f>
        <v>0</v>
      </c>
    </row>
    <row r="31" spans="1:23" ht="29.25" customHeight="1">
      <c r="A31" s="19" t="s">
        <v>50</v>
      </c>
      <c r="B31" s="7" t="s">
        <v>257</v>
      </c>
      <c r="C31" s="9">
        <v>4</v>
      </c>
      <c r="D31" s="7" t="s">
        <v>258</v>
      </c>
      <c r="E31" s="7" t="s">
        <v>254</v>
      </c>
      <c r="F31" s="7" t="s">
        <v>121</v>
      </c>
      <c r="G31" s="7" t="s">
        <v>122</v>
      </c>
      <c r="H31" s="7" t="s">
        <v>255</v>
      </c>
      <c r="I31" s="10" t="s">
        <v>256</v>
      </c>
      <c r="J31" s="10" t="s">
        <v>125</v>
      </c>
      <c r="K31" s="10" t="s">
        <v>116</v>
      </c>
      <c r="L31" s="10"/>
      <c r="M31" s="9">
        <v>2</v>
      </c>
      <c r="N31" s="9">
        <v>0</v>
      </c>
      <c r="O31" s="11">
        <v>2E-3</v>
      </c>
      <c r="P31" s="11">
        <v>5.0000000000000001E-4</v>
      </c>
      <c r="Q31" s="7" t="s">
        <v>117</v>
      </c>
      <c r="R31" s="12">
        <f>IF($K31="Yes",$C31*Cost!$B$6,0)</f>
        <v>20</v>
      </c>
      <c r="S31" s="13">
        <f>IF($K31="Yes",$C31*Cost!$B$6*$O31,0)</f>
        <v>0.04</v>
      </c>
      <c r="T31" s="13">
        <f>IF($K31="Yes",$C31*Cost!$B$7*$P31,0)</f>
        <v>0.2</v>
      </c>
      <c r="U31" s="7"/>
      <c r="V31" s="14" t="str">
        <f>IF(AND($K31="Yes",$B31&lt;&gt;"PCB",LEFT($I31,1)="C"),$I31,"")</f>
        <v>C25105</v>
      </c>
      <c r="W31" s="15">
        <f>IF($V31="",0,IF(COUNTIF($V$4:$V31,$V31)=1,1,0))</f>
        <v>1</v>
      </c>
    </row>
    <row r="32" spans="1:23" ht="29.25" customHeight="1">
      <c r="A32" s="19" t="s">
        <v>50</v>
      </c>
      <c r="B32" s="7" t="s">
        <v>259</v>
      </c>
      <c r="C32" s="9">
        <v>1</v>
      </c>
      <c r="D32" s="7" t="s">
        <v>260</v>
      </c>
      <c r="E32" s="7" t="s">
        <v>254</v>
      </c>
      <c r="F32" s="7" t="s">
        <v>121</v>
      </c>
      <c r="G32" s="7" t="s">
        <v>122</v>
      </c>
      <c r="H32" s="7" t="s">
        <v>255</v>
      </c>
      <c r="I32" s="10" t="s">
        <v>256</v>
      </c>
      <c r="J32" s="10" t="s">
        <v>125</v>
      </c>
      <c r="K32" s="10" t="s">
        <v>116</v>
      </c>
      <c r="L32" s="10"/>
      <c r="M32" s="9">
        <v>2</v>
      </c>
      <c r="N32" s="9">
        <v>0</v>
      </c>
      <c r="O32" s="11">
        <v>2E-3</v>
      </c>
      <c r="P32" s="11">
        <v>5.0000000000000001E-4</v>
      </c>
      <c r="Q32" s="7" t="s">
        <v>117</v>
      </c>
      <c r="R32" s="12">
        <f>IF($K32="Yes",$C32*Cost!$B$6,0)</f>
        <v>5</v>
      </c>
      <c r="S32" s="13">
        <f>IF($K32="Yes",$C32*Cost!$B$6*$O32,0)</f>
        <v>0.01</v>
      </c>
      <c r="T32" s="13">
        <f>IF($K32="Yes",$C32*Cost!$B$7*$P32,0)</f>
        <v>0.05</v>
      </c>
      <c r="U32" s="7"/>
      <c r="V32" s="14" t="str">
        <f>IF(AND($K32="Yes",$B32&lt;&gt;"PCB",LEFT($I32,1)="C"),$I32,"")</f>
        <v>C25105</v>
      </c>
      <c r="W32" s="15">
        <f>IF($V32="",0,IF(COUNTIF($V$4:$V32,$V32)=1,1,0))</f>
        <v>0</v>
      </c>
    </row>
    <row r="33" spans="1:23" ht="29.25" customHeight="1">
      <c r="A33" s="19" t="s">
        <v>50</v>
      </c>
      <c r="B33" s="7" t="s">
        <v>261</v>
      </c>
      <c r="C33" s="9">
        <v>2</v>
      </c>
      <c r="D33" s="7" t="s">
        <v>262</v>
      </c>
      <c r="E33" s="7" t="s">
        <v>254</v>
      </c>
      <c r="F33" s="7" t="s">
        <v>121</v>
      </c>
      <c r="G33" s="7" t="s">
        <v>122</v>
      </c>
      <c r="H33" s="7" t="s">
        <v>255</v>
      </c>
      <c r="I33" s="10" t="s">
        <v>256</v>
      </c>
      <c r="J33" s="10" t="s">
        <v>125</v>
      </c>
      <c r="K33" s="10" t="s">
        <v>116</v>
      </c>
      <c r="L33" s="10"/>
      <c r="M33" s="9">
        <v>2</v>
      </c>
      <c r="N33" s="9">
        <v>0</v>
      </c>
      <c r="O33" s="11">
        <v>2E-3</v>
      </c>
      <c r="P33" s="11">
        <v>5.0000000000000001E-4</v>
      </c>
      <c r="Q33" s="7" t="s">
        <v>117</v>
      </c>
      <c r="R33" s="12">
        <f>IF($K33="Yes",$C33*Cost!$B$6,0)</f>
        <v>10</v>
      </c>
      <c r="S33" s="13">
        <f>IF($K33="Yes",$C33*Cost!$B$6*$O33,0)</f>
        <v>0.02</v>
      </c>
      <c r="T33" s="13">
        <f>IF($K33="Yes",$C33*Cost!$B$7*$P33,0)</f>
        <v>0.1</v>
      </c>
      <c r="U33" s="7"/>
      <c r="V33" s="14" t="str">
        <f>IF(AND($K33="Yes",$B33&lt;&gt;"PCB",LEFT($I33,1)="C"),$I33,"")</f>
        <v>C25105</v>
      </c>
      <c r="W33" s="15">
        <f>IF($V33="",0,IF(COUNTIF($V$4:$V33,$V33)=1,1,0))</f>
        <v>0</v>
      </c>
    </row>
    <row r="34" spans="1:23" ht="29.25" customHeight="1">
      <c r="A34" s="19" t="s">
        <v>50</v>
      </c>
      <c r="B34" s="7" t="s">
        <v>263</v>
      </c>
      <c r="C34" s="9">
        <v>2</v>
      </c>
      <c r="D34" s="7" t="s">
        <v>264</v>
      </c>
      <c r="E34" s="7" t="s">
        <v>240</v>
      </c>
      <c r="F34" s="7" t="s">
        <v>121</v>
      </c>
      <c r="G34" s="7" t="s">
        <v>122</v>
      </c>
      <c r="H34" s="7" t="s">
        <v>241</v>
      </c>
      <c r="I34" s="10" t="s">
        <v>242</v>
      </c>
      <c r="J34" s="10" t="s">
        <v>125</v>
      </c>
      <c r="K34" s="10" t="s">
        <v>116</v>
      </c>
      <c r="L34" s="10"/>
      <c r="M34" s="9">
        <v>2</v>
      </c>
      <c r="N34" s="9">
        <v>0</v>
      </c>
      <c r="O34" s="11">
        <v>2E-3</v>
      </c>
      <c r="P34" s="11">
        <v>5.0000000000000001E-4</v>
      </c>
      <c r="Q34" s="7" t="s">
        <v>117</v>
      </c>
      <c r="R34" s="12">
        <f>IF($K34="Yes",$C34*Cost!$B$6,0)</f>
        <v>10</v>
      </c>
      <c r="S34" s="13">
        <f>IF($K34="Yes",$C34*Cost!$B$6*$O34,0)</f>
        <v>0.02</v>
      </c>
      <c r="T34" s="13">
        <f>IF($K34="Yes",$C34*Cost!$B$7*$P34,0)</f>
        <v>0.1</v>
      </c>
      <c r="U34" s="7"/>
      <c r="V34" s="14" t="str">
        <f>IF(AND($K34="Yes",$B34&lt;&gt;"PCB",LEFT($I34,1)="C"),$I34,"")</f>
        <v>C25879</v>
      </c>
      <c r="W34" s="15">
        <f>IF($V34="",0,IF(COUNTIF($V$4:$V34,$V34)=1,1,0))</f>
        <v>0</v>
      </c>
    </row>
    <row r="35" spans="1:23" ht="29.25" customHeight="1">
      <c r="A35" s="19" t="s">
        <v>50</v>
      </c>
      <c r="B35" s="7" t="s">
        <v>265</v>
      </c>
      <c r="C35" s="9">
        <v>1</v>
      </c>
      <c r="D35" s="7" t="s">
        <v>266</v>
      </c>
      <c r="E35" s="7" t="s">
        <v>110</v>
      </c>
      <c r="F35" s="7" t="s">
        <v>267</v>
      </c>
      <c r="G35" s="7" t="s">
        <v>110</v>
      </c>
      <c r="H35" s="7" t="s">
        <v>268</v>
      </c>
      <c r="I35" s="10" t="s">
        <v>110</v>
      </c>
      <c r="J35" s="10" t="s">
        <v>110</v>
      </c>
      <c r="K35" s="10" t="s">
        <v>268</v>
      </c>
      <c r="L35" s="10"/>
      <c r="M35" s="9">
        <v>0</v>
      </c>
      <c r="N35" s="9">
        <v>0</v>
      </c>
      <c r="O35" s="11">
        <v>0</v>
      </c>
      <c r="P35" s="11">
        <v>0</v>
      </c>
      <c r="Q35" s="7" t="s">
        <v>269</v>
      </c>
      <c r="R35" s="12">
        <f>IF($K35="Yes",$C35*Cost!$B$6,0)</f>
        <v>0</v>
      </c>
      <c r="S35" s="13">
        <f>IF($K35="Yes",$C35*Cost!$B$6*$O35,0)</f>
        <v>0</v>
      </c>
      <c r="T35" s="13">
        <f>IF($K35="Yes",$C35*Cost!$B$7*$P35,0)</f>
        <v>0</v>
      </c>
      <c r="U35" s="7"/>
      <c r="V35" s="14" t="str">
        <f>IF(AND($K35="Yes",$B35&lt;&gt;"PCB",LEFT($I35,1)="C"),$I35,"")</f>
        <v/>
      </c>
      <c r="W35" s="15">
        <f>IF($V35="",0,IF(COUNTIF($V$4:$V35,$V35)=1,1,0))</f>
        <v>0</v>
      </c>
    </row>
    <row r="36" spans="1:23" ht="29.25" customHeight="1">
      <c r="A36" s="19" t="s">
        <v>50</v>
      </c>
      <c r="B36" s="7" t="s">
        <v>270</v>
      </c>
      <c r="C36" s="9">
        <v>1</v>
      </c>
      <c r="D36" s="7" t="s">
        <v>271</v>
      </c>
      <c r="E36" s="7" t="s">
        <v>110</v>
      </c>
      <c r="F36" s="7" t="s">
        <v>267</v>
      </c>
      <c r="G36" s="7" t="s">
        <v>110</v>
      </c>
      <c r="H36" s="7" t="s">
        <v>268</v>
      </c>
      <c r="I36" s="10" t="s">
        <v>110</v>
      </c>
      <c r="J36" s="10" t="s">
        <v>110</v>
      </c>
      <c r="K36" s="10" t="s">
        <v>268</v>
      </c>
      <c r="L36" s="10"/>
      <c r="M36" s="9">
        <v>0</v>
      </c>
      <c r="N36" s="9">
        <v>0</v>
      </c>
      <c r="O36" s="11">
        <v>0</v>
      </c>
      <c r="P36" s="11">
        <v>0</v>
      </c>
      <c r="Q36" s="7" t="s">
        <v>269</v>
      </c>
      <c r="R36" s="12">
        <f>IF($K36="Yes",$C36*Cost!$B$6,0)</f>
        <v>0</v>
      </c>
      <c r="S36" s="13">
        <f>IF($K36="Yes",$C36*Cost!$B$6*$O36,0)</f>
        <v>0</v>
      </c>
      <c r="T36" s="13">
        <f>IF($K36="Yes",$C36*Cost!$B$7*$P36,0)</f>
        <v>0</v>
      </c>
      <c r="U36" s="7"/>
      <c r="V36" s="14" t="str">
        <f>IF(AND($K36="Yes",$B36&lt;&gt;"PCB",LEFT($I36,1)="C"),$I36,"")</f>
        <v/>
      </c>
      <c r="W36" s="15">
        <f>IF($V36="",0,IF(COUNTIF($V$4:$V36,$V36)=1,1,0))</f>
        <v>0</v>
      </c>
    </row>
    <row r="37" spans="1:23" ht="42.75" customHeight="1">
      <c r="A37" s="20" t="s">
        <v>52</v>
      </c>
      <c r="B37" s="7" t="s">
        <v>272</v>
      </c>
      <c r="C37" s="9">
        <v>1</v>
      </c>
      <c r="D37" s="7" t="s">
        <v>273</v>
      </c>
      <c r="E37" s="7" t="s">
        <v>110</v>
      </c>
      <c r="F37" s="7" t="s">
        <v>274</v>
      </c>
      <c r="G37" s="7" t="s">
        <v>275</v>
      </c>
      <c r="H37" s="7" t="s">
        <v>276</v>
      </c>
      <c r="I37" s="10" t="s">
        <v>277</v>
      </c>
      <c r="J37" s="10" t="s">
        <v>115</v>
      </c>
      <c r="K37" s="10" t="s">
        <v>116</v>
      </c>
      <c r="L37" s="10" t="s">
        <v>116</v>
      </c>
      <c r="M37" s="9">
        <v>29</v>
      </c>
      <c r="N37" s="9">
        <v>0</v>
      </c>
      <c r="O37" s="11">
        <v>3.4678</v>
      </c>
      <c r="P37" s="11">
        <v>2.2799999999999998</v>
      </c>
      <c r="Q37" s="7" t="s">
        <v>117</v>
      </c>
      <c r="R37" s="12">
        <f>IF($K37="Yes",$C37*Cost!$B$6,0)</f>
        <v>5</v>
      </c>
      <c r="S37" s="13">
        <f>IF($K37="Yes",$C37*Cost!$B$6*$O37,0)</f>
        <v>17.338999999999999</v>
      </c>
      <c r="T37" s="13">
        <f>IF($K37="Yes",$C37*Cost!$B$7*$P37,0)</f>
        <v>227.99999999999997</v>
      </c>
      <c r="U37" s="7" t="s">
        <v>278</v>
      </c>
      <c r="V37" s="14" t="str">
        <f>IF(AND($K37="Yes",$B37&lt;&gt;"PCB",LEFT($I37,1)="C"),$I37,"")</f>
        <v>C2688377</v>
      </c>
      <c r="W37" s="15">
        <f>IF($V37="",0,IF(COUNTIF($V$4:$V37,$V37)=1,1,0))</f>
        <v>1</v>
      </c>
    </row>
    <row r="38" spans="1:23" ht="29.25" customHeight="1">
      <c r="A38" s="19" t="s">
        <v>52</v>
      </c>
      <c r="B38" s="7" t="s">
        <v>279</v>
      </c>
      <c r="C38" s="9">
        <v>1</v>
      </c>
      <c r="D38" s="7" t="s">
        <v>280</v>
      </c>
      <c r="E38" s="7" t="s">
        <v>281</v>
      </c>
      <c r="F38" s="7" t="s">
        <v>282</v>
      </c>
      <c r="G38" s="7" t="s">
        <v>283</v>
      </c>
      <c r="H38" s="7" t="s">
        <v>284</v>
      </c>
      <c r="I38" s="10" t="s">
        <v>285</v>
      </c>
      <c r="J38" s="10" t="s">
        <v>115</v>
      </c>
      <c r="K38" s="10" t="s">
        <v>116</v>
      </c>
      <c r="L38" s="10"/>
      <c r="M38" s="9">
        <v>5</v>
      </c>
      <c r="N38" s="9">
        <v>0</v>
      </c>
      <c r="O38" s="11">
        <v>0.2104</v>
      </c>
      <c r="P38" s="11">
        <v>0.14000000000000001</v>
      </c>
      <c r="Q38" s="7" t="s">
        <v>117</v>
      </c>
      <c r="R38" s="12">
        <f>IF($K38="Yes",$C38*Cost!$B$6,0)</f>
        <v>5</v>
      </c>
      <c r="S38" s="13">
        <f>IF($K38="Yes",$C38*Cost!$B$6*$O38,0)</f>
        <v>1.052</v>
      </c>
      <c r="T38" s="13">
        <f>IF($K38="Yes",$C38*Cost!$B$7*$P38,0)</f>
        <v>14.000000000000002</v>
      </c>
      <c r="U38" s="7"/>
      <c r="V38" s="14" t="str">
        <f>IF(AND($K38="Yes",$B38&lt;&gt;"PCB",LEFT($I38,1)="C"),$I38,"")</f>
        <v>C80670</v>
      </c>
      <c r="W38" s="15">
        <f>IF($V38="",0,IF(COUNTIF($V$4:$V38,$V38)=1,1,0))</f>
        <v>1</v>
      </c>
    </row>
    <row r="39" spans="1:23" ht="29.25" customHeight="1">
      <c r="A39" s="19" t="s">
        <v>52</v>
      </c>
      <c r="B39" s="7" t="s">
        <v>286</v>
      </c>
      <c r="C39" s="9">
        <v>1</v>
      </c>
      <c r="D39" s="7" t="s">
        <v>287</v>
      </c>
      <c r="E39" s="7" t="s">
        <v>160</v>
      </c>
      <c r="F39" s="7" t="s">
        <v>161</v>
      </c>
      <c r="G39" s="7" t="s">
        <v>162</v>
      </c>
      <c r="H39" s="7" t="s">
        <v>163</v>
      </c>
      <c r="I39" s="10" t="s">
        <v>164</v>
      </c>
      <c r="J39" s="10" t="s">
        <v>125</v>
      </c>
      <c r="K39" s="10" t="s">
        <v>116</v>
      </c>
      <c r="L39" s="10"/>
      <c r="M39" s="9">
        <v>2</v>
      </c>
      <c r="N39" s="9">
        <v>0</v>
      </c>
      <c r="O39" s="11">
        <v>6.0000000000000001E-3</v>
      </c>
      <c r="P39" s="11">
        <v>2.2000000000000001E-3</v>
      </c>
      <c r="Q39" s="7" t="s">
        <v>117</v>
      </c>
      <c r="R39" s="12">
        <f>IF($K39="Yes",$C39*Cost!$B$6,0)</f>
        <v>5</v>
      </c>
      <c r="S39" s="13">
        <f>IF($K39="Yes",$C39*Cost!$B$6*$O39,0)</f>
        <v>0.03</v>
      </c>
      <c r="T39" s="13">
        <f>IF($K39="Yes",$C39*Cost!$B$7*$P39,0)</f>
        <v>0.22</v>
      </c>
      <c r="U39" s="7"/>
      <c r="V39" s="14" t="str">
        <f>IF(AND($K39="Yes",$B39&lt;&gt;"PCB",LEFT($I39,1)="C"),$I39,"")</f>
        <v>C15849</v>
      </c>
      <c r="W39" s="15">
        <f>IF($V39="",0,IF(COUNTIF($V$4:$V39,$V39)=1,1,0))</f>
        <v>0</v>
      </c>
    </row>
    <row r="40" spans="1:23" ht="29.25" customHeight="1">
      <c r="A40" s="19" t="s">
        <v>52</v>
      </c>
      <c r="B40" s="7" t="s">
        <v>288</v>
      </c>
      <c r="C40" s="9">
        <v>1</v>
      </c>
      <c r="D40" s="7" t="s">
        <v>289</v>
      </c>
      <c r="E40" s="7" t="s">
        <v>160</v>
      </c>
      <c r="F40" s="7" t="s">
        <v>161</v>
      </c>
      <c r="G40" s="7" t="s">
        <v>162</v>
      </c>
      <c r="H40" s="7" t="s">
        <v>163</v>
      </c>
      <c r="I40" s="10" t="s">
        <v>164</v>
      </c>
      <c r="J40" s="10" t="s">
        <v>125</v>
      </c>
      <c r="K40" s="10" t="s">
        <v>116</v>
      </c>
      <c r="L40" s="10"/>
      <c r="M40" s="9">
        <v>2</v>
      </c>
      <c r="N40" s="9">
        <v>0</v>
      </c>
      <c r="O40" s="11">
        <v>6.0000000000000001E-3</v>
      </c>
      <c r="P40" s="11">
        <v>2.2000000000000001E-3</v>
      </c>
      <c r="Q40" s="7" t="s">
        <v>117</v>
      </c>
      <c r="R40" s="12">
        <f>IF($K40="Yes",$C40*Cost!$B$6,0)</f>
        <v>5</v>
      </c>
      <c r="S40" s="13">
        <f>IF($K40="Yes",$C40*Cost!$B$6*$O40,0)</f>
        <v>0.03</v>
      </c>
      <c r="T40" s="13">
        <f>IF($K40="Yes",$C40*Cost!$B$7*$P40,0)</f>
        <v>0.22</v>
      </c>
      <c r="U40" s="7"/>
      <c r="V40" s="14" t="str">
        <f>IF(AND($K40="Yes",$B40&lt;&gt;"PCB",LEFT($I40,1)="C"),$I40,"")</f>
        <v>C15849</v>
      </c>
      <c r="W40" s="15">
        <f>IF($V40="",0,IF(COUNTIF($V$4:$V40,$V40)=1,1,0))</f>
        <v>0</v>
      </c>
    </row>
    <row r="41" spans="1:23" ht="29.25" customHeight="1">
      <c r="A41" s="19" t="s">
        <v>52</v>
      </c>
      <c r="B41" s="7" t="s">
        <v>290</v>
      </c>
      <c r="C41" s="9">
        <v>1</v>
      </c>
      <c r="D41" s="7" t="s">
        <v>291</v>
      </c>
      <c r="E41" s="7" t="s">
        <v>133</v>
      </c>
      <c r="F41" s="7" t="s">
        <v>121</v>
      </c>
      <c r="G41" s="7" t="s">
        <v>122</v>
      </c>
      <c r="H41" s="7" t="s">
        <v>134</v>
      </c>
      <c r="I41" s="10" t="s">
        <v>135</v>
      </c>
      <c r="J41" s="10" t="s">
        <v>125</v>
      </c>
      <c r="K41" s="10" t="s">
        <v>116</v>
      </c>
      <c r="L41" s="10"/>
      <c r="M41" s="9">
        <v>2</v>
      </c>
      <c r="N41" s="9">
        <v>0</v>
      </c>
      <c r="O41" s="11">
        <v>2E-3</v>
      </c>
      <c r="P41" s="11">
        <v>5.0000000000000001E-4</v>
      </c>
      <c r="Q41" s="7" t="s">
        <v>117</v>
      </c>
      <c r="R41" s="12">
        <f>IF($K41="Yes",$C41*Cost!$B$6,0)</f>
        <v>5</v>
      </c>
      <c r="S41" s="13">
        <f>IF($K41="Yes",$C41*Cost!$B$6*$O41,0)</f>
        <v>0.01</v>
      </c>
      <c r="T41" s="13">
        <f>IF($K41="Yes",$C41*Cost!$B$7*$P41,0)</f>
        <v>0.05</v>
      </c>
      <c r="U41" s="7"/>
      <c r="V41" s="14" t="str">
        <f>IF(AND($K41="Yes",$B41&lt;&gt;"PCB",LEFT($I41,1)="C"),$I41,"")</f>
        <v>C25741</v>
      </c>
      <c r="W41" s="15">
        <f>IF($V41="",0,IF(COUNTIF($V$4:$V41,$V41)=1,1,0))</f>
        <v>0</v>
      </c>
    </row>
    <row r="42" spans="1:23" ht="29.25" customHeight="1">
      <c r="A42" s="19" t="s">
        <v>52</v>
      </c>
      <c r="B42" s="7" t="s">
        <v>292</v>
      </c>
      <c r="C42" s="9">
        <v>2</v>
      </c>
      <c r="D42" s="7" t="s">
        <v>293</v>
      </c>
      <c r="E42" s="7" t="s">
        <v>294</v>
      </c>
      <c r="F42" s="7" t="s">
        <v>295</v>
      </c>
      <c r="G42" s="7" t="s">
        <v>122</v>
      </c>
      <c r="H42" s="7" t="s">
        <v>296</v>
      </c>
      <c r="I42" s="10" t="s">
        <v>297</v>
      </c>
      <c r="J42" s="10" t="s">
        <v>125</v>
      </c>
      <c r="K42" s="10" t="s">
        <v>116</v>
      </c>
      <c r="L42" s="10"/>
      <c r="M42" s="9">
        <v>2</v>
      </c>
      <c r="N42" s="9">
        <v>0</v>
      </c>
      <c r="O42" s="11">
        <v>3.0000000000000001E-3</v>
      </c>
      <c r="P42" s="11">
        <v>1E-3</v>
      </c>
      <c r="Q42" s="7" t="s">
        <v>117</v>
      </c>
      <c r="R42" s="12">
        <f>IF($K42="Yes",$C42*Cost!$B$6,0)</f>
        <v>10</v>
      </c>
      <c r="S42" s="13">
        <f>IF($K42="Yes",$C42*Cost!$B$6*$O42,0)</f>
        <v>0.03</v>
      </c>
      <c r="T42" s="13">
        <f>IF($K42="Yes",$C42*Cost!$B$7*$P42,0)</f>
        <v>0.2</v>
      </c>
      <c r="U42" s="7"/>
      <c r="V42" s="14" t="str">
        <f>IF(AND($K42="Yes",$B42&lt;&gt;"PCB",LEFT($I42,1)="C"),$I42,"")</f>
        <v>C17521</v>
      </c>
      <c r="W42" s="15">
        <f>IF($V42="",0,IF(COUNTIF($V$4:$V42,$V42)=1,1,0))</f>
        <v>1</v>
      </c>
    </row>
    <row r="43" spans="1:23" ht="29.25" customHeight="1">
      <c r="A43" s="19" t="s">
        <v>52</v>
      </c>
      <c r="B43" s="7" t="s">
        <v>298</v>
      </c>
      <c r="C43" s="9">
        <v>2</v>
      </c>
      <c r="D43" s="7" t="s">
        <v>299</v>
      </c>
      <c r="E43" s="7" t="s">
        <v>194</v>
      </c>
      <c r="F43" s="7" t="s">
        <v>121</v>
      </c>
      <c r="G43" s="7" t="s">
        <v>195</v>
      </c>
      <c r="H43" s="7" t="s">
        <v>196</v>
      </c>
      <c r="I43" s="10" t="s">
        <v>197</v>
      </c>
      <c r="J43" s="10" t="s">
        <v>125</v>
      </c>
      <c r="K43" s="10" t="s">
        <v>116</v>
      </c>
      <c r="L43" s="10"/>
      <c r="M43" s="9">
        <v>2</v>
      </c>
      <c r="N43" s="9">
        <v>0</v>
      </c>
      <c r="O43" s="11">
        <v>5.0000000000000001E-3</v>
      </c>
      <c r="P43" s="11">
        <v>1.9E-3</v>
      </c>
      <c r="Q43" s="7" t="s">
        <v>117</v>
      </c>
      <c r="R43" s="12">
        <f>IF($K43="Yes",$C43*Cost!$B$6,0)</f>
        <v>10</v>
      </c>
      <c r="S43" s="13">
        <f>IF($K43="Yes",$C43*Cost!$B$6*$O43,0)</f>
        <v>0.05</v>
      </c>
      <c r="T43" s="13">
        <f>IF($K43="Yes",$C43*Cost!$B$7*$P43,0)</f>
        <v>0.38</v>
      </c>
      <c r="U43" s="7"/>
      <c r="V43" s="14" t="str">
        <f>IF(AND($K43="Yes",$B43&lt;&gt;"PCB",LEFT($I43,1)="C"),$I43,"")</f>
        <v>C12530</v>
      </c>
      <c r="W43" s="15">
        <f>IF($V43="",0,IF(COUNTIF($V$4:$V43,$V43)=1,1,0))</f>
        <v>0</v>
      </c>
    </row>
    <row r="44" spans="1:23" ht="29.25" customHeight="1">
      <c r="A44" s="19" t="s">
        <v>52</v>
      </c>
      <c r="B44" s="7" t="s">
        <v>300</v>
      </c>
      <c r="C44" s="9">
        <v>5</v>
      </c>
      <c r="D44" s="7" t="s">
        <v>301</v>
      </c>
      <c r="E44" s="7" t="s">
        <v>188</v>
      </c>
      <c r="F44" s="7" t="s">
        <v>121</v>
      </c>
      <c r="G44" s="7" t="s">
        <v>189</v>
      </c>
      <c r="H44" s="7" t="s">
        <v>190</v>
      </c>
      <c r="I44" s="10" t="s">
        <v>191</v>
      </c>
      <c r="J44" s="10" t="s">
        <v>125</v>
      </c>
      <c r="K44" s="10" t="s">
        <v>116</v>
      </c>
      <c r="L44" s="10"/>
      <c r="M44" s="9">
        <v>2</v>
      </c>
      <c r="N44" s="9">
        <v>0</v>
      </c>
      <c r="O44" s="11">
        <v>3.0000000000000001E-3</v>
      </c>
      <c r="P44" s="11">
        <v>1.1000000000000001E-3</v>
      </c>
      <c r="Q44" s="7" t="s">
        <v>117</v>
      </c>
      <c r="R44" s="12">
        <f>IF($K44="Yes",$C44*Cost!$B$6,0)</f>
        <v>25</v>
      </c>
      <c r="S44" s="13">
        <f>IF($K44="Yes",$C44*Cost!$B$6*$O44,0)</f>
        <v>7.4999999999999997E-2</v>
      </c>
      <c r="T44" s="13">
        <f>IF($K44="Yes",$C44*Cost!$B$7*$P44,0)</f>
        <v>0.55000000000000004</v>
      </c>
      <c r="U44" s="7"/>
      <c r="V44" s="14" t="str">
        <f>IF(AND($K44="Yes",$B44&lt;&gt;"PCB",LEFT($I44,1)="C"),$I44,"")</f>
        <v>C1525</v>
      </c>
      <c r="W44" s="15">
        <f>IF($V44="",0,IF(COUNTIF($V$4:$V44,$V44)=1,1,0))</f>
        <v>0</v>
      </c>
    </row>
    <row r="45" spans="1:23" ht="29.25" customHeight="1">
      <c r="A45" s="19" t="s">
        <v>52</v>
      </c>
      <c r="B45" s="7" t="s">
        <v>302</v>
      </c>
      <c r="C45" s="9">
        <v>1</v>
      </c>
      <c r="D45" s="7" t="s">
        <v>303</v>
      </c>
      <c r="E45" s="7" t="s">
        <v>194</v>
      </c>
      <c r="F45" s="7" t="s">
        <v>121</v>
      </c>
      <c r="G45" s="7" t="s">
        <v>195</v>
      </c>
      <c r="H45" s="7" t="s">
        <v>196</v>
      </c>
      <c r="I45" s="10" t="s">
        <v>197</v>
      </c>
      <c r="J45" s="10" t="s">
        <v>125</v>
      </c>
      <c r="K45" s="10" t="s">
        <v>116</v>
      </c>
      <c r="L45" s="10"/>
      <c r="M45" s="9">
        <v>2</v>
      </c>
      <c r="N45" s="9">
        <v>0</v>
      </c>
      <c r="O45" s="11">
        <v>5.0000000000000001E-3</v>
      </c>
      <c r="P45" s="11">
        <v>1.9E-3</v>
      </c>
      <c r="Q45" s="7" t="s">
        <v>117</v>
      </c>
      <c r="R45" s="12">
        <f>IF($K45="Yes",$C45*Cost!$B$6,0)</f>
        <v>5</v>
      </c>
      <c r="S45" s="13">
        <f>IF($K45="Yes",$C45*Cost!$B$6*$O45,0)</f>
        <v>2.5000000000000001E-2</v>
      </c>
      <c r="T45" s="13">
        <f>IF($K45="Yes",$C45*Cost!$B$7*$P45,0)</f>
        <v>0.19</v>
      </c>
      <c r="U45" s="7"/>
      <c r="V45" s="14" t="str">
        <f>IF(AND($K45="Yes",$B45&lt;&gt;"PCB",LEFT($I45,1)="C"),$I45,"")</f>
        <v>C12530</v>
      </c>
      <c r="W45" s="15">
        <f>IF($V45="",0,IF(COUNTIF($V$4:$V45,$V45)=1,1,0))</f>
        <v>0</v>
      </c>
    </row>
    <row r="46" spans="1:23" ht="42.75" customHeight="1">
      <c r="A46" s="19" t="s">
        <v>52</v>
      </c>
      <c r="B46" s="7" t="s">
        <v>304</v>
      </c>
      <c r="C46" s="9">
        <v>1</v>
      </c>
      <c r="D46" s="7" t="s">
        <v>305</v>
      </c>
      <c r="E46" s="7" t="s">
        <v>306</v>
      </c>
      <c r="F46" s="7" t="s">
        <v>307</v>
      </c>
      <c r="G46" s="7" t="s">
        <v>308</v>
      </c>
      <c r="H46" s="7" t="s">
        <v>309</v>
      </c>
      <c r="I46" s="10" t="s">
        <v>310</v>
      </c>
      <c r="J46" s="10" t="s">
        <v>115</v>
      </c>
      <c r="K46" s="10" t="s">
        <v>116</v>
      </c>
      <c r="L46" s="10"/>
      <c r="M46" s="9">
        <v>3</v>
      </c>
      <c r="N46" s="9">
        <v>0</v>
      </c>
      <c r="O46" s="11">
        <v>0.06</v>
      </c>
      <c r="P46" s="11">
        <v>3.7999999999999999E-2</v>
      </c>
      <c r="Q46" s="7" t="s">
        <v>117</v>
      </c>
      <c r="R46" s="12">
        <f>IF($K46="Yes",$C46*Cost!$B$6,0)</f>
        <v>5</v>
      </c>
      <c r="S46" s="13">
        <f>IF($K46="Yes",$C46*Cost!$B$6*$O46,0)</f>
        <v>0.3</v>
      </c>
      <c r="T46" s="13">
        <f>IF($K46="Yes",$C46*Cost!$B$7*$P46,0)</f>
        <v>3.8</v>
      </c>
      <c r="U46" s="7" t="s">
        <v>311</v>
      </c>
      <c r="V46" s="14" t="str">
        <f>IF(AND($K46="Yes",$B46&lt;&gt;"PCB",LEFT($I46,1)="C"),$I46,"")</f>
        <v>C236662</v>
      </c>
      <c r="W46" s="15">
        <f>IF($V46="",0,IF(COUNTIF($V$4:$V46,$V46)=1,1,0))</f>
        <v>1</v>
      </c>
    </row>
    <row r="47" spans="1:23" ht="29.25" customHeight="1">
      <c r="A47" s="19" t="s">
        <v>52</v>
      </c>
      <c r="B47" s="7" t="s">
        <v>312</v>
      </c>
      <c r="C47" s="9">
        <v>1</v>
      </c>
      <c r="D47" s="7" t="s">
        <v>313</v>
      </c>
      <c r="E47" s="7" t="s">
        <v>160</v>
      </c>
      <c r="F47" s="7" t="s">
        <v>161</v>
      </c>
      <c r="G47" s="7" t="s">
        <v>162</v>
      </c>
      <c r="H47" s="7" t="s">
        <v>163</v>
      </c>
      <c r="I47" s="10" t="s">
        <v>164</v>
      </c>
      <c r="J47" s="10" t="s">
        <v>125</v>
      </c>
      <c r="K47" s="10" t="s">
        <v>116</v>
      </c>
      <c r="L47" s="10"/>
      <c r="M47" s="9">
        <v>2</v>
      </c>
      <c r="N47" s="9">
        <v>0</v>
      </c>
      <c r="O47" s="11">
        <v>6.0000000000000001E-3</v>
      </c>
      <c r="P47" s="11">
        <v>2.2000000000000001E-3</v>
      </c>
      <c r="Q47" s="7" t="s">
        <v>117</v>
      </c>
      <c r="R47" s="12">
        <f>IF($K47="Yes",$C47*Cost!$B$6,0)</f>
        <v>5</v>
      </c>
      <c r="S47" s="13">
        <f>IF($K47="Yes",$C47*Cost!$B$6*$O47,0)</f>
        <v>0.03</v>
      </c>
      <c r="T47" s="13">
        <f>IF($K47="Yes",$C47*Cost!$B$7*$P47,0)</f>
        <v>0.22</v>
      </c>
      <c r="U47" s="7"/>
      <c r="V47" s="14" t="str">
        <f>IF(AND($K47="Yes",$B47&lt;&gt;"PCB",LEFT($I47,1)="C"),$I47,"")</f>
        <v>C15849</v>
      </c>
      <c r="W47" s="15">
        <f>IF($V47="",0,IF(COUNTIF($V$4:$V47,$V47)=1,1,0))</f>
        <v>0</v>
      </c>
    </row>
    <row r="48" spans="1:23" ht="29.25" customHeight="1">
      <c r="A48" s="19" t="s">
        <v>52</v>
      </c>
      <c r="B48" s="7" t="s">
        <v>314</v>
      </c>
      <c r="C48" s="9">
        <v>1</v>
      </c>
      <c r="D48" s="7" t="s">
        <v>315</v>
      </c>
      <c r="E48" s="7" t="s">
        <v>160</v>
      </c>
      <c r="F48" s="7" t="s">
        <v>161</v>
      </c>
      <c r="G48" s="7" t="s">
        <v>162</v>
      </c>
      <c r="H48" s="7" t="s">
        <v>163</v>
      </c>
      <c r="I48" s="10" t="s">
        <v>164</v>
      </c>
      <c r="J48" s="10" t="s">
        <v>125</v>
      </c>
      <c r="K48" s="10" t="s">
        <v>116</v>
      </c>
      <c r="L48" s="10"/>
      <c r="M48" s="9">
        <v>2</v>
      </c>
      <c r="N48" s="9">
        <v>0</v>
      </c>
      <c r="O48" s="11">
        <v>6.0000000000000001E-3</v>
      </c>
      <c r="P48" s="11">
        <v>2.2000000000000001E-3</v>
      </c>
      <c r="Q48" s="7" t="s">
        <v>117</v>
      </c>
      <c r="R48" s="12">
        <f>IF($K48="Yes",$C48*Cost!$B$6,0)</f>
        <v>5</v>
      </c>
      <c r="S48" s="13">
        <f>IF($K48="Yes",$C48*Cost!$B$6*$O48,0)</f>
        <v>0.03</v>
      </c>
      <c r="T48" s="13">
        <f>IF($K48="Yes",$C48*Cost!$B$7*$P48,0)</f>
        <v>0.22</v>
      </c>
      <c r="U48" s="7"/>
      <c r="V48" s="14" t="str">
        <f>IF(AND($K48="Yes",$B48&lt;&gt;"PCB",LEFT($I48,1)="C"),$I48,"")</f>
        <v>C15849</v>
      </c>
      <c r="W48" s="15">
        <f>IF($V48="",0,IF(COUNTIF($V$4:$V48,$V48)=1,1,0))</f>
        <v>0</v>
      </c>
    </row>
    <row r="49" spans="1:23" ht="29.25" customHeight="1">
      <c r="A49" s="19" t="s">
        <v>52</v>
      </c>
      <c r="B49" s="7" t="s">
        <v>316</v>
      </c>
      <c r="C49" s="9">
        <v>1</v>
      </c>
      <c r="D49" s="7" t="s">
        <v>317</v>
      </c>
      <c r="E49" s="7" t="s">
        <v>133</v>
      </c>
      <c r="F49" s="7" t="s">
        <v>121</v>
      </c>
      <c r="G49" s="7" t="s">
        <v>122</v>
      </c>
      <c r="H49" s="7" t="s">
        <v>134</v>
      </c>
      <c r="I49" s="10" t="s">
        <v>135</v>
      </c>
      <c r="J49" s="10" t="s">
        <v>125</v>
      </c>
      <c r="K49" s="10" t="s">
        <v>116</v>
      </c>
      <c r="L49" s="10"/>
      <c r="M49" s="9">
        <v>2</v>
      </c>
      <c r="N49" s="9">
        <v>0</v>
      </c>
      <c r="O49" s="11">
        <v>2E-3</v>
      </c>
      <c r="P49" s="11">
        <v>5.0000000000000001E-4</v>
      </c>
      <c r="Q49" s="7" t="s">
        <v>117</v>
      </c>
      <c r="R49" s="12">
        <f>IF($K49="Yes",$C49*Cost!$B$6,0)</f>
        <v>5</v>
      </c>
      <c r="S49" s="13">
        <f>IF($K49="Yes",$C49*Cost!$B$6*$O49,0)</f>
        <v>0.01</v>
      </c>
      <c r="T49" s="13">
        <f>IF($K49="Yes",$C49*Cost!$B$7*$P49,0)</f>
        <v>0.05</v>
      </c>
      <c r="U49" s="7"/>
      <c r="V49" s="14" t="str">
        <f>IF(AND($K49="Yes",$B49&lt;&gt;"PCB",LEFT($I49,1)="C"),$I49,"")</f>
        <v>C25741</v>
      </c>
      <c r="W49" s="15">
        <f>IF($V49="",0,IF(COUNTIF($V$4:$V49,$V49)=1,1,0))</f>
        <v>0</v>
      </c>
    </row>
    <row r="50" spans="1:23" ht="29.25" customHeight="1">
      <c r="A50" s="19" t="s">
        <v>52</v>
      </c>
      <c r="B50" s="7" t="s">
        <v>318</v>
      </c>
      <c r="C50" s="9">
        <v>1</v>
      </c>
      <c r="D50" s="7" t="s">
        <v>319</v>
      </c>
      <c r="E50" s="7" t="s">
        <v>128</v>
      </c>
      <c r="F50" s="7" t="s">
        <v>121</v>
      </c>
      <c r="G50" s="7" t="s">
        <v>122</v>
      </c>
      <c r="H50" s="7" t="s">
        <v>129</v>
      </c>
      <c r="I50" s="10" t="s">
        <v>130</v>
      </c>
      <c r="J50" s="10" t="s">
        <v>125</v>
      </c>
      <c r="K50" s="10" t="s">
        <v>116</v>
      </c>
      <c r="L50" s="10"/>
      <c r="M50" s="9">
        <v>2</v>
      </c>
      <c r="N50" s="9">
        <v>0</v>
      </c>
      <c r="O50" s="11">
        <v>2E-3</v>
      </c>
      <c r="P50" s="11">
        <v>5.0000000000000001E-4</v>
      </c>
      <c r="Q50" s="7" t="s">
        <v>117</v>
      </c>
      <c r="R50" s="12">
        <f>IF($K50="Yes",$C50*Cost!$B$6,0)</f>
        <v>5</v>
      </c>
      <c r="S50" s="13">
        <f>IF($K50="Yes",$C50*Cost!$B$6*$O50,0)</f>
        <v>0.01</v>
      </c>
      <c r="T50" s="13">
        <f>IF($K50="Yes",$C50*Cost!$B$7*$P50,0)</f>
        <v>0.05</v>
      </c>
      <c r="U50" s="7"/>
      <c r="V50" s="14" t="str">
        <f>IF(AND($K50="Yes",$B50&lt;&gt;"PCB",LEFT($I50,1)="C"),$I50,"")</f>
        <v>C25744</v>
      </c>
      <c r="W50" s="15">
        <f>IF($V50="",0,IF(COUNTIF($V$4:$V50,$V50)=1,1,0))</f>
        <v>0</v>
      </c>
    </row>
    <row r="51" spans="1:23" ht="29.25" customHeight="1">
      <c r="A51" s="19" t="s">
        <v>52</v>
      </c>
      <c r="B51" s="7" t="s">
        <v>320</v>
      </c>
      <c r="C51" s="9">
        <v>1</v>
      </c>
      <c r="D51" s="7" t="s">
        <v>321</v>
      </c>
      <c r="E51" s="7" t="s">
        <v>322</v>
      </c>
      <c r="F51" s="7" t="s">
        <v>161</v>
      </c>
      <c r="G51" s="7" t="s">
        <v>323</v>
      </c>
      <c r="H51" s="7" t="s">
        <v>324</v>
      </c>
      <c r="I51" s="10" t="s">
        <v>325</v>
      </c>
      <c r="J51" s="10" t="s">
        <v>125</v>
      </c>
      <c r="K51" s="10" t="s">
        <v>116</v>
      </c>
      <c r="L51" s="10"/>
      <c r="M51" s="9">
        <v>2</v>
      </c>
      <c r="N51" s="9">
        <v>0</v>
      </c>
      <c r="O51" s="11">
        <v>1.2699999999999999E-2</v>
      </c>
      <c r="P51" s="11">
        <v>4.0000000000000001E-3</v>
      </c>
      <c r="Q51" s="7" t="s">
        <v>117</v>
      </c>
      <c r="R51" s="12">
        <f>IF($K51="Yes",$C51*Cost!$B$6,0)</f>
        <v>5</v>
      </c>
      <c r="S51" s="13">
        <f>IF($K51="Yes",$C51*Cost!$B$6*$O51,0)</f>
        <v>6.3500000000000001E-2</v>
      </c>
      <c r="T51" s="13">
        <f>IF($K51="Yes",$C51*Cost!$B$7*$P51,0)</f>
        <v>0.4</v>
      </c>
      <c r="U51" s="7"/>
      <c r="V51" s="14" t="str">
        <f>IF(AND($K51="Yes",$B51&lt;&gt;"PCB",LEFT($I51,1)="C"),$I51,"")</f>
        <v>C1002</v>
      </c>
      <c r="W51" s="15">
        <f>IF($V51="",0,IF(COUNTIF($V$4:$V51,$V51)=1,1,0))</f>
        <v>1</v>
      </c>
    </row>
    <row r="52" spans="1:23" ht="110.25" customHeight="1">
      <c r="A52" s="20" t="s">
        <v>54</v>
      </c>
      <c r="B52" s="7" t="s">
        <v>326</v>
      </c>
      <c r="C52" s="9">
        <v>2</v>
      </c>
      <c r="D52" s="7" t="s">
        <v>327</v>
      </c>
      <c r="E52" s="7" t="s">
        <v>110</v>
      </c>
      <c r="F52" s="7" t="s">
        <v>328</v>
      </c>
      <c r="G52" s="7" t="s">
        <v>329</v>
      </c>
      <c r="H52" s="7" t="s">
        <v>330</v>
      </c>
      <c r="I52" s="10" t="s">
        <v>331</v>
      </c>
      <c r="J52" s="10" t="s">
        <v>115</v>
      </c>
      <c r="K52" s="10" t="s">
        <v>116</v>
      </c>
      <c r="L52" s="10"/>
      <c r="M52" s="9">
        <v>8</v>
      </c>
      <c r="N52" s="9">
        <v>0</v>
      </c>
      <c r="O52" s="11">
        <v>1.0035000000000001</v>
      </c>
      <c r="P52" s="11">
        <v>0.753</v>
      </c>
      <c r="Q52" s="7" t="s">
        <v>117</v>
      </c>
      <c r="R52" s="12">
        <f>IF($K52="Yes",$C52*Cost!$B$6,0)</f>
        <v>10</v>
      </c>
      <c r="S52" s="13">
        <f>IF($K52="Yes",$C52*Cost!$B$6*$O52,0)</f>
        <v>10.035</v>
      </c>
      <c r="T52" s="13">
        <f>IF($K52="Yes",$C52*Cost!$B$7*$P52,0)</f>
        <v>150.6</v>
      </c>
      <c r="U52" s="7" t="s">
        <v>332</v>
      </c>
      <c r="V52" s="14" t="str">
        <f>IF(AND($K52="Yes",$B52&lt;&gt;"PCB",LEFT($I52,1)="C"),$I52,"")</f>
        <v>C1849415</v>
      </c>
      <c r="W52" s="15">
        <f>IF($V52="",0,IF(COUNTIF($V$4:$V52,$V52)=1,1,0))</f>
        <v>1</v>
      </c>
    </row>
    <row r="53" spans="1:23" ht="42.75" customHeight="1">
      <c r="A53" s="19" t="s">
        <v>54</v>
      </c>
      <c r="B53" s="7" t="s">
        <v>333</v>
      </c>
      <c r="C53" s="9">
        <v>4</v>
      </c>
      <c r="D53" s="7" t="s">
        <v>334</v>
      </c>
      <c r="E53" s="7" t="s">
        <v>335</v>
      </c>
      <c r="F53" s="7" t="s">
        <v>121</v>
      </c>
      <c r="G53" s="7" t="s">
        <v>122</v>
      </c>
      <c r="H53" s="7" t="s">
        <v>336</v>
      </c>
      <c r="I53" s="10" t="s">
        <v>337</v>
      </c>
      <c r="J53" s="10" t="s">
        <v>125</v>
      </c>
      <c r="K53" s="10" t="s">
        <v>116</v>
      </c>
      <c r="L53" s="10"/>
      <c r="M53" s="9">
        <v>2</v>
      </c>
      <c r="N53" s="9">
        <v>0</v>
      </c>
      <c r="O53" s="11">
        <v>2E-3</v>
      </c>
      <c r="P53" s="11">
        <v>5.0000000000000001E-4</v>
      </c>
      <c r="Q53" s="7" t="s">
        <v>117</v>
      </c>
      <c r="R53" s="12">
        <f>IF($K53="Yes",$C53*Cost!$B$6,0)</f>
        <v>20</v>
      </c>
      <c r="S53" s="13">
        <f>IF($K53="Yes",$C53*Cost!$B$6*$O53,0)</f>
        <v>0.04</v>
      </c>
      <c r="T53" s="13">
        <f>IF($K53="Yes",$C53*Cost!$B$7*$P53,0)</f>
        <v>0.2</v>
      </c>
      <c r="U53" s="7"/>
      <c r="V53" s="14" t="str">
        <f>IF(AND($K53="Yes",$B53&lt;&gt;"PCB",LEFT($I53,1)="C"),$I53,"")</f>
        <v>C11702</v>
      </c>
      <c r="W53" s="15">
        <f>IF($V53="",0,IF(COUNTIF($V$4:$V53,$V53)=1,1,0))</f>
        <v>1</v>
      </c>
    </row>
    <row r="54" spans="1:23" ht="29.25" customHeight="1">
      <c r="A54" s="19" t="s">
        <v>54</v>
      </c>
      <c r="B54" s="7" t="s">
        <v>338</v>
      </c>
      <c r="C54" s="9">
        <v>4</v>
      </c>
      <c r="D54" s="7" t="s">
        <v>339</v>
      </c>
      <c r="E54" s="7" t="s">
        <v>120</v>
      </c>
      <c r="F54" s="7" t="s">
        <v>121</v>
      </c>
      <c r="G54" s="7" t="s">
        <v>122</v>
      </c>
      <c r="H54" s="7" t="s">
        <v>123</v>
      </c>
      <c r="I54" s="10" t="s">
        <v>124</v>
      </c>
      <c r="J54" s="10" t="s">
        <v>125</v>
      </c>
      <c r="K54" s="10" t="s">
        <v>116</v>
      </c>
      <c r="L54" s="10"/>
      <c r="M54" s="9">
        <v>2</v>
      </c>
      <c r="N54" s="9">
        <v>0</v>
      </c>
      <c r="O54" s="11">
        <v>2E-3</v>
      </c>
      <c r="P54" s="11">
        <v>5.0000000000000001E-4</v>
      </c>
      <c r="Q54" s="7" t="s">
        <v>117</v>
      </c>
      <c r="R54" s="12">
        <f>IF($K54="Yes",$C54*Cost!$B$6,0)</f>
        <v>20</v>
      </c>
      <c r="S54" s="13">
        <f>IF($K54="Yes",$C54*Cost!$B$6*$O54,0)</f>
        <v>0.04</v>
      </c>
      <c r="T54" s="13">
        <f>IF($K54="Yes",$C54*Cost!$B$7*$P54,0)</f>
        <v>0.2</v>
      </c>
      <c r="U54" s="7"/>
      <c r="V54" s="14" t="str">
        <f>IF(AND($K54="Yes",$B54&lt;&gt;"PCB",LEFT($I54,1)="C"),$I54,"")</f>
        <v>C25905</v>
      </c>
      <c r="W54" s="15">
        <f>IF($V54="",0,IF(COUNTIF($V$4:$V54,$V54)=1,1,0))</f>
        <v>0</v>
      </c>
    </row>
    <row r="55" spans="1:23" ht="29.25" customHeight="1">
      <c r="A55" s="19" t="s">
        <v>54</v>
      </c>
      <c r="B55" s="7" t="s">
        <v>340</v>
      </c>
      <c r="C55" s="9">
        <v>4</v>
      </c>
      <c r="D55" s="7" t="s">
        <v>341</v>
      </c>
      <c r="E55" s="7" t="s">
        <v>342</v>
      </c>
      <c r="F55" s="7" t="s">
        <v>161</v>
      </c>
      <c r="G55" s="7" t="s">
        <v>122</v>
      </c>
      <c r="H55" s="7" t="s">
        <v>343</v>
      </c>
      <c r="I55" s="10" t="s">
        <v>344</v>
      </c>
      <c r="J55" s="10" t="s">
        <v>125</v>
      </c>
      <c r="K55" s="10" t="s">
        <v>116</v>
      </c>
      <c r="L55" s="10"/>
      <c r="M55" s="9">
        <v>2</v>
      </c>
      <c r="N55" s="9">
        <v>0</v>
      </c>
      <c r="O55" s="11">
        <v>2E-3</v>
      </c>
      <c r="P55" s="11">
        <v>5.0000000000000001E-4</v>
      </c>
      <c r="Q55" s="7" t="s">
        <v>117</v>
      </c>
      <c r="R55" s="12">
        <f>IF($K55="Yes",$C55*Cost!$B$6,0)</f>
        <v>20</v>
      </c>
      <c r="S55" s="13">
        <f>IF($K55="Yes",$C55*Cost!$B$6*$O55,0)</f>
        <v>0.04</v>
      </c>
      <c r="T55" s="13">
        <f>IF($K55="Yes",$C55*Cost!$B$7*$P55,0)</f>
        <v>0.2</v>
      </c>
      <c r="U55" s="7"/>
      <c r="V55" s="14" t="str">
        <f>IF(AND($K55="Yes",$B55&lt;&gt;"PCB",LEFT($I55,1)="C"),$I55,"")</f>
        <v>C22859</v>
      </c>
      <c r="W55" s="15">
        <f>IF($V55="",0,IF(COUNTIF($V$4:$V55,$V55)=1,1,0))</f>
        <v>1</v>
      </c>
    </row>
    <row r="56" spans="1:23" ht="42.75" customHeight="1">
      <c r="A56" s="19" t="s">
        <v>54</v>
      </c>
      <c r="B56" s="7" t="s">
        <v>345</v>
      </c>
      <c r="C56" s="9">
        <v>8</v>
      </c>
      <c r="D56" s="7" t="s">
        <v>346</v>
      </c>
      <c r="E56" s="7" t="s">
        <v>347</v>
      </c>
      <c r="F56" s="7" t="s">
        <v>161</v>
      </c>
      <c r="G56" s="7" t="s">
        <v>183</v>
      </c>
      <c r="H56" s="7" t="s">
        <v>348</v>
      </c>
      <c r="I56" s="10" t="s">
        <v>349</v>
      </c>
      <c r="J56" s="10" t="s">
        <v>125</v>
      </c>
      <c r="K56" s="10" t="s">
        <v>116</v>
      </c>
      <c r="L56" s="10"/>
      <c r="M56" s="9">
        <v>2</v>
      </c>
      <c r="N56" s="9">
        <v>0</v>
      </c>
      <c r="O56" s="11">
        <v>5.0000000000000001E-3</v>
      </c>
      <c r="P56" s="11">
        <v>1.9E-3</v>
      </c>
      <c r="Q56" s="7" t="s">
        <v>117</v>
      </c>
      <c r="R56" s="12">
        <f>IF($K56="Yes",$C56*Cost!$B$6,0)</f>
        <v>40</v>
      </c>
      <c r="S56" s="13">
        <f>IF($K56="Yes",$C56*Cost!$B$6*$O56,0)</f>
        <v>0.2</v>
      </c>
      <c r="T56" s="13">
        <f>IF($K56="Yes",$C56*Cost!$B$7*$P56,0)</f>
        <v>1.52</v>
      </c>
      <c r="U56" s="7"/>
      <c r="V56" s="14" t="str">
        <f>IF(AND($K56="Yes",$B56&lt;&gt;"PCB",LEFT($I56,1)="C"),$I56,"")</f>
        <v>C1664</v>
      </c>
      <c r="W56" s="15">
        <f>IF($V56="",0,IF(COUNTIF($V$4:$V56,$V56)=1,1,0))</f>
        <v>1</v>
      </c>
    </row>
    <row r="57" spans="1:23" ht="29.25" customHeight="1">
      <c r="A57" s="19" t="s">
        <v>54</v>
      </c>
      <c r="B57" s="7" t="s">
        <v>350</v>
      </c>
      <c r="C57" s="9">
        <v>1</v>
      </c>
      <c r="D57" s="7" t="s">
        <v>351</v>
      </c>
      <c r="E57" s="7" t="s">
        <v>352</v>
      </c>
      <c r="F57" s="7" t="s">
        <v>121</v>
      </c>
      <c r="G57" s="7" t="s">
        <v>122</v>
      </c>
      <c r="H57" s="7" t="s">
        <v>353</v>
      </c>
      <c r="I57" s="10" t="s">
        <v>354</v>
      </c>
      <c r="J57" s="10" t="s">
        <v>125</v>
      </c>
      <c r="K57" s="10" t="s">
        <v>116</v>
      </c>
      <c r="L57" s="10"/>
      <c r="M57" s="9">
        <v>2</v>
      </c>
      <c r="N57" s="9">
        <v>0</v>
      </c>
      <c r="O57" s="11">
        <v>2E-3</v>
      </c>
      <c r="P57" s="11">
        <v>5.0000000000000001E-4</v>
      </c>
      <c r="Q57" s="7" t="s">
        <v>117</v>
      </c>
      <c r="R57" s="12">
        <f>IF($K57="Yes",$C57*Cost!$B$6,0)</f>
        <v>5</v>
      </c>
      <c r="S57" s="13">
        <f>IF($K57="Yes",$C57*Cost!$B$6*$O57,0)</f>
        <v>0.01</v>
      </c>
      <c r="T57" s="13">
        <f>IF($K57="Yes",$C57*Cost!$B$7*$P57,0)</f>
        <v>0.05</v>
      </c>
      <c r="U57" s="7"/>
      <c r="V57" s="14" t="str">
        <f>IF(AND($K57="Yes",$B57&lt;&gt;"PCB",LEFT($I57,1)="C"),$I57,"")</f>
        <v>C25756</v>
      </c>
      <c r="W57" s="15">
        <f>IF($V57="",0,IF(COUNTIF($V$4:$V57,$V57)=1,1,0))</f>
        <v>1</v>
      </c>
    </row>
    <row r="58" spans="1:23" ht="29.25" customHeight="1">
      <c r="A58" s="19" t="s">
        <v>54</v>
      </c>
      <c r="B58" s="7" t="s">
        <v>355</v>
      </c>
      <c r="C58" s="9">
        <v>1</v>
      </c>
      <c r="D58" s="7" t="s">
        <v>356</v>
      </c>
      <c r="E58" s="7" t="s">
        <v>352</v>
      </c>
      <c r="F58" s="7" t="s">
        <v>121</v>
      </c>
      <c r="G58" s="7" t="s">
        <v>122</v>
      </c>
      <c r="H58" s="7" t="s">
        <v>353</v>
      </c>
      <c r="I58" s="10" t="s">
        <v>354</v>
      </c>
      <c r="J58" s="10" t="s">
        <v>125</v>
      </c>
      <c r="K58" s="10" t="s">
        <v>116</v>
      </c>
      <c r="L58" s="10"/>
      <c r="M58" s="9">
        <v>2</v>
      </c>
      <c r="N58" s="9">
        <v>0</v>
      </c>
      <c r="O58" s="11">
        <v>2E-3</v>
      </c>
      <c r="P58" s="11">
        <v>5.0000000000000001E-4</v>
      </c>
      <c r="Q58" s="7" t="s">
        <v>117</v>
      </c>
      <c r="R58" s="12">
        <f>IF($K58="Yes",$C58*Cost!$B$6,0)</f>
        <v>5</v>
      </c>
      <c r="S58" s="13">
        <f>IF($K58="Yes",$C58*Cost!$B$6*$O58,0)</f>
        <v>0.01</v>
      </c>
      <c r="T58" s="13">
        <f>IF($K58="Yes",$C58*Cost!$B$7*$P58,0)</f>
        <v>0.05</v>
      </c>
      <c r="U58" s="7"/>
      <c r="V58" s="14" t="str">
        <f>IF(AND($K58="Yes",$B58&lt;&gt;"PCB",LEFT($I58,1)="C"),$I58,"")</f>
        <v>C25756</v>
      </c>
      <c r="W58" s="15">
        <f>IF($V58="",0,IF(COUNTIF($V$4:$V58,$V58)=1,1,0))</f>
        <v>0</v>
      </c>
    </row>
    <row r="59" spans="1:23" ht="29.25" customHeight="1">
      <c r="A59" s="19" t="s">
        <v>54</v>
      </c>
      <c r="B59" s="7" t="s">
        <v>357</v>
      </c>
      <c r="C59" s="9">
        <v>1</v>
      </c>
      <c r="D59" s="7" t="s">
        <v>358</v>
      </c>
      <c r="E59" s="7" t="s">
        <v>335</v>
      </c>
      <c r="F59" s="7" t="s">
        <v>121</v>
      </c>
      <c r="G59" s="7" t="s">
        <v>122</v>
      </c>
      <c r="H59" s="7" t="s">
        <v>336</v>
      </c>
      <c r="I59" s="10" t="s">
        <v>337</v>
      </c>
      <c r="J59" s="10" t="s">
        <v>125</v>
      </c>
      <c r="K59" s="10" t="s">
        <v>116</v>
      </c>
      <c r="L59" s="10"/>
      <c r="M59" s="9">
        <v>2</v>
      </c>
      <c r="N59" s="9">
        <v>0</v>
      </c>
      <c r="O59" s="11">
        <v>2E-3</v>
      </c>
      <c r="P59" s="11">
        <v>5.0000000000000001E-4</v>
      </c>
      <c r="Q59" s="7" t="s">
        <v>117</v>
      </c>
      <c r="R59" s="12">
        <f>IF($K59="Yes",$C59*Cost!$B$6,0)</f>
        <v>5</v>
      </c>
      <c r="S59" s="13">
        <f>IF($K59="Yes",$C59*Cost!$B$6*$O59,0)</f>
        <v>0.01</v>
      </c>
      <c r="T59" s="13">
        <f>IF($K59="Yes",$C59*Cost!$B$7*$P59,0)</f>
        <v>0.05</v>
      </c>
      <c r="U59" s="7"/>
      <c r="V59" s="14" t="str">
        <f>IF(AND($K59="Yes",$B59&lt;&gt;"PCB",LEFT($I59,1)="C"),$I59,"")</f>
        <v>C11702</v>
      </c>
      <c r="W59" s="15">
        <f>IF($V59="",0,IF(COUNTIF($V$4:$V59,$V59)=1,1,0))</f>
        <v>0</v>
      </c>
    </row>
    <row r="60" spans="1:23" ht="29.25" customHeight="1">
      <c r="A60" s="19" t="s">
        <v>54</v>
      </c>
      <c r="B60" s="7" t="s">
        <v>359</v>
      </c>
      <c r="C60" s="9">
        <v>1</v>
      </c>
      <c r="D60" s="7" t="s">
        <v>360</v>
      </c>
      <c r="E60" s="7" t="s">
        <v>188</v>
      </c>
      <c r="F60" s="7" t="s">
        <v>121</v>
      </c>
      <c r="G60" s="7" t="s">
        <v>189</v>
      </c>
      <c r="H60" s="7" t="s">
        <v>190</v>
      </c>
      <c r="I60" s="10" t="s">
        <v>191</v>
      </c>
      <c r="J60" s="10" t="s">
        <v>125</v>
      </c>
      <c r="K60" s="10" t="s">
        <v>116</v>
      </c>
      <c r="L60" s="10"/>
      <c r="M60" s="9">
        <v>2</v>
      </c>
      <c r="N60" s="9">
        <v>0</v>
      </c>
      <c r="O60" s="11">
        <v>3.0000000000000001E-3</v>
      </c>
      <c r="P60" s="11">
        <v>1.1000000000000001E-3</v>
      </c>
      <c r="Q60" s="7" t="s">
        <v>117</v>
      </c>
      <c r="R60" s="12">
        <f>IF($K60="Yes",$C60*Cost!$B$6,0)</f>
        <v>5</v>
      </c>
      <c r="S60" s="13">
        <f>IF($K60="Yes",$C60*Cost!$B$6*$O60,0)</f>
        <v>1.4999999999999999E-2</v>
      </c>
      <c r="T60" s="13">
        <f>IF($K60="Yes",$C60*Cost!$B$7*$P60,0)</f>
        <v>0.11</v>
      </c>
      <c r="U60" s="7"/>
      <c r="V60" s="14" t="str">
        <f>IF(AND($K60="Yes",$B60&lt;&gt;"PCB",LEFT($I60,1)="C"),$I60,"")</f>
        <v>C1525</v>
      </c>
      <c r="W60" s="15">
        <f>IF($V60="",0,IF(COUNTIF($V$4:$V60,$V60)=1,1,0))</f>
        <v>0</v>
      </c>
    </row>
    <row r="61" spans="1:23" ht="56.25" customHeight="1">
      <c r="A61" s="19" t="s">
        <v>54</v>
      </c>
      <c r="B61" s="7" t="s">
        <v>361</v>
      </c>
      <c r="C61" s="9">
        <v>1</v>
      </c>
      <c r="D61" s="7" t="s">
        <v>362</v>
      </c>
      <c r="E61" s="7" t="s">
        <v>363</v>
      </c>
      <c r="F61" s="7" t="s">
        <v>364</v>
      </c>
      <c r="G61" s="7" t="s">
        <v>365</v>
      </c>
      <c r="H61" s="7" t="s">
        <v>366</v>
      </c>
      <c r="I61" s="10" t="s">
        <v>367</v>
      </c>
      <c r="J61" s="10" t="s">
        <v>125</v>
      </c>
      <c r="K61" s="10" t="s">
        <v>116</v>
      </c>
      <c r="L61" s="10"/>
      <c r="M61" s="9">
        <v>2</v>
      </c>
      <c r="N61" s="9">
        <v>0</v>
      </c>
      <c r="O61" s="11">
        <v>1.6E-2</v>
      </c>
      <c r="P61" s="11">
        <v>1.2E-2</v>
      </c>
      <c r="Q61" s="7" t="s">
        <v>117</v>
      </c>
      <c r="R61" s="12">
        <f>IF($K61="Yes",$C61*Cost!$B$6,0)</f>
        <v>5</v>
      </c>
      <c r="S61" s="13">
        <f>IF($K61="Yes",$C61*Cost!$B$6*$O61,0)</f>
        <v>0.08</v>
      </c>
      <c r="T61" s="13">
        <f>IF($K61="Yes",$C61*Cost!$B$7*$P61,0)</f>
        <v>1.2</v>
      </c>
      <c r="U61" s="7"/>
      <c r="V61" s="14" t="str">
        <f>IF(AND($K61="Yes",$B61&lt;&gt;"PCB",LEFT($I61,1)="C"),$I61,"")</f>
        <v>C2128</v>
      </c>
      <c r="W61" s="15">
        <f>IF($V61="",0,IF(COUNTIF($V$4:$V61,$V61)=1,1,0))</f>
        <v>1</v>
      </c>
    </row>
    <row r="62" spans="1:23" ht="29.25" customHeight="1">
      <c r="A62" s="19" t="s">
        <v>54</v>
      </c>
      <c r="B62" s="7" t="s">
        <v>368</v>
      </c>
      <c r="C62" s="9">
        <v>1</v>
      </c>
      <c r="D62" s="7" t="s">
        <v>369</v>
      </c>
      <c r="E62" s="7" t="s">
        <v>188</v>
      </c>
      <c r="F62" s="7" t="s">
        <v>121</v>
      </c>
      <c r="G62" s="7" t="s">
        <v>189</v>
      </c>
      <c r="H62" s="7" t="s">
        <v>190</v>
      </c>
      <c r="I62" s="10" t="s">
        <v>191</v>
      </c>
      <c r="J62" s="10" t="s">
        <v>125</v>
      </c>
      <c r="K62" s="10" t="s">
        <v>116</v>
      </c>
      <c r="L62" s="10"/>
      <c r="M62" s="9">
        <v>2</v>
      </c>
      <c r="N62" s="9">
        <v>0</v>
      </c>
      <c r="O62" s="11">
        <v>3.0000000000000001E-3</v>
      </c>
      <c r="P62" s="11">
        <v>1.1000000000000001E-3</v>
      </c>
      <c r="Q62" s="7" t="s">
        <v>117</v>
      </c>
      <c r="R62" s="12">
        <f>IF($K62="Yes",$C62*Cost!$B$6,0)</f>
        <v>5</v>
      </c>
      <c r="S62" s="13">
        <f>IF($K62="Yes",$C62*Cost!$B$6*$O62,0)</f>
        <v>1.4999999999999999E-2</v>
      </c>
      <c r="T62" s="13">
        <f>IF($K62="Yes",$C62*Cost!$B$7*$P62,0)</f>
        <v>0.11</v>
      </c>
      <c r="U62" s="7"/>
      <c r="V62" s="14" t="str">
        <f>IF(AND($K62="Yes",$B62&lt;&gt;"PCB",LEFT($I62,1)="C"),$I62,"")</f>
        <v>C1525</v>
      </c>
      <c r="W62" s="15">
        <f>IF($V62="",0,IF(COUNTIF($V$4:$V62,$V62)=1,1,0))</f>
        <v>0</v>
      </c>
    </row>
    <row r="63" spans="1:23" ht="29.25" customHeight="1">
      <c r="A63" s="19" t="s">
        <v>54</v>
      </c>
      <c r="B63" s="7" t="s">
        <v>370</v>
      </c>
      <c r="C63" s="9">
        <v>4</v>
      </c>
      <c r="D63" s="7" t="s">
        <v>371</v>
      </c>
      <c r="E63" s="7" t="s">
        <v>188</v>
      </c>
      <c r="F63" s="7" t="s">
        <v>121</v>
      </c>
      <c r="G63" s="7" t="s">
        <v>189</v>
      </c>
      <c r="H63" s="7" t="s">
        <v>190</v>
      </c>
      <c r="I63" s="10" t="s">
        <v>191</v>
      </c>
      <c r="J63" s="10" t="s">
        <v>125</v>
      </c>
      <c r="K63" s="10" t="s">
        <v>116</v>
      </c>
      <c r="L63" s="10"/>
      <c r="M63" s="9">
        <v>2</v>
      </c>
      <c r="N63" s="9">
        <v>0</v>
      </c>
      <c r="O63" s="11">
        <v>3.0000000000000001E-3</v>
      </c>
      <c r="P63" s="11">
        <v>1.1000000000000001E-3</v>
      </c>
      <c r="Q63" s="7" t="s">
        <v>117</v>
      </c>
      <c r="R63" s="12">
        <f>IF($K63="Yes",$C63*Cost!$B$6,0)</f>
        <v>20</v>
      </c>
      <c r="S63" s="13">
        <f>IF($K63="Yes",$C63*Cost!$B$6*$O63,0)</f>
        <v>0.06</v>
      </c>
      <c r="T63" s="13">
        <f>IF($K63="Yes",$C63*Cost!$B$7*$P63,0)</f>
        <v>0.44</v>
      </c>
      <c r="U63" s="7"/>
      <c r="V63" s="14" t="str">
        <f>IF(AND($K63="Yes",$B63&lt;&gt;"PCB",LEFT($I63,1)="C"),$I63,"")</f>
        <v>C1525</v>
      </c>
      <c r="W63" s="15">
        <f>IF($V63="",0,IF(COUNTIF($V$4:$V63,$V63)=1,1,0))</f>
        <v>0</v>
      </c>
    </row>
    <row r="64" spans="1:23" ht="29.25" customHeight="1">
      <c r="A64" s="19" t="s">
        <v>54</v>
      </c>
      <c r="B64" s="7" t="s">
        <v>372</v>
      </c>
      <c r="C64" s="9">
        <v>2</v>
      </c>
      <c r="D64" s="7" t="s">
        <v>373</v>
      </c>
      <c r="E64" s="7" t="s">
        <v>110</v>
      </c>
      <c r="F64" s="7" t="s">
        <v>374</v>
      </c>
      <c r="G64" s="7" t="s">
        <v>375</v>
      </c>
      <c r="H64" s="7" t="s">
        <v>376</v>
      </c>
      <c r="I64" s="10" t="s">
        <v>377</v>
      </c>
      <c r="J64" s="10" t="s">
        <v>115</v>
      </c>
      <c r="K64" s="10" t="s">
        <v>116</v>
      </c>
      <c r="L64" s="10" t="s">
        <v>116</v>
      </c>
      <c r="M64" s="9">
        <v>11</v>
      </c>
      <c r="N64" s="9">
        <v>0</v>
      </c>
      <c r="O64" s="11">
        <v>1.7870999999999999</v>
      </c>
      <c r="P64" s="11">
        <v>1.6912</v>
      </c>
      <c r="Q64" s="7" t="s">
        <v>117</v>
      </c>
      <c r="R64" s="12">
        <f>IF($K64="Yes",$C64*Cost!$B$6,0)</f>
        <v>10</v>
      </c>
      <c r="S64" s="13">
        <f>IF($K64="Yes",$C64*Cost!$B$6*$O64,0)</f>
        <v>17.870999999999999</v>
      </c>
      <c r="T64" s="13">
        <f>IF($K64="Yes",$C64*Cost!$B$7*$P64,0)</f>
        <v>338.24</v>
      </c>
      <c r="U64" s="7"/>
      <c r="V64" s="14" t="str">
        <f>IF(AND($K64="Yes",$B64&lt;&gt;"PCB",LEFT($I64,1)="C"),$I64,"")</f>
        <v>C2876559</v>
      </c>
      <c r="W64" s="15">
        <f>IF($V64="",0,IF(COUNTIF($V$4:$V64,$V64)=1,1,0))</f>
        <v>1</v>
      </c>
    </row>
    <row r="65" spans="1:23" ht="42.75" customHeight="1">
      <c r="A65" s="19" t="s">
        <v>54</v>
      </c>
      <c r="B65" s="7" t="s">
        <v>378</v>
      </c>
      <c r="C65" s="9">
        <v>16</v>
      </c>
      <c r="D65" s="7" t="s">
        <v>379</v>
      </c>
      <c r="E65" s="7" t="s">
        <v>380</v>
      </c>
      <c r="F65" s="7" t="s">
        <v>161</v>
      </c>
      <c r="G65" s="7" t="s">
        <v>381</v>
      </c>
      <c r="H65" s="7" t="s">
        <v>382</v>
      </c>
      <c r="I65" s="10" t="s">
        <v>383</v>
      </c>
      <c r="J65" s="10" t="s">
        <v>115</v>
      </c>
      <c r="K65" s="10" t="s">
        <v>116</v>
      </c>
      <c r="L65" s="10"/>
      <c r="M65" s="9">
        <v>2</v>
      </c>
      <c r="N65" s="9">
        <v>0</v>
      </c>
      <c r="O65" s="11">
        <v>3.4000000000000002E-2</v>
      </c>
      <c r="P65" s="11">
        <v>2.5000000000000001E-2</v>
      </c>
      <c r="Q65" s="7" t="s">
        <v>117</v>
      </c>
      <c r="R65" s="12">
        <f>IF($K65="Yes",$C65*Cost!$B$6,0)</f>
        <v>80</v>
      </c>
      <c r="S65" s="13">
        <f>IF($K65="Yes",$C65*Cost!$B$6*$O65,0)</f>
        <v>2.72</v>
      </c>
      <c r="T65" s="13">
        <f>IF($K65="Yes",$C65*Cost!$B$7*$P65,0)</f>
        <v>40</v>
      </c>
      <c r="U65" s="7"/>
      <c r="V65" s="14" t="str">
        <f>IF(AND($K65="Yes",$B65&lt;&gt;"PCB",LEFT($I65,1)="C"),$I65,"")</f>
        <v>C728588</v>
      </c>
      <c r="W65" s="15">
        <f>IF($V65="",0,IF(COUNTIF($V$4:$V65,$V65)=1,1,0))</f>
        <v>1</v>
      </c>
    </row>
    <row r="66" spans="1:23" ht="29.25" customHeight="1">
      <c r="A66" s="19" t="s">
        <v>54</v>
      </c>
      <c r="B66" s="7" t="s">
        <v>384</v>
      </c>
      <c r="C66" s="9">
        <v>8</v>
      </c>
      <c r="D66" s="7" t="s">
        <v>385</v>
      </c>
      <c r="E66" s="7" t="s">
        <v>347</v>
      </c>
      <c r="F66" s="7" t="s">
        <v>161</v>
      </c>
      <c r="G66" s="7" t="s">
        <v>183</v>
      </c>
      <c r="H66" s="7" t="s">
        <v>348</v>
      </c>
      <c r="I66" s="10" t="s">
        <v>349</v>
      </c>
      <c r="J66" s="10" t="s">
        <v>125</v>
      </c>
      <c r="K66" s="10" t="s">
        <v>116</v>
      </c>
      <c r="L66" s="10"/>
      <c r="M66" s="9">
        <v>2</v>
      </c>
      <c r="N66" s="9">
        <v>0</v>
      </c>
      <c r="O66" s="11">
        <v>5.0000000000000001E-3</v>
      </c>
      <c r="P66" s="11">
        <v>1.9E-3</v>
      </c>
      <c r="Q66" s="7" t="s">
        <v>117</v>
      </c>
      <c r="R66" s="12">
        <f>IF($K66="Yes",$C66*Cost!$B$6,0)</f>
        <v>40</v>
      </c>
      <c r="S66" s="13">
        <f>IF($K66="Yes",$C66*Cost!$B$6*$O66,0)</f>
        <v>0.2</v>
      </c>
      <c r="T66" s="13">
        <f>IF($K66="Yes",$C66*Cost!$B$7*$P66,0)</f>
        <v>1.52</v>
      </c>
      <c r="U66" s="7"/>
      <c r="V66" s="14" t="str">
        <f>IF(AND($K66="Yes",$B66&lt;&gt;"PCB",LEFT($I66,1)="C"),$I66,"")</f>
        <v>C1664</v>
      </c>
      <c r="W66" s="15">
        <f>IF($V66="",0,IF(COUNTIF($V$4:$V66,$V66)=1,1,0))</f>
        <v>0</v>
      </c>
    </row>
    <row r="67" spans="1:23" ht="29.25" customHeight="1">
      <c r="A67" s="19" t="s">
        <v>54</v>
      </c>
      <c r="B67" s="7" t="s">
        <v>386</v>
      </c>
      <c r="C67" s="9">
        <v>4</v>
      </c>
      <c r="D67" s="7" t="s">
        <v>387</v>
      </c>
      <c r="E67" s="7" t="s">
        <v>388</v>
      </c>
      <c r="F67" s="7" t="s">
        <v>121</v>
      </c>
      <c r="G67" s="7" t="s">
        <v>389</v>
      </c>
      <c r="H67" s="7" t="s">
        <v>390</v>
      </c>
      <c r="I67" s="10" t="s">
        <v>391</v>
      </c>
      <c r="J67" s="10" t="s">
        <v>125</v>
      </c>
      <c r="K67" s="10" t="s">
        <v>116</v>
      </c>
      <c r="L67" s="10"/>
      <c r="M67" s="9">
        <v>2</v>
      </c>
      <c r="N67" s="9">
        <v>0</v>
      </c>
      <c r="O67" s="11">
        <v>2E-3</v>
      </c>
      <c r="P67" s="11">
        <v>5.0000000000000001E-4</v>
      </c>
      <c r="Q67" s="7" t="s">
        <v>117</v>
      </c>
      <c r="R67" s="12">
        <f>IF($K67="Yes",$C67*Cost!$B$6,0)</f>
        <v>20</v>
      </c>
      <c r="S67" s="13">
        <f>IF($K67="Yes",$C67*Cost!$B$6*$O67,0)</f>
        <v>0.04</v>
      </c>
      <c r="T67" s="13">
        <f>IF($K67="Yes",$C67*Cost!$B$7*$P67,0)</f>
        <v>0.2</v>
      </c>
      <c r="U67" s="7"/>
      <c r="V67" s="14" t="str">
        <f>IF(AND($K67="Yes",$B67&lt;&gt;"PCB",LEFT($I67,1)="C"),$I67,"")</f>
        <v>C17168</v>
      </c>
      <c r="W67" s="15">
        <f>IF($V67="",0,IF(COUNTIF($V$4:$V67,$V67)=1,1,0))</f>
        <v>1</v>
      </c>
    </row>
    <row r="68" spans="1:23" ht="29.25" customHeight="1">
      <c r="A68" s="19" t="s">
        <v>54</v>
      </c>
      <c r="B68" s="7" t="s">
        <v>392</v>
      </c>
      <c r="C68" s="9">
        <v>1</v>
      </c>
      <c r="D68" s="7" t="s">
        <v>393</v>
      </c>
      <c r="E68" s="7" t="s">
        <v>133</v>
      </c>
      <c r="F68" s="7" t="s">
        <v>121</v>
      </c>
      <c r="G68" s="7" t="s">
        <v>122</v>
      </c>
      <c r="H68" s="7" t="s">
        <v>134</v>
      </c>
      <c r="I68" s="10" t="s">
        <v>135</v>
      </c>
      <c r="J68" s="10" t="s">
        <v>125</v>
      </c>
      <c r="K68" s="10" t="s">
        <v>116</v>
      </c>
      <c r="L68" s="10"/>
      <c r="M68" s="9">
        <v>2</v>
      </c>
      <c r="N68" s="9">
        <v>0</v>
      </c>
      <c r="O68" s="11">
        <v>2E-3</v>
      </c>
      <c r="P68" s="11">
        <v>5.0000000000000001E-4</v>
      </c>
      <c r="Q68" s="7" t="s">
        <v>117</v>
      </c>
      <c r="R68" s="12">
        <f>IF($K68="Yes",$C68*Cost!$B$6,0)</f>
        <v>5</v>
      </c>
      <c r="S68" s="13">
        <f>IF($K68="Yes",$C68*Cost!$B$6*$O68,0)</f>
        <v>0.01</v>
      </c>
      <c r="T68" s="13">
        <f>IF($K68="Yes",$C68*Cost!$B$7*$P68,0)</f>
        <v>0.05</v>
      </c>
      <c r="U68" s="7"/>
      <c r="V68" s="14" t="str">
        <f>IF(AND($K68="Yes",$B68&lt;&gt;"PCB",LEFT($I68,1)="C"),$I68,"")</f>
        <v>C25741</v>
      </c>
      <c r="W68" s="15">
        <f>IF($V68="",0,IF(COUNTIF($V$4:$V68,$V68)=1,1,0))</f>
        <v>0</v>
      </c>
    </row>
    <row r="69" spans="1:23" ht="29.25" customHeight="1">
      <c r="A69" s="19" t="s">
        <v>54</v>
      </c>
      <c r="B69" s="7" t="s">
        <v>394</v>
      </c>
      <c r="C69" s="9">
        <v>4</v>
      </c>
      <c r="D69" s="7" t="s">
        <v>395</v>
      </c>
      <c r="E69" s="7" t="s">
        <v>188</v>
      </c>
      <c r="F69" s="7" t="s">
        <v>121</v>
      </c>
      <c r="G69" s="7" t="s">
        <v>189</v>
      </c>
      <c r="H69" s="7" t="s">
        <v>190</v>
      </c>
      <c r="I69" s="10" t="s">
        <v>191</v>
      </c>
      <c r="J69" s="10" t="s">
        <v>125</v>
      </c>
      <c r="K69" s="10" t="s">
        <v>116</v>
      </c>
      <c r="L69" s="10"/>
      <c r="M69" s="9">
        <v>2</v>
      </c>
      <c r="N69" s="9">
        <v>0</v>
      </c>
      <c r="O69" s="11">
        <v>3.0000000000000001E-3</v>
      </c>
      <c r="P69" s="11">
        <v>1.1000000000000001E-3</v>
      </c>
      <c r="Q69" s="7" t="s">
        <v>117</v>
      </c>
      <c r="R69" s="12">
        <f>IF($K69="Yes",$C69*Cost!$B$6,0)</f>
        <v>20</v>
      </c>
      <c r="S69" s="13">
        <f>IF($K69="Yes",$C69*Cost!$B$6*$O69,0)</f>
        <v>0.06</v>
      </c>
      <c r="T69" s="13">
        <f>IF($K69="Yes",$C69*Cost!$B$7*$P69,0)</f>
        <v>0.44</v>
      </c>
      <c r="U69" s="7"/>
      <c r="V69" s="14" t="str">
        <f>IF(AND($K69="Yes",$B69&lt;&gt;"PCB",LEFT($I69,1)="C"),$I69,"")</f>
        <v>C1525</v>
      </c>
      <c r="W69" s="15">
        <f>IF($V69="",0,IF(COUNTIF($V$4:$V69,$V69)=1,1,0))</f>
        <v>0</v>
      </c>
    </row>
    <row r="70" spans="1:23" ht="29.25" customHeight="1">
      <c r="A70" s="19" t="s">
        <v>54</v>
      </c>
      <c r="B70" s="7" t="s">
        <v>396</v>
      </c>
      <c r="C70" s="9">
        <v>4</v>
      </c>
      <c r="D70" s="7" t="s">
        <v>397</v>
      </c>
      <c r="E70" s="7" t="s">
        <v>398</v>
      </c>
      <c r="F70" s="7" t="s">
        <v>295</v>
      </c>
      <c r="G70" s="7" t="s">
        <v>162</v>
      </c>
      <c r="H70" s="7" t="s">
        <v>399</v>
      </c>
      <c r="I70" s="10" t="s">
        <v>400</v>
      </c>
      <c r="J70" s="10" t="s">
        <v>125</v>
      </c>
      <c r="K70" s="10" t="s">
        <v>116</v>
      </c>
      <c r="L70" s="10"/>
      <c r="M70" s="9">
        <v>2</v>
      </c>
      <c r="N70" s="9">
        <v>0</v>
      </c>
      <c r="O70" s="11">
        <v>0.02</v>
      </c>
      <c r="P70" s="11">
        <v>7.7000000000000002E-3</v>
      </c>
      <c r="Q70" s="7" t="s">
        <v>117</v>
      </c>
      <c r="R70" s="12">
        <f>IF($K70="Yes",$C70*Cost!$B$6,0)</f>
        <v>20</v>
      </c>
      <c r="S70" s="13">
        <f>IF($K70="Yes",$C70*Cost!$B$6*$O70,0)</f>
        <v>0.4</v>
      </c>
      <c r="T70" s="13">
        <f>IF($K70="Yes",$C70*Cost!$B$7*$P70,0)</f>
        <v>3.08</v>
      </c>
      <c r="U70" s="7"/>
      <c r="V70" s="14" t="str">
        <f>IF(AND($K70="Yes",$B70&lt;&gt;"PCB",LEFT($I70,1)="C"),$I70,"")</f>
        <v>C15850</v>
      </c>
      <c r="W70" s="15">
        <f>IF($V70="",0,IF(COUNTIF($V$4:$V70,$V70)=1,1,0))</f>
        <v>1</v>
      </c>
    </row>
    <row r="71" spans="1:23" ht="42.75" customHeight="1">
      <c r="A71" s="20" t="s">
        <v>56</v>
      </c>
      <c r="B71" s="7" t="s">
        <v>401</v>
      </c>
      <c r="C71" s="9">
        <v>1</v>
      </c>
      <c r="D71" s="7" t="s">
        <v>402</v>
      </c>
      <c r="E71" s="7" t="s">
        <v>403</v>
      </c>
      <c r="F71" s="7" t="s">
        <v>282</v>
      </c>
      <c r="G71" s="7" t="s">
        <v>404</v>
      </c>
      <c r="H71" s="7" t="s">
        <v>405</v>
      </c>
      <c r="I71" s="10" t="s">
        <v>406</v>
      </c>
      <c r="J71" s="10" t="s">
        <v>115</v>
      </c>
      <c r="K71" s="10" t="s">
        <v>116</v>
      </c>
      <c r="L71" s="10"/>
      <c r="M71" s="9">
        <v>5</v>
      </c>
      <c r="N71" s="9">
        <v>0</v>
      </c>
      <c r="O71" s="11">
        <v>6.0299999999999999E-2</v>
      </c>
      <c r="P71" s="11">
        <v>4.9000000000000002E-2</v>
      </c>
      <c r="Q71" s="7" t="s">
        <v>117</v>
      </c>
      <c r="R71" s="12">
        <f>IF($K71="Yes",$C71*Cost!$B$6,0)</f>
        <v>5</v>
      </c>
      <c r="S71" s="13">
        <f>IF($K71="Yes",$C71*Cost!$B$6*$O71,0)</f>
        <v>0.30149999999999999</v>
      </c>
      <c r="T71" s="13">
        <f>IF($K71="Yes",$C71*Cost!$B$7*$P71,0)</f>
        <v>4.9000000000000004</v>
      </c>
      <c r="U71" s="7"/>
      <c r="V71" s="14" t="str">
        <f>IF(AND($K71="Yes",$B71&lt;&gt;"PCB",LEFT($I71,1)="C"),$I71,"")</f>
        <v>C82942</v>
      </c>
      <c r="W71" s="15">
        <f>IF($V71="",0,IF(COUNTIF($V$4:$V71,$V71)=1,1,0))</f>
        <v>1</v>
      </c>
    </row>
    <row r="72" spans="1:23" ht="42.75" customHeight="1">
      <c r="A72" s="19" t="s">
        <v>56</v>
      </c>
      <c r="B72" s="7" t="s">
        <v>407</v>
      </c>
      <c r="C72" s="9">
        <v>1</v>
      </c>
      <c r="D72" s="7" t="s">
        <v>408</v>
      </c>
      <c r="E72" s="7" t="s">
        <v>160</v>
      </c>
      <c r="F72" s="7" t="s">
        <v>161</v>
      </c>
      <c r="G72" s="7" t="s">
        <v>162</v>
      </c>
      <c r="H72" s="7" t="s">
        <v>163</v>
      </c>
      <c r="I72" s="10" t="s">
        <v>164</v>
      </c>
      <c r="J72" s="10" t="s">
        <v>125</v>
      </c>
      <c r="K72" s="10" t="s">
        <v>116</v>
      </c>
      <c r="L72" s="10"/>
      <c r="M72" s="9">
        <v>2</v>
      </c>
      <c r="N72" s="9">
        <v>0</v>
      </c>
      <c r="O72" s="11">
        <v>6.0000000000000001E-3</v>
      </c>
      <c r="P72" s="11">
        <v>2.2000000000000001E-3</v>
      </c>
      <c r="Q72" s="7" t="s">
        <v>117</v>
      </c>
      <c r="R72" s="12">
        <f>IF($K72="Yes",$C72*Cost!$B$6,0)</f>
        <v>5</v>
      </c>
      <c r="S72" s="13">
        <f>IF($K72="Yes",$C72*Cost!$B$6*$O72,0)</f>
        <v>0.03</v>
      </c>
      <c r="T72" s="13">
        <f>IF($K72="Yes",$C72*Cost!$B$7*$P72,0)</f>
        <v>0.22</v>
      </c>
      <c r="U72" s="7"/>
      <c r="V72" s="14" t="str">
        <f>IF(AND($K72="Yes",$B72&lt;&gt;"PCB",LEFT($I72,1)="C"),$I72,"")</f>
        <v>C15849</v>
      </c>
      <c r="W72" s="15">
        <f>IF($V72="",0,IF(COUNTIF($V$4:$V72,$V72)=1,1,0))</f>
        <v>0</v>
      </c>
    </row>
    <row r="73" spans="1:23" ht="42.75" customHeight="1">
      <c r="A73" s="19" t="s">
        <v>56</v>
      </c>
      <c r="B73" s="7" t="s">
        <v>409</v>
      </c>
      <c r="C73" s="9">
        <v>1</v>
      </c>
      <c r="D73" s="7" t="s">
        <v>410</v>
      </c>
      <c r="E73" s="7" t="s">
        <v>160</v>
      </c>
      <c r="F73" s="7" t="s">
        <v>161</v>
      </c>
      <c r="G73" s="7" t="s">
        <v>162</v>
      </c>
      <c r="H73" s="7" t="s">
        <v>163</v>
      </c>
      <c r="I73" s="10" t="s">
        <v>164</v>
      </c>
      <c r="J73" s="10" t="s">
        <v>125</v>
      </c>
      <c r="K73" s="10" t="s">
        <v>116</v>
      </c>
      <c r="L73" s="10"/>
      <c r="M73" s="9">
        <v>2</v>
      </c>
      <c r="N73" s="9">
        <v>0</v>
      </c>
      <c r="O73" s="11">
        <v>6.0000000000000001E-3</v>
      </c>
      <c r="P73" s="11">
        <v>2.2000000000000001E-3</v>
      </c>
      <c r="Q73" s="7" t="s">
        <v>117</v>
      </c>
      <c r="R73" s="12">
        <f>IF($K73="Yes",$C73*Cost!$B$6,0)</f>
        <v>5</v>
      </c>
      <c r="S73" s="13">
        <f>IF($K73="Yes",$C73*Cost!$B$6*$O73,0)</f>
        <v>0.03</v>
      </c>
      <c r="T73" s="13">
        <f>IF($K73="Yes",$C73*Cost!$B$7*$P73,0)</f>
        <v>0.22</v>
      </c>
      <c r="U73" s="7"/>
      <c r="V73" s="14" t="str">
        <f>IF(AND($K73="Yes",$B73&lt;&gt;"PCB",LEFT($I73,1)="C"),$I73,"")</f>
        <v>C15849</v>
      </c>
      <c r="W73" s="15">
        <f>IF($V73="",0,IF(COUNTIF($V$4:$V73,$V73)=1,1,0))</f>
        <v>0</v>
      </c>
    </row>
    <row r="74" spans="1:23" ht="42.75" customHeight="1">
      <c r="A74" s="19" t="s">
        <v>56</v>
      </c>
      <c r="B74" s="7" t="s">
        <v>411</v>
      </c>
      <c r="C74" s="9">
        <v>1</v>
      </c>
      <c r="D74" s="7" t="s">
        <v>412</v>
      </c>
      <c r="E74" s="7" t="s">
        <v>403</v>
      </c>
      <c r="F74" s="7" t="s">
        <v>282</v>
      </c>
      <c r="G74" s="7" t="s">
        <v>413</v>
      </c>
      <c r="H74" s="7" t="s">
        <v>405</v>
      </c>
      <c r="I74" s="10" t="s">
        <v>406</v>
      </c>
      <c r="J74" s="10" t="s">
        <v>115</v>
      </c>
      <c r="K74" s="10" t="s">
        <v>116</v>
      </c>
      <c r="L74" s="10"/>
      <c r="M74" s="9">
        <v>5</v>
      </c>
      <c r="N74" s="9">
        <v>0</v>
      </c>
      <c r="O74" s="11">
        <v>6.0299999999999999E-2</v>
      </c>
      <c r="P74" s="11">
        <v>4.9000000000000002E-2</v>
      </c>
      <c r="Q74" s="7" t="s">
        <v>117</v>
      </c>
      <c r="R74" s="12">
        <f>IF($K74="Yes",$C74*Cost!$B$6,0)</f>
        <v>5</v>
      </c>
      <c r="S74" s="13">
        <f>IF($K74="Yes",$C74*Cost!$B$6*$O74,0)</f>
        <v>0.30149999999999999</v>
      </c>
      <c r="T74" s="13">
        <f>IF($K74="Yes",$C74*Cost!$B$7*$P74,0)</f>
        <v>4.9000000000000004</v>
      </c>
      <c r="U74" s="7"/>
      <c r="V74" s="14" t="str">
        <f>IF(AND($K74="Yes",$B74&lt;&gt;"PCB",LEFT($I74,1)="C"),$I74,"")</f>
        <v>C82942</v>
      </c>
      <c r="W74" s="15">
        <f>IF($V74="",0,IF(COUNTIF($V$4:$V74,$V74)=1,1,0))</f>
        <v>0</v>
      </c>
    </row>
    <row r="75" spans="1:23" ht="42.75" customHeight="1">
      <c r="A75" s="19" t="s">
        <v>56</v>
      </c>
      <c r="B75" s="7" t="s">
        <v>414</v>
      </c>
      <c r="C75" s="9">
        <v>1</v>
      </c>
      <c r="D75" s="7" t="s">
        <v>415</v>
      </c>
      <c r="E75" s="7" t="s">
        <v>160</v>
      </c>
      <c r="F75" s="7" t="s">
        <v>161</v>
      </c>
      <c r="G75" s="7" t="s">
        <v>162</v>
      </c>
      <c r="H75" s="7" t="s">
        <v>163</v>
      </c>
      <c r="I75" s="10" t="s">
        <v>164</v>
      </c>
      <c r="J75" s="10" t="s">
        <v>125</v>
      </c>
      <c r="K75" s="10" t="s">
        <v>116</v>
      </c>
      <c r="L75" s="10"/>
      <c r="M75" s="9">
        <v>2</v>
      </c>
      <c r="N75" s="9">
        <v>0</v>
      </c>
      <c r="O75" s="11">
        <v>6.0000000000000001E-3</v>
      </c>
      <c r="P75" s="11">
        <v>2.2000000000000001E-3</v>
      </c>
      <c r="Q75" s="7" t="s">
        <v>117</v>
      </c>
      <c r="R75" s="12">
        <f>IF($K75="Yes",$C75*Cost!$B$6,0)</f>
        <v>5</v>
      </c>
      <c r="S75" s="13">
        <f>IF($K75="Yes",$C75*Cost!$B$6*$O75,0)</f>
        <v>0.03</v>
      </c>
      <c r="T75" s="13">
        <f>IF($K75="Yes",$C75*Cost!$B$7*$P75,0)</f>
        <v>0.22</v>
      </c>
      <c r="U75" s="7"/>
      <c r="V75" s="14" t="str">
        <f>IF(AND($K75="Yes",$B75&lt;&gt;"PCB",LEFT($I75,1)="C"),$I75,"")</f>
        <v>C15849</v>
      </c>
      <c r="W75" s="15">
        <f>IF($V75="",0,IF(COUNTIF($V$4:$V75,$V75)=1,1,0))</f>
        <v>0</v>
      </c>
    </row>
    <row r="76" spans="1:23" ht="42.75" customHeight="1">
      <c r="A76" s="19" t="s">
        <v>56</v>
      </c>
      <c r="B76" s="7" t="s">
        <v>416</v>
      </c>
      <c r="C76" s="9">
        <v>1</v>
      </c>
      <c r="D76" s="7" t="s">
        <v>417</v>
      </c>
      <c r="E76" s="7" t="s">
        <v>160</v>
      </c>
      <c r="F76" s="7" t="s">
        <v>161</v>
      </c>
      <c r="G76" s="7" t="s">
        <v>162</v>
      </c>
      <c r="H76" s="7" t="s">
        <v>163</v>
      </c>
      <c r="I76" s="10" t="s">
        <v>164</v>
      </c>
      <c r="J76" s="10" t="s">
        <v>125</v>
      </c>
      <c r="K76" s="10" t="s">
        <v>116</v>
      </c>
      <c r="L76" s="10"/>
      <c r="M76" s="9">
        <v>2</v>
      </c>
      <c r="N76" s="9">
        <v>0</v>
      </c>
      <c r="O76" s="11">
        <v>6.0000000000000001E-3</v>
      </c>
      <c r="P76" s="11">
        <v>2.2000000000000001E-3</v>
      </c>
      <c r="Q76" s="7" t="s">
        <v>117</v>
      </c>
      <c r="R76" s="12">
        <f>IF($K76="Yes",$C76*Cost!$B$6,0)</f>
        <v>5</v>
      </c>
      <c r="S76" s="13">
        <f>IF($K76="Yes",$C76*Cost!$B$6*$O76,0)</f>
        <v>0.03</v>
      </c>
      <c r="T76" s="13">
        <f>IF($K76="Yes",$C76*Cost!$B$7*$P76,0)</f>
        <v>0.22</v>
      </c>
      <c r="U76" s="7"/>
      <c r="V76" s="14" t="str">
        <f>IF(AND($K76="Yes",$B76&lt;&gt;"PCB",LEFT($I76,1)="C"),$I76,"")</f>
        <v>C15849</v>
      </c>
      <c r="W76" s="15">
        <f>IF($V76="",0,IF(COUNTIF($V$4:$V76,$V76)=1,1,0))</f>
        <v>0</v>
      </c>
    </row>
    <row r="77" spans="1:23" ht="42.75" customHeight="1">
      <c r="A77" s="19" t="s">
        <v>56</v>
      </c>
      <c r="B77" s="7" t="s">
        <v>418</v>
      </c>
      <c r="C77" s="9">
        <v>1</v>
      </c>
      <c r="D77" s="7" t="s">
        <v>419</v>
      </c>
      <c r="E77" s="7" t="s">
        <v>133</v>
      </c>
      <c r="F77" s="7" t="s">
        <v>121</v>
      </c>
      <c r="G77" s="7" t="s">
        <v>122</v>
      </c>
      <c r="H77" s="7" t="s">
        <v>134</v>
      </c>
      <c r="I77" s="10" t="s">
        <v>135</v>
      </c>
      <c r="J77" s="10" t="s">
        <v>125</v>
      </c>
      <c r="K77" s="10" t="s">
        <v>116</v>
      </c>
      <c r="L77" s="10"/>
      <c r="M77" s="9">
        <v>2</v>
      </c>
      <c r="N77" s="9">
        <v>0</v>
      </c>
      <c r="O77" s="11">
        <v>2E-3</v>
      </c>
      <c r="P77" s="11">
        <v>5.0000000000000001E-4</v>
      </c>
      <c r="Q77" s="7" t="s">
        <v>117</v>
      </c>
      <c r="R77" s="12">
        <f>IF($K77="Yes",$C77*Cost!$B$6,0)</f>
        <v>5</v>
      </c>
      <c r="S77" s="13">
        <f>IF($K77="Yes",$C77*Cost!$B$6*$O77,0)</f>
        <v>0.01</v>
      </c>
      <c r="T77" s="13">
        <f>IF($K77="Yes",$C77*Cost!$B$7*$P77,0)</f>
        <v>0.05</v>
      </c>
      <c r="U77" s="7"/>
      <c r="V77" s="14" t="str">
        <f>IF(AND($K77="Yes",$B77&lt;&gt;"PCB",LEFT($I77,1)="C"),$I77,"")</f>
        <v>C25741</v>
      </c>
      <c r="W77" s="15">
        <f>IF($V77="",0,IF(COUNTIF($V$4:$V77,$V77)=1,1,0))</f>
        <v>0</v>
      </c>
    </row>
    <row r="78" spans="1:23" ht="42.75" customHeight="1">
      <c r="A78" s="19" t="s">
        <v>56</v>
      </c>
      <c r="B78" s="7" t="s">
        <v>420</v>
      </c>
      <c r="C78" s="9">
        <v>1</v>
      </c>
      <c r="D78" s="7" t="s">
        <v>421</v>
      </c>
      <c r="E78" s="7" t="s">
        <v>110</v>
      </c>
      <c r="F78" s="7" t="s">
        <v>154</v>
      </c>
      <c r="G78" s="7" t="s">
        <v>422</v>
      </c>
      <c r="H78" s="7" t="s">
        <v>423</v>
      </c>
      <c r="I78" s="10" t="s">
        <v>424</v>
      </c>
      <c r="J78" s="10" t="s">
        <v>115</v>
      </c>
      <c r="K78" s="10" t="s">
        <v>116</v>
      </c>
      <c r="L78" s="10"/>
      <c r="M78" s="9">
        <v>6</v>
      </c>
      <c r="N78" s="9">
        <v>0</v>
      </c>
      <c r="O78" s="11">
        <v>0.59660000000000002</v>
      </c>
      <c r="P78" s="11">
        <v>0.32619999999999999</v>
      </c>
      <c r="Q78" s="7" t="s">
        <v>117</v>
      </c>
      <c r="R78" s="12">
        <f>IF($K78="Yes",$C78*Cost!$B$6,0)</f>
        <v>5</v>
      </c>
      <c r="S78" s="13">
        <f>IF($K78="Yes",$C78*Cost!$B$6*$O78,0)</f>
        <v>2.9830000000000001</v>
      </c>
      <c r="T78" s="13">
        <f>IF($K78="Yes",$C78*Cost!$B$7*$P78,0)</f>
        <v>32.619999999999997</v>
      </c>
      <c r="U78" s="7"/>
      <c r="V78" s="14" t="str">
        <f>IF(AND($K78="Yes",$B78&lt;&gt;"PCB",LEFT($I78,1)="C"),$I78,"")</f>
        <v>C55266</v>
      </c>
      <c r="W78" s="15">
        <f>IF($V78="",0,IF(COUNTIF($V$4:$V78,$V78)=1,1,0))</f>
        <v>1</v>
      </c>
    </row>
    <row r="79" spans="1:23" ht="42.75" customHeight="1">
      <c r="A79" s="19" t="s">
        <v>56</v>
      </c>
      <c r="B79" s="7" t="s">
        <v>425</v>
      </c>
      <c r="C79" s="9">
        <v>1</v>
      </c>
      <c r="D79" s="7" t="s">
        <v>426</v>
      </c>
      <c r="E79" s="7" t="s">
        <v>160</v>
      </c>
      <c r="F79" s="7" t="s">
        <v>161</v>
      </c>
      <c r="G79" s="7" t="s">
        <v>162</v>
      </c>
      <c r="H79" s="7" t="s">
        <v>163</v>
      </c>
      <c r="I79" s="10" t="s">
        <v>164</v>
      </c>
      <c r="J79" s="10" t="s">
        <v>125</v>
      </c>
      <c r="K79" s="10" t="s">
        <v>116</v>
      </c>
      <c r="L79" s="10"/>
      <c r="M79" s="9">
        <v>2</v>
      </c>
      <c r="N79" s="9">
        <v>0</v>
      </c>
      <c r="O79" s="11">
        <v>6.0000000000000001E-3</v>
      </c>
      <c r="P79" s="11">
        <v>2.2000000000000001E-3</v>
      </c>
      <c r="Q79" s="7" t="s">
        <v>117</v>
      </c>
      <c r="R79" s="12">
        <f>IF($K79="Yes",$C79*Cost!$B$6,0)</f>
        <v>5</v>
      </c>
      <c r="S79" s="13">
        <f>IF($K79="Yes",$C79*Cost!$B$6*$O79,0)</f>
        <v>0.03</v>
      </c>
      <c r="T79" s="13">
        <f>IF($K79="Yes",$C79*Cost!$B$7*$P79,0)</f>
        <v>0.22</v>
      </c>
      <c r="U79" s="7"/>
      <c r="V79" s="14" t="str">
        <f>IF(AND($K79="Yes",$B79&lt;&gt;"PCB",LEFT($I79,1)="C"),$I79,"")</f>
        <v>C15849</v>
      </c>
      <c r="W79" s="15">
        <f>IF($V79="",0,IF(COUNTIF($V$4:$V79,$V79)=1,1,0))</f>
        <v>0</v>
      </c>
    </row>
    <row r="80" spans="1:23" ht="42.75" customHeight="1">
      <c r="A80" s="19" t="s">
        <v>56</v>
      </c>
      <c r="B80" s="7" t="s">
        <v>427</v>
      </c>
      <c r="C80" s="9">
        <v>1</v>
      </c>
      <c r="D80" s="7" t="s">
        <v>428</v>
      </c>
      <c r="E80" s="7" t="s">
        <v>160</v>
      </c>
      <c r="F80" s="7" t="s">
        <v>161</v>
      </c>
      <c r="G80" s="7" t="s">
        <v>162</v>
      </c>
      <c r="H80" s="7" t="s">
        <v>163</v>
      </c>
      <c r="I80" s="10" t="s">
        <v>164</v>
      </c>
      <c r="J80" s="10" t="s">
        <v>125</v>
      </c>
      <c r="K80" s="10" t="s">
        <v>116</v>
      </c>
      <c r="L80" s="10"/>
      <c r="M80" s="9">
        <v>2</v>
      </c>
      <c r="N80" s="9">
        <v>0</v>
      </c>
      <c r="O80" s="11">
        <v>6.0000000000000001E-3</v>
      </c>
      <c r="P80" s="11">
        <v>2.2000000000000001E-3</v>
      </c>
      <c r="Q80" s="7" t="s">
        <v>117</v>
      </c>
      <c r="R80" s="12">
        <f>IF($K80="Yes",$C80*Cost!$B$6,0)</f>
        <v>5</v>
      </c>
      <c r="S80" s="13">
        <f>IF($K80="Yes",$C80*Cost!$B$6*$O80,0)</f>
        <v>0.03</v>
      </c>
      <c r="T80" s="13">
        <f>IF($K80="Yes",$C80*Cost!$B$7*$P80,0)</f>
        <v>0.22</v>
      </c>
      <c r="U80" s="7"/>
      <c r="V80" s="14" t="str">
        <f>IF(AND($K80="Yes",$B80&lt;&gt;"PCB",LEFT($I80,1)="C"),$I80,"")</f>
        <v>C15849</v>
      </c>
      <c r="W80" s="15">
        <f>IF($V80="",0,IF(COUNTIF($V$4:$V80,$V80)=1,1,0))</f>
        <v>0</v>
      </c>
    </row>
    <row r="81" spans="1:23" ht="42.75" customHeight="1">
      <c r="A81" s="19" t="s">
        <v>56</v>
      </c>
      <c r="B81" s="7" t="s">
        <v>429</v>
      </c>
      <c r="C81" s="9">
        <v>1</v>
      </c>
      <c r="D81" s="7" t="s">
        <v>430</v>
      </c>
      <c r="E81" s="7" t="s">
        <v>133</v>
      </c>
      <c r="F81" s="7" t="s">
        <v>121</v>
      </c>
      <c r="G81" s="7" t="s">
        <v>122</v>
      </c>
      <c r="H81" s="7" t="s">
        <v>134</v>
      </c>
      <c r="I81" s="10" t="s">
        <v>135</v>
      </c>
      <c r="J81" s="10" t="s">
        <v>125</v>
      </c>
      <c r="K81" s="10" t="s">
        <v>116</v>
      </c>
      <c r="L81" s="10"/>
      <c r="M81" s="9">
        <v>2</v>
      </c>
      <c r="N81" s="9">
        <v>0</v>
      </c>
      <c r="O81" s="11">
        <v>2E-3</v>
      </c>
      <c r="P81" s="11">
        <v>5.0000000000000001E-4</v>
      </c>
      <c r="Q81" s="7" t="s">
        <v>117</v>
      </c>
      <c r="R81" s="12">
        <f>IF($K81="Yes",$C81*Cost!$B$6,0)</f>
        <v>5</v>
      </c>
      <c r="S81" s="13">
        <f>IF($K81="Yes",$C81*Cost!$B$6*$O81,0)</f>
        <v>0.01</v>
      </c>
      <c r="T81" s="13">
        <f>IF($K81="Yes",$C81*Cost!$B$7*$P81,0)</f>
        <v>0.05</v>
      </c>
      <c r="U81" s="7"/>
      <c r="V81" s="14" t="str">
        <f>IF(AND($K81="Yes",$B81&lt;&gt;"PCB",LEFT($I81,1)="C"),$I81,"")</f>
        <v>C25741</v>
      </c>
      <c r="W81" s="15">
        <f>IF($V81="",0,IF(COUNTIF($V$4:$V81,$V81)=1,1,0))</f>
        <v>0</v>
      </c>
    </row>
    <row r="82" spans="1:23" ht="42.75" customHeight="1">
      <c r="A82" s="19" t="s">
        <v>56</v>
      </c>
      <c r="B82" s="7" t="s">
        <v>431</v>
      </c>
      <c r="C82" s="9">
        <v>1</v>
      </c>
      <c r="D82" s="7" t="s">
        <v>432</v>
      </c>
      <c r="E82" s="7" t="s">
        <v>138</v>
      </c>
      <c r="F82" s="7" t="s">
        <v>121</v>
      </c>
      <c r="G82" s="7" t="s">
        <v>122</v>
      </c>
      <c r="H82" s="7" t="s">
        <v>139</v>
      </c>
      <c r="I82" s="10" t="s">
        <v>140</v>
      </c>
      <c r="J82" s="10" t="s">
        <v>125</v>
      </c>
      <c r="K82" s="10" t="s">
        <v>116</v>
      </c>
      <c r="L82" s="10"/>
      <c r="M82" s="9">
        <v>2</v>
      </c>
      <c r="N82" s="9">
        <v>0</v>
      </c>
      <c r="O82" s="11">
        <v>2E-3</v>
      </c>
      <c r="P82" s="11">
        <v>5.0000000000000001E-4</v>
      </c>
      <c r="Q82" s="7" t="s">
        <v>117</v>
      </c>
      <c r="R82" s="12">
        <f>IF($K82="Yes",$C82*Cost!$B$6,0)</f>
        <v>5</v>
      </c>
      <c r="S82" s="13">
        <f>IF($K82="Yes",$C82*Cost!$B$6*$O82,0)</f>
        <v>0.01</v>
      </c>
      <c r="T82" s="13">
        <f>IF($K82="Yes",$C82*Cost!$B$7*$P82,0)</f>
        <v>0.05</v>
      </c>
      <c r="U82" s="7"/>
      <c r="V82" s="14" t="str">
        <f>IF(AND($K82="Yes",$B82&lt;&gt;"PCB",LEFT($I82,1)="C"),$I82,"")</f>
        <v>C25792</v>
      </c>
      <c r="W82" s="15">
        <f>IF($V82="",0,IF(COUNTIF($V$4:$V82,$V82)=1,1,0))</f>
        <v>0</v>
      </c>
    </row>
    <row r="83" spans="1:23" ht="42.75" customHeight="1">
      <c r="A83" s="19" t="s">
        <v>56</v>
      </c>
      <c r="B83" s="7" t="s">
        <v>433</v>
      </c>
      <c r="C83" s="9">
        <v>1</v>
      </c>
      <c r="D83" s="7" t="s">
        <v>434</v>
      </c>
      <c r="E83" s="7" t="s">
        <v>133</v>
      </c>
      <c r="F83" s="7" t="s">
        <v>121</v>
      </c>
      <c r="G83" s="7" t="s">
        <v>122</v>
      </c>
      <c r="H83" s="7" t="s">
        <v>134</v>
      </c>
      <c r="I83" s="10" t="s">
        <v>135</v>
      </c>
      <c r="J83" s="10" t="s">
        <v>125</v>
      </c>
      <c r="K83" s="10" t="s">
        <v>116</v>
      </c>
      <c r="L83" s="10"/>
      <c r="M83" s="9">
        <v>2</v>
      </c>
      <c r="N83" s="9">
        <v>0</v>
      </c>
      <c r="O83" s="11">
        <v>2E-3</v>
      </c>
      <c r="P83" s="11">
        <v>5.0000000000000001E-4</v>
      </c>
      <c r="Q83" s="7" t="s">
        <v>117</v>
      </c>
      <c r="R83" s="12">
        <f>IF($K83="Yes",$C83*Cost!$B$6,0)</f>
        <v>5</v>
      </c>
      <c r="S83" s="13">
        <f>IF($K83="Yes",$C83*Cost!$B$6*$O83,0)</f>
        <v>0.01</v>
      </c>
      <c r="T83" s="13">
        <f>IF($K83="Yes",$C83*Cost!$B$7*$P83,0)</f>
        <v>0.05</v>
      </c>
      <c r="U83" s="7"/>
      <c r="V83" s="14" t="str">
        <f>IF(AND($K83="Yes",$B83&lt;&gt;"PCB",LEFT($I83,1)="C"),$I83,"")</f>
        <v>C25741</v>
      </c>
      <c r="W83" s="15">
        <f>IF($V83="",0,IF(COUNTIF($V$4:$V83,$V83)=1,1,0))</f>
        <v>0</v>
      </c>
    </row>
    <row r="84" spans="1:23" ht="42.75" customHeight="1">
      <c r="A84" s="19" t="s">
        <v>56</v>
      </c>
      <c r="B84" s="7" t="s">
        <v>435</v>
      </c>
      <c r="C84" s="9">
        <v>1</v>
      </c>
      <c r="D84" s="7" t="s">
        <v>436</v>
      </c>
      <c r="E84" s="7" t="s">
        <v>437</v>
      </c>
      <c r="F84" s="7" t="s">
        <v>307</v>
      </c>
      <c r="G84" s="7" t="s">
        <v>438</v>
      </c>
      <c r="H84" s="7" t="s">
        <v>439</v>
      </c>
      <c r="I84" s="10" t="s">
        <v>440</v>
      </c>
      <c r="J84" s="10" t="s">
        <v>125</v>
      </c>
      <c r="K84" s="10" t="s">
        <v>116</v>
      </c>
      <c r="L84" s="10"/>
      <c r="M84" s="9">
        <v>3</v>
      </c>
      <c r="N84" s="9">
        <v>0</v>
      </c>
      <c r="O84" s="11">
        <v>1.6400000000000001E-2</v>
      </c>
      <c r="P84" s="11">
        <v>0.01</v>
      </c>
      <c r="Q84" s="7" t="s">
        <v>117</v>
      </c>
      <c r="R84" s="12">
        <f>IF($K84="Yes",$C84*Cost!$B$6,0)</f>
        <v>5</v>
      </c>
      <c r="S84" s="13">
        <f>IF($K84="Yes",$C84*Cost!$B$6*$O84,0)</f>
        <v>8.2000000000000003E-2</v>
      </c>
      <c r="T84" s="13">
        <f>IF($K84="Yes",$C84*Cost!$B$7*$P84,0)</f>
        <v>1</v>
      </c>
      <c r="U84" s="7"/>
      <c r="V84" s="14" t="str">
        <f>IF(AND($K84="Yes",$B84&lt;&gt;"PCB",LEFT($I84,1)="C"),$I84,"")</f>
        <v>C8545</v>
      </c>
      <c r="W84" s="15">
        <f>IF($V84="",0,IF(COUNTIF($V$4:$V84,$V84)=1,1,0))</f>
        <v>1</v>
      </c>
    </row>
    <row r="85" spans="1:23" ht="42.75" customHeight="1">
      <c r="A85" s="19" t="s">
        <v>56</v>
      </c>
      <c r="B85" s="7" t="s">
        <v>441</v>
      </c>
      <c r="C85" s="9">
        <v>1</v>
      </c>
      <c r="D85" s="7" t="s">
        <v>442</v>
      </c>
      <c r="E85" s="7" t="s">
        <v>133</v>
      </c>
      <c r="F85" s="7" t="s">
        <v>121</v>
      </c>
      <c r="G85" s="7" t="s">
        <v>122</v>
      </c>
      <c r="H85" s="7" t="s">
        <v>134</v>
      </c>
      <c r="I85" s="10" t="s">
        <v>135</v>
      </c>
      <c r="J85" s="10" t="s">
        <v>125</v>
      </c>
      <c r="K85" s="10" t="s">
        <v>116</v>
      </c>
      <c r="L85" s="10"/>
      <c r="M85" s="9">
        <v>2</v>
      </c>
      <c r="N85" s="9">
        <v>0</v>
      </c>
      <c r="O85" s="11">
        <v>2E-3</v>
      </c>
      <c r="P85" s="11">
        <v>5.0000000000000001E-4</v>
      </c>
      <c r="Q85" s="7" t="s">
        <v>117</v>
      </c>
      <c r="R85" s="12">
        <f>IF($K85="Yes",$C85*Cost!$B$6,0)</f>
        <v>5</v>
      </c>
      <c r="S85" s="13">
        <f>IF($K85="Yes",$C85*Cost!$B$6*$O85,0)</f>
        <v>0.01</v>
      </c>
      <c r="T85" s="13">
        <f>IF($K85="Yes",$C85*Cost!$B$7*$P85,0)</f>
        <v>0.05</v>
      </c>
      <c r="U85" s="7"/>
      <c r="V85" s="14" t="str">
        <f>IF(AND($K85="Yes",$B85&lt;&gt;"PCB",LEFT($I85,1)="C"),$I85,"")</f>
        <v>C25741</v>
      </c>
      <c r="W85" s="15">
        <f>IF($V85="",0,IF(COUNTIF($V$4:$V85,$V85)=1,1,0))</f>
        <v>0</v>
      </c>
    </row>
    <row r="86" spans="1:23" ht="42.75" customHeight="1">
      <c r="A86" s="19" t="s">
        <v>56</v>
      </c>
      <c r="B86" s="7" t="s">
        <v>443</v>
      </c>
      <c r="C86" s="9">
        <v>1</v>
      </c>
      <c r="D86" s="7" t="s">
        <v>444</v>
      </c>
      <c r="E86" s="7" t="s">
        <v>133</v>
      </c>
      <c r="F86" s="7" t="s">
        <v>121</v>
      </c>
      <c r="G86" s="7" t="s">
        <v>122</v>
      </c>
      <c r="H86" s="7" t="s">
        <v>134</v>
      </c>
      <c r="I86" s="10" t="s">
        <v>135</v>
      </c>
      <c r="J86" s="10" t="s">
        <v>125</v>
      </c>
      <c r="K86" s="10" t="s">
        <v>116</v>
      </c>
      <c r="L86" s="10"/>
      <c r="M86" s="9">
        <v>2</v>
      </c>
      <c r="N86" s="9">
        <v>0</v>
      </c>
      <c r="O86" s="11">
        <v>2E-3</v>
      </c>
      <c r="P86" s="11">
        <v>5.0000000000000001E-4</v>
      </c>
      <c r="Q86" s="7" t="s">
        <v>117</v>
      </c>
      <c r="R86" s="12">
        <f>IF($K86="Yes",$C86*Cost!$B$6,0)</f>
        <v>5</v>
      </c>
      <c r="S86" s="13">
        <f>IF($K86="Yes",$C86*Cost!$B$6*$O86,0)</f>
        <v>0.01</v>
      </c>
      <c r="T86" s="13">
        <f>IF($K86="Yes",$C86*Cost!$B$7*$P86,0)</f>
        <v>0.05</v>
      </c>
      <c r="U86" s="7"/>
      <c r="V86" s="14" t="str">
        <f>IF(AND($K86="Yes",$B86&lt;&gt;"PCB",LEFT($I86,1)="C"),$I86,"")</f>
        <v>C25741</v>
      </c>
      <c r="W86" s="15">
        <f>IF($V86="",0,IF(COUNTIF($V$4:$V86,$V86)=1,1,0))</f>
        <v>0</v>
      </c>
    </row>
    <row r="87" spans="1:23" ht="42.75" customHeight="1">
      <c r="A87" s="19" t="s">
        <v>56</v>
      </c>
      <c r="B87" s="7" t="s">
        <v>445</v>
      </c>
      <c r="C87" s="9">
        <v>1</v>
      </c>
      <c r="D87" s="7" t="s">
        <v>446</v>
      </c>
      <c r="E87" s="7" t="s">
        <v>133</v>
      </c>
      <c r="F87" s="7" t="s">
        <v>121</v>
      </c>
      <c r="G87" s="7" t="s">
        <v>122</v>
      </c>
      <c r="H87" s="7" t="s">
        <v>134</v>
      </c>
      <c r="I87" s="10" t="s">
        <v>135</v>
      </c>
      <c r="J87" s="10" t="s">
        <v>125</v>
      </c>
      <c r="K87" s="10" t="s">
        <v>116</v>
      </c>
      <c r="L87" s="10"/>
      <c r="M87" s="9">
        <v>2</v>
      </c>
      <c r="N87" s="9">
        <v>0</v>
      </c>
      <c r="O87" s="11">
        <v>2E-3</v>
      </c>
      <c r="P87" s="11">
        <v>5.0000000000000001E-4</v>
      </c>
      <c r="Q87" s="7" t="s">
        <v>117</v>
      </c>
      <c r="R87" s="12">
        <f>IF($K87="Yes",$C87*Cost!$B$6,0)</f>
        <v>5</v>
      </c>
      <c r="S87" s="13">
        <f>IF($K87="Yes",$C87*Cost!$B$6*$O87,0)</f>
        <v>0.01</v>
      </c>
      <c r="T87" s="13">
        <f>IF($K87="Yes",$C87*Cost!$B$7*$P87,0)</f>
        <v>0.05</v>
      </c>
      <c r="U87" s="7"/>
      <c r="V87" s="14" t="str">
        <f>IF(AND($K87="Yes",$B87&lt;&gt;"PCB",LEFT($I87,1)="C"),$I87,"")</f>
        <v>C25741</v>
      </c>
      <c r="W87" s="15">
        <f>IF($V87="",0,IF(COUNTIF($V$4:$V87,$V87)=1,1,0))</f>
        <v>0</v>
      </c>
    </row>
    <row r="88" spans="1:23" ht="42.75" customHeight="1">
      <c r="A88" s="19" t="s">
        <v>56</v>
      </c>
      <c r="B88" s="7" t="s">
        <v>447</v>
      </c>
      <c r="C88" s="9">
        <v>1</v>
      </c>
      <c r="D88" s="7" t="s">
        <v>448</v>
      </c>
      <c r="E88" s="7" t="s">
        <v>449</v>
      </c>
      <c r="F88" s="7" t="s">
        <v>161</v>
      </c>
      <c r="G88" s="7" t="s">
        <v>450</v>
      </c>
      <c r="H88" s="7" t="s">
        <v>451</v>
      </c>
      <c r="I88" s="10" t="s">
        <v>452</v>
      </c>
      <c r="J88" s="10" t="s">
        <v>125</v>
      </c>
      <c r="K88" s="10" t="s">
        <v>116</v>
      </c>
      <c r="L88" s="10"/>
      <c r="M88" s="9">
        <v>2</v>
      </c>
      <c r="N88" s="9">
        <v>0</v>
      </c>
      <c r="O88" s="11">
        <v>1.5699999999999999E-2</v>
      </c>
      <c r="P88" s="11">
        <v>8.0000000000000002E-3</v>
      </c>
      <c r="Q88" s="7" t="s">
        <v>117</v>
      </c>
      <c r="R88" s="12">
        <f>IF($K88="Yes",$C88*Cost!$B$6,0)</f>
        <v>5</v>
      </c>
      <c r="S88" s="13">
        <f>IF($K88="Yes",$C88*Cost!$B$6*$O88,0)</f>
        <v>7.8499999999999986E-2</v>
      </c>
      <c r="T88" s="13">
        <f>IF($K88="Yes",$C88*Cost!$B$7*$P88,0)</f>
        <v>0.8</v>
      </c>
      <c r="U88" s="7"/>
      <c r="V88" s="14" t="str">
        <f>IF(AND($K88="Yes",$B88&lt;&gt;"PCB",LEFT($I88,1)="C"),$I88,"")</f>
        <v>C14709</v>
      </c>
      <c r="W88" s="15">
        <f>IF($V88="",0,IF(COUNTIF($V$4:$V88,$V88)=1,1,0))</f>
        <v>1</v>
      </c>
    </row>
    <row r="89" spans="1:23" ht="42.75" customHeight="1">
      <c r="A89" s="19" t="s">
        <v>56</v>
      </c>
      <c r="B89" s="7" t="s">
        <v>453</v>
      </c>
      <c r="C89" s="9">
        <v>1</v>
      </c>
      <c r="D89" s="7" t="s">
        <v>454</v>
      </c>
      <c r="E89" s="7" t="s">
        <v>455</v>
      </c>
      <c r="F89" s="7" t="s">
        <v>456</v>
      </c>
      <c r="G89" s="7" t="s">
        <v>457</v>
      </c>
      <c r="H89" s="7" t="s">
        <v>458</v>
      </c>
      <c r="I89" s="10" t="s">
        <v>459</v>
      </c>
      <c r="J89" s="10" t="s">
        <v>115</v>
      </c>
      <c r="K89" s="10" t="s">
        <v>116</v>
      </c>
      <c r="L89" s="10" t="s">
        <v>116</v>
      </c>
      <c r="M89" s="9">
        <v>13</v>
      </c>
      <c r="N89" s="9">
        <v>0</v>
      </c>
      <c r="O89" s="11">
        <v>1.1013999999999999</v>
      </c>
      <c r="P89" s="11">
        <v>0.75</v>
      </c>
      <c r="Q89" s="7" t="s">
        <v>117</v>
      </c>
      <c r="R89" s="12">
        <f>IF($K89="Yes",$C89*Cost!$B$6,0)</f>
        <v>5</v>
      </c>
      <c r="S89" s="13">
        <f>IF($K89="Yes",$C89*Cost!$B$6*$O89,0)</f>
        <v>5.5069999999999997</v>
      </c>
      <c r="T89" s="13">
        <f>IF($K89="Yes",$C89*Cost!$B$7*$P89,0)</f>
        <v>75</v>
      </c>
      <c r="U89" s="7"/>
      <c r="V89" s="14" t="str">
        <f>IF(AND($K89="Yes",$B89&lt;&gt;"PCB",LEFT($I89,1)="C"),$I89,"")</f>
        <v>C473398</v>
      </c>
      <c r="W89" s="15">
        <f>IF($V89="",0,IF(COUNTIF($V$4:$V89,$V89)=1,1,0))</f>
        <v>1</v>
      </c>
    </row>
    <row r="90" spans="1:23" ht="42.75" customHeight="1">
      <c r="A90" s="19" t="s">
        <v>56</v>
      </c>
      <c r="B90" s="7" t="s">
        <v>460</v>
      </c>
      <c r="C90" s="9">
        <v>1</v>
      </c>
      <c r="D90" s="7" t="s">
        <v>461</v>
      </c>
      <c r="E90" s="7" t="s">
        <v>398</v>
      </c>
      <c r="F90" s="7" t="s">
        <v>295</v>
      </c>
      <c r="G90" s="7" t="s">
        <v>162</v>
      </c>
      <c r="H90" s="7" t="s">
        <v>399</v>
      </c>
      <c r="I90" s="10" t="s">
        <v>400</v>
      </c>
      <c r="J90" s="10" t="s">
        <v>125</v>
      </c>
      <c r="K90" s="10" t="s">
        <v>116</v>
      </c>
      <c r="L90" s="10"/>
      <c r="M90" s="9">
        <v>2</v>
      </c>
      <c r="N90" s="9">
        <v>0</v>
      </c>
      <c r="O90" s="11">
        <v>0.02</v>
      </c>
      <c r="P90" s="11">
        <v>7.7000000000000002E-3</v>
      </c>
      <c r="Q90" s="7" t="s">
        <v>117</v>
      </c>
      <c r="R90" s="12">
        <f>IF($K90="Yes",$C90*Cost!$B$6,0)</f>
        <v>5</v>
      </c>
      <c r="S90" s="13">
        <f>IF($K90="Yes",$C90*Cost!$B$6*$O90,0)</f>
        <v>0.1</v>
      </c>
      <c r="T90" s="13">
        <f>IF($K90="Yes",$C90*Cost!$B$7*$P90,0)</f>
        <v>0.77</v>
      </c>
      <c r="U90" s="7"/>
      <c r="V90" s="14" t="str">
        <f>IF(AND($K90="Yes",$B90&lt;&gt;"PCB",LEFT($I90,1)="C"),$I90,"")</f>
        <v>C15850</v>
      </c>
      <c r="W90" s="15">
        <f>IF($V90="",0,IF(COUNTIF($V$4:$V90,$V90)=1,1,0))</f>
        <v>0</v>
      </c>
    </row>
    <row r="91" spans="1:23" ht="42.75" customHeight="1">
      <c r="A91" s="19" t="s">
        <v>56</v>
      </c>
      <c r="B91" s="7" t="s">
        <v>462</v>
      </c>
      <c r="C91" s="9">
        <v>1</v>
      </c>
      <c r="D91" s="7" t="s">
        <v>463</v>
      </c>
      <c r="E91" s="7" t="s">
        <v>160</v>
      </c>
      <c r="F91" s="7" t="s">
        <v>161</v>
      </c>
      <c r="G91" s="7" t="s">
        <v>162</v>
      </c>
      <c r="H91" s="7" t="s">
        <v>163</v>
      </c>
      <c r="I91" s="10" t="s">
        <v>164</v>
      </c>
      <c r="J91" s="10" t="s">
        <v>125</v>
      </c>
      <c r="K91" s="10" t="s">
        <v>116</v>
      </c>
      <c r="L91" s="10"/>
      <c r="M91" s="9">
        <v>2</v>
      </c>
      <c r="N91" s="9">
        <v>0</v>
      </c>
      <c r="O91" s="11">
        <v>6.0000000000000001E-3</v>
      </c>
      <c r="P91" s="11">
        <v>2.2000000000000001E-3</v>
      </c>
      <c r="Q91" s="7" t="s">
        <v>117</v>
      </c>
      <c r="R91" s="12">
        <f>IF($K91="Yes",$C91*Cost!$B$6,0)</f>
        <v>5</v>
      </c>
      <c r="S91" s="13">
        <f>IF($K91="Yes",$C91*Cost!$B$6*$O91,0)</f>
        <v>0.03</v>
      </c>
      <c r="T91" s="13">
        <f>IF($K91="Yes",$C91*Cost!$B$7*$P91,0)</f>
        <v>0.22</v>
      </c>
      <c r="U91" s="7"/>
      <c r="V91" s="14" t="str">
        <f>IF(AND($K91="Yes",$B91&lt;&gt;"PCB",LEFT($I91,1)="C"),$I91,"")</f>
        <v>C15849</v>
      </c>
      <c r="W91" s="15">
        <f>IF($V91="",0,IF(COUNTIF($V$4:$V91,$V91)=1,1,0))</f>
        <v>0</v>
      </c>
    </row>
    <row r="92" spans="1:23" ht="42.75" customHeight="1">
      <c r="A92" s="19" t="s">
        <v>56</v>
      </c>
      <c r="B92" s="7" t="s">
        <v>464</v>
      </c>
      <c r="C92" s="9">
        <v>1</v>
      </c>
      <c r="D92" s="7" t="s">
        <v>465</v>
      </c>
      <c r="E92" s="7" t="s">
        <v>398</v>
      </c>
      <c r="F92" s="7" t="s">
        <v>295</v>
      </c>
      <c r="G92" s="7" t="s">
        <v>162</v>
      </c>
      <c r="H92" s="7" t="s">
        <v>399</v>
      </c>
      <c r="I92" s="10" t="s">
        <v>400</v>
      </c>
      <c r="J92" s="10" t="s">
        <v>125</v>
      </c>
      <c r="K92" s="10" t="s">
        <v>116</v>
      </c>
      <c r="L92" s="10"/>
      <c r="M92" s="9">
        <v>2</v>
      </c>
      <c r="N92" s="9">
        <v>0</v>
      </c>
      <c r="O92" s="11">
        <v>0.02</v>
      </c>
      <c r="P92" s="11">
        <v>7.7000000000000002E-3</v>
      </c>
      <c r="Q92" s="7" t="s">
        <v>117</v>
      </c>
      <c r="R92" s="12">
        <f>IF($K92="Yes",$C92*Cost!$B$6,0)</f>
        <v>5</v>
      </c>
      <c r="S92" s="13">
        <f>IF($K92="Yes",$C92*Cost!$B$6*$O92,0)</f>
        <v>0.1</v>
      </c>
      <c r="T92" s="13">
        <f>IF($K92="Yes",$C92*Cost!$B$7*$P92,0)</f>
        <v>0.77</v>
      </c>
      <c r="U92" s="7"/>
      <c r="V92" s="14" t="str">
        <f>IF(AND($K92="Yes",$B92&lt;&gt;"PCB",LEFT($I92,1)="C"),$I92,"")</f>
        <v>C15850</v>
      </c>
      <c r="W92" s="15">
        <f>IF($V92="",0,IF(COUNTIF($V$4:$V92,$V92)=1,1,0))</f>
        <v>0</v>
      </c>
    </row>
    <row r="93" spans="1:23" ht="42.75" customHeight="1">
      <c r="A93" s="19" t="s">
        <v>56</v>
      </c>
      <c r="B93" s="7" t="s">
        <v>466</v>
      </c>
      <c r="C93" s="9">
        <v>1</v>
      </c>
      <c r="D93" s="7" t="s">
        <v>467</v>
      </c>
      <c r="E93" s="7" t="s">
        <v>398</v>
      </c>
      <c r="F93" s="7" t="s">
        <v>295</v>
      </c>
      <c r="G93" s="7" t="s">
        <v>162</v>
      </c>
      <c r="H93" s="7" t="s">
        <v>399</v>
      </c>
      <c r="I93" s="10" t="s">
        <v>400</v>
      </c>
      <c r="J93" s="10" t="s">
        <v>125</v>
      </c>
      <c r="K93" s="10" t="s">
        <v>116</v>
      </c>
      <c r="L93" s="10"/>
      <c r="M93" s="9">
        <v>2</v>
      </c>
      <c r="N93" s="9">
        <v>0</v>
      </c>
      <c r="O93" s="11">
        <v>0.02</v>
      </c>
      <c r="P93" s="11">
        <v>7.7000000000000002E-3</v>
      </c>
      <c r="Q93" s="7" t="s">
        <v>117</v>
      </c>
      <c r="R93" s="12">
        <f>IF($K93="Yes",$C93*Cost!$B$6,0)</f>
        <v>5</v>
      </c>
      <c r="S93" s="13">
        <f>IF($K93="Yes",$C93*Cost!$B$6*$O93,0)</f>
        <v>0.1</v>
      </c>
      <c r="T93" s="13">
        <f>IF($K93="Yes",$C93*Cost!$B$7*$P93,0)</f>
        <v>0.77</v>
      </c>
      <c r="U93" s="7"/>
      <c r="V93" s="14" t="str">
        <f>IF(AND($K93="Yes",$B93&lt;&gt;"PCB",LEFT($I93,1)="C"),$I93,"")</f>
        <v>C15850</v>
      </c>
      <c r="W93" s="15">
        <f>IF($V93="",0,IF(COUNTIF($V$4:$V93,$V93)=1,1,0))</f>
        <v>0</v>
      </c>
    </row>
    <row r="94" spans="1:23" ht="42.75" customHeight="1">
      <c r="A94" s="19" t="s">
        <v>56</v>
      </c>
      <c r="B94" s="7" t="s">
        <v>468</v>
      </c>
      <c r="C94" s="9">
        <v>1</v>
      </c>
      <c r="D94" s="7" t="s">
        <v>469</v>
      </c>
      <c r="E94" s="7" t="s">
        <v>398</v>
      </c>
      <c r="F94" s="7" t="s">
        <v>295</v>
      </c>
      <c r="G94" s="7" t="s">
        <v>162</v>
      </c>
      <c r="H94" s="7" t="s">
        <v>399</v>
      </c>
      <c r="I94" s="10" t="s">
        <v>400</v>
      </c>
      <c r="J94" s="10" t="s">
        <v>125</v>
      </c>
      <c r="K94" s="10" t="s">
        <v>116</v>
      </c>
      <c r="L94" s="10"/>
      <c r="M94" s="9">
        <v>2</v>
      </c>
      <c r="N94" s="9">
        <v>0</v>
      </c>
      <c r="O94" s="11">
        <v>0.02</v>
      </c>
      <c r="P94" s="11">
        <v>7.7000000000000002E-3</v>
      </c>
      <c r="Q94" s="7" t="s">
        <v>117</v>
      </c>
      <c r="R94" s="12">
        <f>IF($K94="Yes",$C94*Cost!$B$6,0)</f>
        <v>5</v>
      </c>
      <c r="S94" s="13">
        <f>IF($K94="Yes",$C94*Cost!$B$6*$O94,0)</f>
        <v>0.1</v>
      </c>
      <c r="T94" s="13">
        <f>IF($K94="Yes",$C94*Cost!$B$7*$P94,0)</f>
        <v>0.77</v>
      </c>
      <c r="U94" s="7"/>
      <c r="V94" s="14" t="str">
        <f>IF(AND($K94="Yes",$B94&lt;&gt;"PCB",LEFT($I94,1)="C"),$I94,"")</f>
        <v>C15850</v>
      </c>
      <c r="W94" s="15">
        <f>IF($V94="",0,IF(COUNTIF($V$4:$V94,$V94)=1,1,0))</f>
        <v>0</v>
      </c>
    </row>
    <row r="95" spans="1:23" ht="42.75" customHeight="1">
      <c r="A95" s="19" t="s">
        <v>56</v>
      </c>
      <c r="B95" s="7" t="s">
        <v>470</v>
      </c>
      <c r="C95" s="9">
        <v>2</v>
      </c>
      <c r="D95" s="7" t="s">
        <v>471</v>
      </c>
      <c r="E95" s="7" t="s">
        <v>133</v>
      </c>
      <c r="F95" s="7" t="s">
        <v>121</v>
      </c>
      <c r="G95" s="7" t="s">
        <v>122</v>
      </c>
      <c r="H95" s="7" t="s">
        <v>134</v>
      </c>
      <c r="I95" s="10" t="s">
        <v>135</v>
      </c>
      <c r="J95" s="10" t="s">
        <v>125</v>
      </c>
      <c r="K95" s="10" t="s">
        <v>116</v>
      </c>
      <c r="L95" s="10"/>
      <c r="M95" s="9">
        <v>2</v>
      </c>
      <c r="N95" s="9">
        <v>0</v>
      </c>
      <c r="O95" s="11">
        <v>2E-3</v>
      </c>
      <c r="P95" s="11">
        <v>5.0000000000000001E-4</v>
      </c>
      <c r="Q95" s="7" t="s">
        <v>117</v>
      </c>
      <c r="R95" s="12">
        <f>IF($K95="Yes",$C95*Cost!$B$6,0)</f>
        <v>10</v>
      </c>
      <c r="S95" s="13">
        <f>IF($K95="Yes",$C95*Cost!$B$6*$O95,0)</f>
        <v>0.02</v>
      </c>
      <c r="T95" s="13">
        <f>IF($K95="Yes",$C95*Cost!$B$7*$P95,0)</f>
        <v>0.1</v>
      </c>
      <c r="U95" s="7"/>
      <c r="V95" s="14" t="str">
        <f>IF(AND($K95="Yes",$B95&lt;&gt;"PCB",LEFT($I95,1)="C"),$I95,"")</f>
        <v>C25741</v>
      </c>
      <c r="W95" s="15">
        <f>IF($V95="",0,IF(COUNTIF($V$4:$V95,$V95)=1,1,0))</f>
        <v>0</v>
      </c>
    </row>
    <row r="96" spans="1:23" ht="42.75" customHeight="1">
      <c r="A96" s="19" t="s">
        <v>56</v>
      </c>
      <c r="B96" s="7" t="s">
        <v>472</v>
      </c>
      <c r="C96" s="9">
        <v>1</v>
      </c>
      <c r="D96" s="7" t="s">
        <v>473</v>
      </c>
      <c r="E96" s="7" t="s">
        <v>352</v>
      </c>
      <c r="F96" s="7" t="s">
        <v>121</v>
      </c>
      <c r="G96" s="7" t="s">
        <v>122</v>
      </c>
      <c r="H96" s="7" t="s">
        <v>353</v>
      </c>
      <c r="I96" s="10" t="s">
        <v>354</v>
      </c>
      <c r="J96" s="10" t="s">
        <v>125</v>
      </c>
      <c r="K96" s="10" t="s">
        <v>116</v>
      </c>
      <c r="L96" s="10"/>
      <c r="M96" s="9">
        <v>2</v>
      </c>
      <c r="N96" s="9">
        <v>0</v>
      </c>
      <c r="O96" s="11">
        <v>2E-3</v>
      </c>
      <c r="P96" s="11">
        <v>5.0000000000000001E-4</v>
      </c>
      <c r="Q96" s="7" t="s">
        <v>117</v>
      </c>
      <c r="R96" s="12">
        <f>IF($K96="Yes",$C96*Cost!$B$6,0)</f>
        <v>5</v>
      </c>
      <c r="S96" s="13">
        <f>IF($K96="Yes",$C96*Cost!$B$6*$O96,0)</f>
        <v>0.01</v>
      </c>
      <c r="T96" s="13">
        <f>IF($K96="Yes",$C96*Cost!$B$7*$P96,0)</f>
        <v>0.05</v>
      </c>
      <c r="U96" s="7"/>
      <c r="V96" s="14" t="str">
        <f>IF(AND($K96="Yes",$B96&lt;&gt;"PCB",LEFT($I96,1)="C"),$I96,"")</f>
        <v>C25756</v>
      </c>
      <c r="W96" s="15">
        <f>IF($V96="",0,IF(COUNTIF($V$4:$V96,$V96)=1,1,0))</f>
        <v>0</v>
      </c>
    </row>
    <row r="97" spans="1:23" ht="42.75" customHeight="1">
      <c r="A97" s="19" t="s">
        <v>56</v>
      </c>
      <c r="B97" s="7" t="s">
        <v>474</v>
      </c>
      <c r="C97" s="9">
        <v>1</v>
      </c>
      <c r="D97" s="7" t="s">
        <v>475</v>
      </c>
      <c r="E97" s="7" t="s">
        <v>133</v>
      </c>
      <c r="F97" s="7" t="s">
        <v>121</v>
      </c>
      <c r="G97" s="7" t="s">
        <v>122</v>
      </c>
      <c r="H97" s="7" t="s">
        <v>134</v>
      </c>
      <c r="I97" s="10" t="s">
        <v>135</v>
      </c>
      <c r="J97" s="10" t="s">
        <v>125</v>
      </c>
      <c r="K97" s="10" t="s">
        <v>116</v>
      </c>
      <c r="L97" s="10"/>
      <c r="M97" s="9">
        <v>2</v>
      </c>
      <c r="N97" s="9">
        <v>0</v>
      </c>
      <c r="O97" s="11">
        <v>2E-3</v>
      </c>
      <c r="P97" s="11">
        <v>5.0000000000000001E-4</v>
      </c>
      <c r="Q97" s="7" t="s">
        <v>117</v>
      </c>
      <c r="R97" s="12">
        <f>IF($K97="Yes",$C97*Cost!$B$6,0)</f>
        <v>5</v>
      </c>
      <c r="S97" s="13">
        <f>IF($K97="Yes",$C97*Cost!$B$6*$O97,0)</f>
        <v>0.01</v>
      </c>
      <c r="T97" s="13">
        <f>IF($K97="Yes",$C97*Cost!$B$7*$P97,0)</f>
        <v>0.05</v>
      </c>
      <c r="U97" s="7"/>
      <c r="V97" s="14" t="str">
        <f>IF(AND($K97="Yes",$B97&lt;&gt;"PCB",LEFT($I97,1)="C"),$I97,"")</f>
        <v>C25741</v>
      </c>
      <c r="W97" s="15">
        <f>IF($V97="",0,IF(COUNTIF($V$4:$V97,$V97)=1,1,0))</f>
        <v>0</v>
      </c>
    </row>
    <row r="98" spans="1:23" ht="42.75" customHeight="1">
      <c r="A98" s="19" t="s">
        <v>56</v>
      </c>
      <c r="B98" s="7" t="s">
        <v>476</v>
      </c>
      <c r="C98" s="9">
        <v>2</v>
      </c>
      <c r="D98" s="7" t="s">
        <v>477</v>
      </c>
      <c r="E98" s="7" t="s">
        <v>133</v>
      </c>
      <c r="F98" s="7" t="s">
        <v>121</v>
      </c>
      <c r="G98" s="7" t="s">
        <v>122</v>
      </c>
      <c r="H98" s="7" t="s">
        <v>134</v>
      </c>
      <c r="I98" s="10" t="s">
        <v>135</v>
      </c>
      <c r="J98" s="10" t="s">
        <v>125</v>
      </c>
      <c r="K98" s="10" t="s">
        <v>116</v>
      </c>
      <c r="L98" s="10"/>
      <c r="M98" s="9">
        <v>2</v>
      </c>
      <c r="N98" s="9">
        <v>0</v>
      </c>
      <c r="O98" s="11">
        <v>2E-3</v>
      </c>
      <c r="P98" s="11">
        <v>5.0000000000000001E-4</v>
      </c>
      <c r="Q98" s="7" t="s">
        <v>117</v>
      </c>
      <c r="R98" s="12">
        <f>IF($K98="Yes",$C98*Cost!$B$6,0)</f>
        <v>10</v>
      </c>
      <c r="S98" s="13">
        <f>IF($K98="Yes",$C98*Cost!$B$6*$O98,0)</f>
        <v>0.02</v>
      </c>
      <c r="T98" s="13">
        <f>IF($K98="Yes",$C98*Cost!$B$7*$P98,0)</f>
        <v>0.1</v>
      </c>
      <c r="U98" s="7"/>
      <c r="V98" s="14" t="str">
        <f>IF(AND($K98="Yes",$B98&lt;&gt;"PCB",LEFT($I98,1)="C"),$I98,"")</f>
        <v>C25741</v>
      </c>
      <c r="W98" s="15">
        <f>IF($V98="",0,IF(COUNTIF($V$4:$V98,$V98)=1,1,0))</f>
        <v>0</v>
      </c>
    </row>
    <row r="99" spans="1:23" ht="42.75" customHeight="1">
      <c r="A99" s="19" t="s">
        <v>56</v>
      </c>
      <c r="B99" s="7" t="s">
        <v>478</v>
      </c>
      <c r="C99" s="9">
        <v>1</v>
      </c>
      <c r="D99" s="7" t="s">
        <v>479</v>
      </c>
      <c r="E99" s="7" t="s">
        <v>120</v>
      </c>
      <c r="F99" s="7" t="s">
        <v>121</v>
      </c>
      <c r="G99" s="7" t="s">
        <v>122</v>
      </c>
      <c r="H99" s="7" t="s">
        <v>123</v>
      </c>
      <c r="I99" s="10" t="s">
        <v>124</v>
      </c>
      <c r="J99" s="10" t="s">
        <v>125</v>
      </c>
      <c r="K99" s="10" t="s">
        <v>116</v>
      </c>
      <c r="L99" s="10"/>
      <c r="M99" s="9">
        <v>2</v>
      </c>
      <c r="N99" s="9">
        <v>0</v>
      </c>
      <c r="O99" s="11">
        <v>2E-3</v>
      </c>
      <c r="P99" s="11">
        <v>5.0000000000000001E-4</v>
      </c>
      <c r="Q99" s="7" t="s">
        <v>117</v>
      </c>
      <c r="R99" s="12">
        <f>IF($K99="Yes",$C99*Cost!$B$6,0)</f>
        <v>5</v>
      </c>
      <c r="S99" s="13">
        <f>IF($K99="Yes",$C99*Cost!$B$6*$O99,0)</f>
        <v>0.01</v>
      </c>
      <c r="T99" s="13">
        <f>IF($K99="Yes",$C99*Cost!$B$7*$P99,0)</f>
        <v>0.05</v>
      </c>
      <c r="U99" s="7"/>
      <c r="V99" s="14" t="str">
        <f>IF(AND($K99="Yes",$B99&lt;&gt;"PCB",LEFT($I99,1)="C"),$I99,"")</f>
        <v>C25905</v>
      </c>
      <c r="W99" s="15">
        <f>IF($V99="",0,IF(COUNTIF($V$4:$V99,$V99)=1,1,0))</f>
        <v>0</v>
      </c>
    </row>
    <row r="100" spans="1:23" ht="42.75" customHeight="1">
      <c r="A100" s="19" t="s">
        <v>56</v>
      </c>
      <c r="B100" s="7" t="s">
        <v>480</v>
      </c>
      <c r="C100" s="9">
        <v>1</v>
      </c>
      <c r="D100" s="7" t="s">
        <v>481</v>
      </c>
      <c r="E100" s="7" t="s">
        <v>133</v>
      </c>
      <c r="F100" s="7" t="s">
        <v>121</v>
      </c>
      <c r="G100" s="7" t="s">
        <v>122</v>
      </c>
      <c r="H100" s="7" t="s">
        <v>134</v>
      </c>
      <c r="I100" s="10" t="s">
        <v>135</v>
      </c>
      <c r="J100" s="10" t="s">
        <v>125</v>
      </c>
      <c r="K100" s="10" t="s">
        <v>116</v>
      </c>
      <c r="L100" s="10"/>
      <c r="M100" s="9">
        <v>2</v>
      </c>
      <c r="N100" s="9">
        <v>0</v>
      </c>
      <c r="O100" s="11">
        <v>2E-3</v>
      </c>
      <c r="P100" s="11">
        <v>5.0000000000000001E-4</v>
      </c>
      <c r="Q100" s="7" t="s">
        <v>117</v>
      </c>
      <c r="R100" s="12">
        <f>IF($K100="Yes",$C100*Cost!$B$6,0)</f>
        <v>5</v>
      </c>
      <c r="S100" s="13">
        <f>IF($K100="Yes",$C100*Cost!$B$6*$O100,0)</f>
        <v>0.01</v>
      </c>
      <c r="T100" s="13">
        <f>IF($K100="Yes",$C100*Cost!$B$7*$P100,0)</f>
        <v>0.05</v>
      </c>
      <c r="U100" s="7"/>
      <c r="V100" s="14" t="str">
        <f>IF(AND($K100="Yes",$B100&lt;&gt;"PCB",LEFT($I100,1)="C"),$I100,"")</f>
        <v>C25741</v>
      </c>
      <c r="W100" s="15">
        <f>IF($V100="",0,IF(COUNTIF($V$4:$V100,$V100)=1,1,0))</f>
        <v>0</v>
      </c>
    </row>
    <row r="101" spans="1:23" ht="42.75" customHeight="1">
      <c r="A101" s="19" t="s">
        <v>56</v>
      </c>
      <c r="B101" s="7" t="s">
        <v>482</v>
      </c>
      <c r="C101" s="9">
        <v>1</v>
      </c>
      <c r="D101" s="7" t="s">
        <v>483</v>
      </c>
      <c r="E101" s="7" t="s">
        <v>133</v>
      </c>
      <c r="F101" s="7" t="s">
        <v>121</v>
      </c>
      <c r="G101" s="7" t="s">
        <v>122</v>
      </c>
      <c r="H101" s="7" t="s">
        <v>134</v>
      </c>
      <c r="I101" s="10" t="s">
        <v>135</v>
      </c>
      <c r="J101" s="10" t="s">
        <v>125</v>
      </c>
      <c r="K101" s="10" t="s">
        <v>116</v>
      </c>
      <c r="L101" s="10"/>
      <c r="M101" s="9">
        <v>2</v>
      </c>
      <c r="N101" s="9">
        <v>0</v>
      </c>
      <c r="O101" s="11">
        <v>2E-3</v>
      </c>
      <c r="P101" s="11">
        <v>5.0000000000000001E-4</v>
      </c>
      <c r="Q101" s="7" t="s">
        <v>117</v>
      </c>
      <c r="R101" s="12">
        <f>IF($K101="Yes",$C101*Cost!$B$6,0)</f>
        <v>5</v>
      </c>
      <c r="S101" s="13">
        <f>IF($K101="Yes",$C101*Cost!$B$6*$O101,0)</f>
        <v>0.01</v>
      </c>
      <c r="T101" s="13">
        <f>IF($K101="Yes",$C101*Cost!$B$7*$P101,0)</f>
        <v>0.05</v>
      </c>
      <c r="U101" s="7"/>
      <c r="V101" s="14" t="str">
        <f>IF(AND($K101="Yes",$B101&lt;&gt;"PCB",LEFT($I101,1)="C"),$I101,"")</f>
        <v>C25741</v>
      </c>
      <c r="W101" s="15">
        <f>IF($V101="",0,IF(COUNTIF($V$4:$V101,$V101)=1,1,0))</f>
        <v>0</v>
      </c>
    </row>
    <row r="102" spans="1:23" ht="42.75" customHeight="1">
      <c r="A102" s="19" t="s">
        <v>56</v>
      </c>
      <c r="B102" s="7" t="s">
        <v>484</v>
      </c>
      <c r="C102" s="9">
        <v>1</v>
      </c>
      <c r="D102" s="7" t="s">
        <v>485</v>
      </c>
      <c r="E102" s="7" t="s">
        <v>133</v>
      </c>
      <c r="F102" s="7" t="s">
        <v>121</v>
      </c>
      <c r="G102" s="7" t="s">
        <v>122</v>
      </c>
      <c r="H102" s="7" t="s">
        <v>134</v>
      </c>
      <c r="I102" s="10" t="s">
        <v>135</v>
      </c>
      <c r="J102" s="10" t="s">
        <v>125</v>
      </c>
      <c r="K102" s="10" t="s">
        <v>116</v>
      </c>
      <c r="L102" s="10"/>
      <c r="M102" s="9">
        <v>2</v>
      </c>
      <c r="N102" s="9">
        <v>0</v>
      </c>
      <c r="O102" s="11">
        <v>2E-3</v>
      </c>
      <c r="P102" s="11">
        <v>5.0000000000000001E-4</v>
      </c>
      <c r="Q102" s="7" t="s">
        <v>117</v>
      </c>
      <c r="R102" s="12">
        <f>IF($K102="Yes",$C102*Cost!$B$6,0)</f>
        <v>5</v>
      </c>
      <c r="S102" s="13">
        <f>IF($K102="Yes",$C102*Cost!$B$6*$O102,0)</f>
        <v>0.01</v>
      </c>
      <c r="T102" s="13">
        <f>IF($K102="Yes",$C102*Cost!$B$7*$P102,0)</f>
        <v>0.05</v>
      </c>
      <c r="U102" s="7"/>
      <c r="V102" s="14" t="str">
        <f>IF(AND($K102="Yes",$B102&lt;&gt;"PCB",LEFT($I102,1)="C"),$I102,"")</f>
        <v>C25741</v>
      </c>
      <c r="W102" s="15">
        <f>IF($V102="",0,IF(COUNTIF($V$4:$V102,$V102)=1,1,0))</f>
        <v>0</v>
      </c>
    </row>
    <row r="103" spans="1:23" ht="42.75" customHeight="1">
      <c r="A103" s="19" t="s">
        <v>56</v>
      </c>
      <c r="B103" s="7" t="s">
        <v>486</v>
      </c>
      <c r="C103" s="9">
        <v>1</v>
      </c>
      <c r="D103" s="7" t="s">
        <v>487</v>
      </c>
      <c r="E103" s="7" t="s">
        <v>128</v>
      </c>
      <c r="F103" s="7" t="s">
        <v>121</v>
      </c>
      <c r="G103" s="7" t="s">
        <v>122</v>
      </c>
      <c r="H103" s="7" t="s">
        <v>129</v>
      </c>
      <c r="I103" s="10" t="s">
        <v>130</v>
      </c>
      <c r="J103" s="10" t="s">
        <v>125</v>
      </c>
      <c r="K103" s="10" t="s">
        <v>116</v>
      </c>
      <c r="L103" s="10"/>
      <c r="M103" s="9">
        <v>2</v>
      </c>
      <c r="N103" s="9">
        <v>0</v>
      </c>
      <c r="O103" s="11">
        <v>2E-3</v>
      </c>
      <c r="P103" s="11">
        <v>5.0000000000000001E-4</v>
      </c>
      <c r="Q103" s="7" t="s">
        <v>117</v>
      </c>
      <c r="R103" s="12">
        <f>IF($K103="Yes",$C103*Cost!$B$6,0)</f>
        <v>5</v>
      </c>
      <c r="S103" s="13">
        <f>IF($K103="Yes",$C103*Cost!$B$6*$O103,0)</f>
        <v>0.01</v>
      </c>
      <c r="T103" s="13">
        <f>IF($K103="Yes",$C103*Cost!$B$7*$P103,0)</f>
        <v>0.05</v>
      </c>
      <c r="U103" s="7"/>
      <c r="V103" s="14" t="str">
        <f>IF(AND($K103="Yes",$B103&lt;&gt;"PCB",LEFT($I103,1)="C"),$I103,"")</f>
        <v>C25744</v>
      </c>
      <c r="W103" s="15">
        <f>IF($V103="",0,IF(COUNTIF($V$4:$V103,$V103)=1,1,0))</f>
        <v>0</v>
      </c>
    </row>
    <row r="104" spans="1:23" ht="29.25" customHeight="1">
      <c r="A104" s="20" t="s">
        <v>58</v>
      </c>
      <c r="B104" s="7" t="s">
        <v>488</v>
      </c>
      <c r="C104" s="9">
        <v>1</v>
      </c>
      <c r="D104" s="7" t="s">
        <v>489</v>
      </c>
      <c r="E104" s="7" t="s">
        <v>110</v>
      </c>
      <c r="F104" s="7" t="s">
        <v>328</v>
      </c>
      <c r="G104" s="7" t="s">
        <v>490</v>
      </c>
      <c r="H104" s="7" t="s">
        <v>491</v>
      </c>
      <c r="I104" s="10" t="s">
        <v>492</v>
      </c>
      <c r="J104" s="10" t="s">
        <v>125</v>
      </c>
      <c r="K104" s="10" t="s">
        <v>116</v>
      </c>
      <c r="L104" s="10"/>
      <c r="M104" s="9">
        <v>8</v>
      </c>
      <c r="N104" s="9">
        <v>0</v>
      </c>
      <c r="O104" s="11">
        <v>0.09</v>
      </c>
      <c r="P104" s="11">
        <v>5.6399999999999999E-2</v>
      </c>
      <c r="Q104" s="7" t="s">
        <v>117</v>
      </c>
      <c r="R104" s="12">
        <f>IF($K104="Yes",$C104*Cost!$B$6,0)</f>
        <v>5</v>
      </c>
      <c r="S104" s="13">
        <f>IF($K104="Yes",$C104*Cost!$B$6*$O104,0)</f>
        <v>0.44999999999999996</v>
      </c>
      <c r="T104" s="13">
        <f>IF($K104="Yes",$C104*Cost!$B$7*$P104,0)</f>
        <v>5.64</v>
      </c>
      <c r="U104" s="7"/>
      <c r="V104" s="14" t="str">
        <f>IF(AND($K104="Yes",$B104&lt;&gt;"PCB",LEFT($I104,1)="C"),$I104,"")</f>
        <v>C7955</v>
      </c>
      <c r="W104" s="15">
        <f>IF($V104="",0,IF(COUNTIF($V$4:$V104,$V104)=1,1,0))</f>
        <v>1</v>
      </c>
    </row>
    <row r="105" spans="1:23" ht="29.25" customHeight="1">
      <c r="A105" s="19" t="s">
        <v>58</v>
      </c>
      <c r="B105" s="7" t="s">
        <v>493</v>
      </c>
      <c r="C105" s="9">
        <v>4</v>
      </c>
      <c r="D105" s="7" t="s">
        <v>494</v>
      </c>
      <c r="E105" s="7" t="s">
        <v>133</v>
      </c>
      <c r="F105" s="7" t="s">
        <v>121</v>
      </c>
      <c r="G105" s="7" t="s">
        <v>122</v>
      </c>
      <c r="H105" s="7" t="s">
        <v>134</v>
      </c>
      <c r="I105" s="10" t="s">
        <v>135</v>
      </c>
      <c r="J105" s="10" t="s">
        <v>125</v>
      </c>
      <c r="K105" s="10" t="s">
        <v>116</v>
      </c>
      <c r="L105" s="10"/>
      <c r="M105" s="9">
        <v>2</v>
      </c>
      <c r="N105" s="9">
        <v>0</v>
      </c>
      <c r="O105" s="11">
        <v>2E-3</v>
      </c>
      <c r="P105" s="11">
        <v>5.0000000000000001E-4</v>
      </c>
      <c r="Q105" s="7" t="s">
        <v>117</v>
      </c>
      <c r="R105" s="12">
        <f>IF($K105="Yes",$C105*Cost!$B$6,0)</f>
        <v>20</v>
      </c>
      <c r="S105" s="13">
        <f>IF($K105="Yes",$C105*Cost!$B$6*$O105,0)</f>
        <v>0.04</v>
      </c>
      <c r="T105" s="13">
        <f>IF($K105="Yes",$C105*Cost!$B$7*$P105,0)</f>
        <v>0.2</v>
      </c>
      <c r="U105" s="7"/>
      <c r="V105" s="14" t="str">
        <f>IF(AND($K105="Yes",$B105&lt;&gt;"PCB",LEFT($I105,1)="C"),$I105,"")</f>
        <v>C25741</v>
      </c>
      <c r="W105" s="15">
        <f>IF($V105="",0,IF(COUNTIF($V$4:$V105,$V105)=1,1,0))</f>
        <v>0</v>
      </c>
    </row>
    <row r="106" spans="1:23" ht="29.25" customHeight="1">
      <c r="A106" s="19" t="s">
        <v>58</v>
      </c>
      <c r="B106" s="7" t="s">
        <v>495</v>
      </c>
      <c r="C106" s="9">
        <v>4</v>
      </c>
      <c r="D106" s="7" t="s">
        <v>496</v>
      </c>
      <c r="E106" s="7" t="s">
        <v>138</v>
      </c>
      <c r="F106" s="7" t="s">
        <v>121</v>
      </c>
      <c r="G106" s="7" t="s">
        <v>122</v>
      </c>
      <c r="H106" s="7" t="s">
        <v>139</v>
      </c>
      <c r="I106" s="10" t="s">
        <v>140</v>
      </c>
      <c r="J106" s="10" t="s">
        <v>125</v>
      </c>
      <c r="K106" s="10" t="s">
        <v>116</v>
      </c>
      <c r="L106" s="10"/>
      <c r="M106" s="9">
        <v>2</v>
      </c>
      <c r="N106" s="9">
        <v>0</v>
      </c>
      <c r="O106" s="11">
        <v>2E-3</v>
      </c>
      <c r="P106" s="11">
        <v>5.0000000000000001E-4</v>
      </c>
      <c r="Q106" s="7" t="s">
        <v>117</v>
      </c>
      <c r="R106" s="12">
        <f>IF($K106="Yes",$C106*Cost!$B$6,0)</f>
        <v>20</v>
      </c>
      <c r="S106" s="13">
        <f>IF($K106="Yes",$C106*Cost!$B$6*$O106,0)</f>
        <v>0.04</v>
      </c>
      <c r="T106" s="13">
        <f>IF($K106="Yes",$C106*Cost!$B$7*$P106,0)</f>
        <v>0.2</v>
      </c>
      <c r="U106" s="7"/>
      <c r="V106" s="14" t="str">
        <f>IF(AND($K106="Yes",$B106&lt;&gt;"PCB",LEFT($I106,1)="C"),$I106,"")</f>
        <v>C25792</v>
      </c>
      <c r="W106" s="15">
        <f>IF($V106="",0,IF(COUNTIF($V$4:$V106,$V106)=1,1,0))</f>
        <v>0</v>
      </c>
    </row>
    <row r="107" spans="1:23" ht="29.25" customHeight="1">
      <c r="A107" s="19" t="s">
        <v>58</v>
      </c>
      <c r="B107" s="7" t="s">
        <v>497</v>
      </c>
      <c r="C107" s="9">
        <v>4</v>
      </c>
      <c r="D107" s="7" t="s">
        <v>498</v>
      </c>
      <c r="E107" s="7" t="s">
        <v>160</v>
      </c>
      <c r="F107" s="7" t="s">
        <v>161</v>
      </c>
      <c r="G107" s="7" t="s">
        <v>162</v>
      </c>
      <c r="H107" s="7" t="s">
        <v>163</v>
      </c>
      <c r="I107" s="10" t="s">
        <v>164</v>
      </c>
      <c r="J107" s="10" t="s">
        <v>125</v>
      </c>
      <c r="K107" s="10" t="s">
        <v>116</v>
      </c>
      <c r="L107" s="10"/>
      <c r="M107" s="9">
        <v>2</v>
      </c>
      <c r="N107" s="9">
        <v>0</v>
      </c>
      <c r="O107" s="11">
        <v>6.0000000000000001E-3</v>
      </c>
      <c r="P107" s="11">
        <v>2.2000000000000001E-3</v>
      </c>
      <c r="Q107" s="7" t="s">
        <v>117</v>
      </c>
      <c r="R107" s="12">
        <f>IF($K107="Yes",$C107*Cost!$B$6,0)</f>
        <v>20</v>
      </c>
      <c r="S107" s="13">
        <f>IF($K107="Yes",$C107*Cost!$B$6*$O107,0)</f>
        <v>0.12</v>
      </c>
      <c r="T107" s="13">
        <f>IF($K107="Yes",$C107*Cost!$B$7*$P107,0)</f>
        <v>0.88</v>
      </c>
      <c r="U107" s="7"/>
      <c r="V107" s="14" t="str">
        <f>IF(AND($K107="Yes",$B107&lt;&gt;"PCB",LEFT($I107,1)="C"),$I107,"")</f>
        <v>C15849</v>
      </c>
      <c r="W107" s="15">
        <f>IF($V107="",0,IF(COUNTIF($V$4:$V107,$V107)=1,1,0))</f>
        <v>0</v>
      </c>
    </row>
    <row r="108" spans="1:23" ht="29.25" customHeight="1">
      <c r="A108" s="19" t="s">
        <v>58</v>
      </c>
      <c r="B108" s="7" t="s">
        <v>499</v>
      </c>
      <c r="C108" s="9">
        <v>4</v>
      </c>
      <c r="D108" s="7" t="s">
        <v>500</v>
      </c>
      <c r="E108" s="7" t="s">
        <v>501</v>
      </c>
      <c r="F108" s="7" t="s">
        <v>307</v>
      </c>
      <c r="G108" s="7" t="s">
        <v>502</v>
      </c>
      <c r="H108" s="7" t="s">
        <v>503</v>
      </c>
      <c r="I108" s="10" t="s">
        <v>504</v>
      </c>
      <c r="J108" s="10" t="s">
        <v>125</v>
      </c>
      <c r="K108" s="10" t="s">
        <v>116</v>
      </c>
      <c r="L108" s="10"/>
      <c r="M108" s="9">
        <v>3</v>
      </c>
      <c r="N108" s="9">
        <v>0</v>
      </c>
      <c r="O108" s="11">
        <v>2.1100000000000001E-2</v>
      </c>
      <c r="P108" s="11">
        <v>1.5900000000000001E-2</v>
      </c>
      <c r="Q108" s="7" t="s">
        <v>117</v>
      </c>
      <c r="R108" s="12">
        <f>IF($K108="Yes",$C108*Cost!$B$6,0)</f>
        <v>20</v>
      </c>
      <c r="S108" s="13">
        <f>IF($K108="Yes",$C108*Cost!$B$6*$O108,0)</f>
        <v>0.42200000000000004</v>
      </c>
      <c r="T108" s="13">
        <f>IF($K108="Yes",$C108*Cost!$B$7*$P108,0)</f>
        <v>6.36</v>
      </c>
      <c r="U108" s="7"/>
      <c r="V108" s="14" t="str">
        <f>IF(AND($K108="Yes",$B108&lt;&gt;"PCB",LEFT($I108,1)="C"),$I108,"")</f>
        <v>C2500</v>
      </c>
      <c r="W108" s="15">
        <f>IF($V108="",0,IF(COUNTIF($V$4:$V108,$V108)=1,1,0))</f>
        <v>1</v>
      </c>
    </row>
    <row r="109" spans="1:23" ht="29.25" customHeight="1">
      <c r="A109" s="19" t="s">
        <v>58</v>
      </c>
      <c r="B109" s="7" t="s">
        <v>505</v>
      </c>
      <c r="C109" s="9">
        <v>2</v>
      </c>
      <c r="D109" s="7" t="s">
        <v>506</v>
      </c>
      <c r="E109" s="7" t="s">
        <v>143</v>
      </c>
      <c r="F109" s="7" t="s">
        <v>121</v>
      </c>
      <c r="G109" s="7" t="s">
        <v>122</v>
      </c>
      <c r="H109" s="7" t="s">
        <v>144</v>
      </c>
      <c r="I109" s="10" t="s">
        <v>145</v>
      </c>
      <c r="J109" s="10" t="s">
        <v>125</v>
      </c>
      <c r="K109" s="10" t="s">
        <v>116</v>
      </c>
      <c r="L109" s="10"/>
      <c r="M109" s="9">
        <v>2</v>
      </c>
      <c r="N109" s="9">
        <v>0</v>
      </c>
      <c r="O109" s="11">
        <v>2E-3</v>
      </c>
      <c r="P109" s="11">
        <v>5.0000000000000001E-4</v>
      </c>
      <c r="Q109" s="7" t="s">
        <v>117</v>
      </c>
      <c r="R109" s="12">
        <f>IF($K109="Yes",$C109*Cost!$B$6,0)</f>
        <v>10</v>
      </c>
      <c r="S109" s="13">
        <f>IF($K109="Yes",$C109*Cost!$B$6*$O109,0)</f>
        <v>0.02</v>
      </c>
      <c r="T109" s="13">
        <f>IF($K109="Yes",$C109*Cost!$B$7*$P109,0)</f>
        <v>0.1</v>
      </c>
      <c r="U109" s="7"/>
      <c r="V109" s="14" t="str">
        <f>IF(AND($K109="Yes",$B109&lt;&gt;"PCB",LEFT($I109,1)="C"),$I109,"")</f>
        <v>C26083</v>
      </c>
      <c r="W109" s="15">
        <f>IF($V109="",0,IF(COUNTIF($V$4:$V109,$V109)=1,1,0))</f>
        <v>0</v>
      </c>
    </row>
    <row r="110" spans="1:23" ht="29.25" customHeight="1">
      <c r="A110" s="19" t="s">
        <v>58</v>
      </c>
      <c r="B110" s="7" t="s">
        <v>507</v>
      </c>
      <c r="C110" s="9">
        <v>2</v>
      </c>
      <c r="D110" s="7" t="s">
        <v>508</v>
      </c>
      <c r="E110" s="7" t="s">
        <v>133</v>
      </c>
      <c r="F110" s="7" t="s">
        <v>121</v>
      </c>
      <c r="G110" s="7" t="s">
        <v>122</v>
      </c>
      <c r="H110" s="7" t="s">
        <v>134</v>
      </c>
      <c r="I110" s="10" t="s">
        <v>135</v>
      </c>
      <c r="J110" s="10" t="s">
        <v>125</v>
      </c>
      <c r="K110" s="10" t="s">
        <v>116</v>
      </c>
      <c r="L110" s="10"/>
      <c r="M110" s="9">
        <v>2</v>
      </c>
      <c r="N110" s="9">
        <v>0</v>
      </c>
      <c r="O110" s="11">
        <v>2E-3</v>
      </c>
      <c r="P110" s="11">
        <v>5.0000000000000001E-4</v>
      </c>
      <c r="Q110" s="7" t="s">
        <v>117</v>
      </c>
      <c r="R110" s="12">
        <f>IF($K110="Yes",$C110*Cost!$B$6,0)</f>
        <v>10</v>
      </c>
      <c r="S110" s="13">
        <f>IF($K110="Yes",$C110*Cost!$B$6*$O110,0)</f>
        <v>0.02</v>
      </c>
      <c r="T110" s="13">
        <f>IF($K110="Yes",$C110*Cost!$B$7*$P110,0)</f>
        <v>0.1</v>
      </c>
      <c r="U110" s="7"/>
      <c r="V110" s="14" t="str">
        <f>IF(AND($K110="Yes",$B110&lt;&gt;"PCB",LEFT($I110,1)="C"),$I110,"")</f>
        <v>C25741</v>
      </c>
      <c r="W110" s="15">
        <f>IF($V110="",0,IF(COUNTIF($V$4:$V110,$V110)=1,1,0))</f>
        <v>0</v>
      </c>
    </row>
    <row r="111" spans="1:23" ht="29.25" customHeight="1">
      <c r="A111" s="19" t="s">
        <v>58</v>
      </c>
      <c r="B111" s="7" t="s">
        <v>509</v>
      </c>
      <c r="C111" s="9">
        <v>2</v>
      </c>
      <c r="D111" s="7" t="s">
        <v>510</v>
      </c>
      <c r="E111" s="7" t="s">
        <v>511</v>
      </c>
      <c r="F111" s="7" t="s">
        <v>121</v>
      </c>
      <c r="G111" s="7" t="s">
        <v>122</v>
      </c>
      <c r="H111" s="7" t="s">
        <v>512</v>
      </c>
      <c r="I111" s="10" t="s">
        <v>513</v>
      </c>
      <c r="J111" s="10" t="s">
        <v>125</v>
      </c>
      <c r="K111" s="10" t="s">
        <v>116</v>
      </c>
      <c r="L111" s="10"/>
      <c r="M111" s="9">
        <v>2</v>
      </c>
      <c r="N111" s="9">
        <v>0</v>
      </c>
      <c r="O111" s="11">
        <v>2E-3</v>
      </c>
      <c r="P111" s="11">
        <v>5.0000000000000001E-4</v>
      </c>
      <c r="Q111" s="7" t="s">
        <v>117</v>
      </c>
      <c r="R111" s="12">
        <f>IF($K111="Yes",$C111*Cost!$B$6,0)</f>
        <v>10</v>
      </c>
      <c r="S111" s="13">
        <f>IF($K111="Yes",$C111*Cost!$B$6*$O111,0)</f>
        <v>0.02</v>
      </c>
      <c r="T111" s="13">
        <f>IF($K111="Yes",$C111*Cost!$B$7*$P111,0)</f>
        <v>0.1</v>
      </c>
      <c r="U111" s="7"/>
      <c r="V111" s="14" t="str">
        <f>IF(AND($K111="Yes",$B111&lt;&gt;"PCB",LEFT($I111,1)="C"),$I111,"")</f>
        <v>C25752</v>
      </c>
      <c r="W111" s="15">
        <f>IF($V111="",0,IF(COUNTIF($V$4:$V111,$V111)=1,1,0))</f>
        <v>1</v>
      </c>
    </row>
    <row r="112" spans="1:23" ht="29.25" customHeight="1">
      <c r="A112" s="19" t="s">
        <v>58</v>
      </c>
      <c r="B112" s="7" t="s">
        <v>514</v>
      </c>
      <c r="C112" s="9">
        <v>1</v>
      </c>
      <c r="D112" s="7" t="s">
        <v>515</v>
      </c>
      <c r="E112" s="7" t="s">
        <v>128</v>
      </c>
      <c r="F112" s="7" t="s">
        <v>121</v>
      </c>
      <c r="G112" s="7" t="s">
        <v>122</v>
      </c>
      <c r="H112" s="7" t="s">
        <v>129</v>
      </c>
      <c r="I112" s="10" t="s">
        <v>130</v>
      </c>
      <c r="J112" s="10" t="s">
        <v>125</v>
      </c>
      <c r="K112" s="10" t="s">
        <v>116</v>
      </c>
      <c r="L112" s="10"/>
      <c r="M112" s="9">
        <v>2</v>
      </c>
      <c r="N112" s="9">
        <v>0</v>
      </c>
      <c r="O112" s="11">
        <v>2E-3</v>
      </c>
      <c r="P112" s="11">
        <v>5.0000000000000001E-4</v>
      </c>
      <c r="Q112" s="7" t="s">
        <v>117</v>
      </c>
      <c r="R112" s="12">
        <f>IF($K112="Yes",$C112*Cost!$B$6,0)</f>
        <v>5</v>
      </c>
      <c r="S112" s="13">
        <f>IF($K112="Yes",$C112*Cost!$B$6*$O112,0)</f>
        <v>0.01</v>
      </c>
      <c r="T112" s="13">
        <f>IF($K112="Yes",$C112*Cost!$B$7*$P112,0)</f>
        <v>0.05</v>
      </c>
      <c r="U112" s="7"/>
      <c r="V112" s="14" t="str">
        <f>IF(AND($K112="Yes",$B112&lt;&gt;"PCB",LEFT($I112,1)="C"),$I112,"")</f>
        <v>C25744</v>
      </c>
      <c r="W112" s="15">
        <f>IF($V112="",0,IF(COUNTIF($V$4:$V112,$V112)=1,1,0))</f>
        <v>0</v>
      </c>
    </row>
    <row r="113" spans="1:23" ht="29.25" customHeight="1">
      <c r="A113" s="19" t="s">
        <v>58</v>
      </c>
      <c r="B113" s="7" t="s">
        <v>516</v>
      </c>
      <c r="C113" s="9">
        <v>1</v>
      </c>
      <c r="D113" s="7" t="s">
        <v>517</v>
      </c>
      <c r="E113" s="7" t="s">
        <v>138</v>
      </c>
      <c r="F113" s="7" t="s">
        <v>121</v>
      </c>
      <c r="G113" s="7" t="s">
        <v>122</v>
      </c>
      <c r="H113" s="7" t="s">
        <v>139</v>
      </c>
      <c r="I113" s="10" t="s">
        <v>140</v>
      </c>
      <c r="J113" s="10" t="s">
        <v>125</v>
      </c>
      <c r="K113" s="10" t="s">
        <v>116</v>
      </c>
      <c r="L113" s="10"/>
      <c r="M113" s="9">
        <v>2</v>
      </c>
      <c r="N113" s="9">
        <v>0</v>
      </c>
      <c r="O113" s="11">
        <v>2E-3</v>
      </c>
      <c r="P113" s="11">
        <v>5.0000000000000001E-4</v>
      </c>
      <c r="Q113" s="7" t="s">
        <v>117</v>
      </c>
      <c r="R113" s="12">
        <f>IF($K113="Yes",$C113*Cost!$B$6,0)</f>
        <v>5</v>
      </c>
      <c r="S113" s="13">
        <f>IF($K113="Yes",$C113*Cost!$B$6*$O113,0)</f>
        <v>0.01</v>
      </c>
      <c r="T113" s="13">
        <f>IF($K113="Yes",$C113*Cost!$B$7*$P113,0)</f>
        <v>0.05</v>
      </c>
      <c r="U113" s="7"/>
      <c r="V113" s="14" t="str">
        <f>IF(AND($K113="Yes",$B113&lt;&gt;"PCB",LEFT($I113,1)="C"),$I113,"")</f>
        <v>C25792</v>
      </c>
      <c r="W113" s="15">
        <f>IF($V113="",0,IF(COUNTIF($V$4:$V113,$V113)=1,1,0))</f>
        <v>0</v>
      </c>
    </row>
    <row r="114" spans="1:23" ht="69.75" customHeight="1">
      <c r="A114" s="19" t="s">
        <v>58</v>
      </c>
      <c r="B114" s="7" t="s">
        <v>518</v>
      </c>
      <c r="C114" s="9">
        <v>2</v>
      </c>
      <c r="D114" s="7" t="s">
        <v>519</v>
      </c>
      <c r="E114" s="7" t="s">
        <v>363</v>
      </c>
      <c r="F114" s="7" t="s">
        <v>364</v>
      </c>
      <c r="G114" s="7" t="s">
        <v>520</v>
      </c>
      <c r="H114" s="7" t="s">
        <v>366</v>
      </c>
      <c r="I114" s="10" t="s">
        <v>367</v>
      </c>
      <c r="J114" s="10" t="s">
        <v>125</v>
      </c>
      <c r="K114" s="10" t="s">
        <v>116</v>
      </c>
      <c r="L114" s="10"/>
      <c r="M114" s="9">
        <v>2</v>
      </c>
      <c r="N114" s="9">
        <v>0</v>
      </c>
      <c r="O114" s="11">
        <v>1.6E-2</v>
      </c>
      <c r="P114" s="11">
        <v>1.2E-2</v>
      </c>
      <c r="Q114" s="7" t="s">
        <v>117</v>
      </c>
      <c r="R114" s="12">
        <f>IF($K114="Yes",$C114*Cost!$B$6,0)</f>
        <v>10</v>
      </c>
      <c r="S114" s="13">
        <f>IF($K114="Yes",$C114*Cost!$B$6*$O114,0)</f>
        <v>0.16</v>
      </c>
      <c r="T114" s="13">
        <f>IF($K114="Yes",$C114*Cost!$B$7*$P114,0)</f>
        <v>2.4</v>
      </c>
      <c r="U114" s="7"/>
      <c r="V114" s="14" t="str">
        <f>IF(AND($K114="Yes",$B114&lt;&gt;"PCB",LEFT($I114,1)="C"),$I114,"")</f>
        <v>C2128</v>
      </c>
      <c r="W114" s="15">
        <f>IF($V114="",0,IF(COUNTIF($V$4:$V114,$V114)=1,1,0))</f>
        <v>0</v>
      </c>
    </row>
    <row r="115" spans="1:23" ht="83.25" customHeight="1">
      <c r="A115" s="19" t="s">
        <v>58</v>
      </c>
      <c r="B115" s="7" t="s">
        <v>521</v>
      </c>
      <c r="C115" s="9">
        <v>10</v>
      </c>
      <c r="D115" s="7" t="s">
        <v>522</v>
      </c>
      <c r="E115" s="7" t="s">
        <v>437</v>
      </c>
      <c r="F115" s="7" t="s">
        <v>307</v>
      </c>
      <c r="G115" s="7" t="s">
        <v>438</v>
      </c>
      <c r="H115" s="7" t="s">
        <v>439</v>
      </c>
      <c r="I115" s="10" t="s">
        <v>440</v>
      </c>
      <c r="J115" s="10" t="s">
        <v>125</v>
      </c>
      <c r="K115" s="10" t="s">
        <v>116</v>
      </c>
      <c r="L115" s="10"/>
      <c r="M115" s="9">
        <v>3</v>
      </c>
      <c r="N115" s="9">
        <v>0</v>
      </c>
      <c r="O115" s="11">
        <v>1.6400000000000001E-2</v>
      </c>
      <c r="P115" s="11">
        <v>0.01</v>
      </c>
      <c r="Q115" s="7" t="s">
        <v>117</v>
      </c>
      <c r="R115" s="12">
        <f>IF($K115="Yes",$C115*Cost!$B$6,0)</f>
        <v>50</v>
      </c>
      <c r="S115" s="13">
        <f>IF($K115="Yes",$C115*Cost!$B$6*$O115,0)</f>
        <v>0.82000000000000006</v>
      </c>
      <c r="T115" s="13">
        <f>IF($K115="Yes",$C115*Cost!$B$7*$P115,0)</f>
        <v>10</v>
      </c>
      <c r="U115" s="7"/>
      <c r="V115" s="14" t="str">
        <f>IF(AND($K115="Yes",$B115&lt;&gt;"PCB",LEFT($I115,1)="C"),$I115,"")</f>
        <v>C8545</v>
      </c>
      <c r="W115" s="15">
        <f>IF($V115="",0,IF(COUNTIF($V$4:$V115,$V115)=1,1,0))</f>
        <v>0</v>
      </c>
    </row>
    <row r="116" spans="1:23" ht="29.25" customHeight="1">
      <c r="A116" s="19" t="s">
        <v>58</v>
      </c>
      <c r="B116" s="7" t="s">
        <v>523</v>
      </c>
      <c r="C116" s="9">
        <v>1</v>
      </c>
      <c r="D116" s="7" t="s">
        <v>524</v>
      </c>
      <c r="E116" s="7" t="s">
        <v>133</v>
      </c>
      <c r="F116" s="7" t="s">
        <v>121</v>
      </c>
      <c r="G116" s="7" t="s">
        <v>122</v>
      </c>
      <c r="H116" s="7" t="s">
        <v>134</v>
      </c>
      <c r="I116" s="10" t="s">
        <v>135</v>
      </c>
      <c r="J116" s="10" t="s">
        <v>125</v>
      </c>
      <c r="K116" s="10" t="s">
        <v>116</v>
      </c>
      <c r="L116" s="10"/>
      <c r="M116" s="9">
        <v>2</v>
      </c>
      <c r="N116" s="9">
        <v>0</v>
      </c>
      <c r="O116" s="11">
        <v>2E-3</v>
      </c>
      <c r="P116" s="11">
        <v>5.0000000000000001E-4</v>
      </c>
      <c r="Q116" s="7" t="s">
        <v>117</v>
      </c>
      <c r="R116" s="12">
        <f>IF($K116="Yes",$C116*Cost!$B$6,0)</f>
        <v>5</v>
      </c>
      <c r="S116" s="13">
        <f>IF($K116="Yes",$C116*Cost!$B$6*$O116,0)</f>
        <v>0.01</v>
      </c>
      <c r="T116" s="13">
        <f>IF($K116="Yes",$C116*Cost!$B$7*$P116,0)</f>
        <v>0.05</v>
      </c>
      <c r="U116" s="7"/>
      <c r="V116" s="14" t="str">
        <f>IF(AND($K116="Yes",$B116&lt;&gt;"PCB",LEFT($I116,1)="C"),$I116,"")</f>
        <v>C25741</v>
      </c>
      <c r="W116" s="15">
        <f>IF($V116="",0,IF(COUNTIF($V$4:$V116,$V116)=1,1,0))</f>
        <v>0</v>
      </c>
    </row>
    <row r="117" spans="1:23" ht="29.25" customHeight="1">
      <c r="A117" s="19" t="s">
        <v>58</v>
      </c>
      <c r="B117" s="7" t="s">
        <v>525</v>
      </c>
      <c r="C117" s="9">
        <v>2</v>
      </c>
      <c r="D117" s="7" t="s">
        <v>526</v>
      </c>
      <c r="E117" s="7" t="s">
        <v>133</v>
      </c>
      <c r="F117" s="7" t="s">
        <v>121</v>
      </c>
      <c r="G117" s="7" t="s">
        <v>122</v>
      </c>
      <c r="H117" s="7" t="s">
        <v>134</v>
      </c>
      <c r="I117" s="10" t="s">
        <v>135</v>
      </c>
      <c r="J117" s="10" t="s">
        <v>125</v>
      </c>
      <c r="K117" s="10" t="s">
        <v>116</v>
      </c>
      <c r="L117" s="10"/>
      <c r="M117" s="9">
        <v>2</v>
      </c>
      <c r="N117" s="9">
        <v>0</v>
      </c>
      <c r="O117" s="11">
        <v>2E-3</v>
      </c>
      <c r="P117" s="11">
        <v>5.0000000000000001E-4</v>
      </c>
      <c r="Q117" s="7" t="s">
        <v>117</v>
      </c>
      <c r="R117" s="12">
        <f>IF($K117="Yes",$C117*Cost!$B$6,0)</f>
        <v>10</v>
      </c>
      <c r="S117" s="13">
        <f>IF($K117="Yes",$C117*Cost!$B$6*$O117,0)</f>
        <v>0.02</v>
      </c>
      <c r="T117" s="13">
        <f>IF($K117="Yes",$C117*Cost!$B$7*$P117,0)</f>
        <v>0.1</v>
      </c>
      <c r="U117" s="7"/>
      <c r="V117" s="14" t="str">
        <f>IF(AND($K117="Yes",$B117&lt;&gt;"PCB",LEFT($I117,1)="C"),$I117,"")</f>
        <v>C25741</v>
      </c>
      <c r="W117" s="15">
        <f>IF($V117="",0,IF(COUNTIF($V$4:$V117,$V117)=1,1,0))</f>
        <v>0</v>
      </c>
    </row>
    <row r="118" spans="1:23" ht="29.25" customHeight="1">
      <c r="A118" s="19" t="s">
        <v>58</v>
      </c>
      <c r="B118" s="7" t="s">
        <v>527</v>
      </c>
      <c r="C118" s="9">
        <v>1</v>
      </c>
      <c r="D118" s="7" t="s">
        <v>528</v>
      </c>
      <c r="E118" s="7" t="s">
        <v>188</v>
      </c>
      <c r="F118" s="7" t="s">
        <v>121</v>
      </c>
      <c r="G118" s="7" t="s">
        <v>189</v>
      </c>
      <c r="H118" s="7" t="s">
        <v>190</v>
      </c>
      <c r="I118" s="10" t="s">
        <v>191</v>
      </c>
      <c r="J118" s="10" t="s">
        <v>125</v>
      </c>
      <c r="K118" s="10" t="s">
        <v>116</v>
      </c>
      <c r="L118" s="10"/>
      <c r="M118" s="9">
        <v>2</v>
      </c>
      <c r="N118" s="9">
        <v>0</v>
      </c>
      <c r="O118" s="11">
        <v>3.0000000000000001E-3</v>
      </c>
      <c r="P118" s="11">
        <v>1.1000000000000001E-3</v>
      </c>
      <c r="Q118" s="7" t="s">
        <v>117</v>
      </c>
      <c r="R118" s="12">
        <f>IF($K118="Yes",$C118*Cost!$B$6,0)</f>
        <v>5</v>
      </c>
      <c r="S118" s="13">
        <f>IF($K118="Yes",$C118*Cost!$B$6*$O118,0)</f>
        <v>1.4999999999999999E-2</v>
      </c>
      <c r="T118" s="13">
        <f>IF($K118="Yes",$C118*Cost!$B$7*$P118,0)</f>
        <v>0.11</v>
      </c>
      <c r="U118" s="7"/>
      <c r="V118" s="14" t="str">
        <f>IF(AND($K118="Yes",$B118&lt;&gt;"PCB",LEFT($I118,1)="C"),$I118,"")</f>
        <v>C1525</v>
      </c>
      <c r="W118" s="15">
        <f>IF($V118="",0,IF(COUNTIF($V$4:$V118,$V118)=1,1,0))</f>
        <v>0</v>
      </c>
    </row>
    <row r="119" spans="1:23" ht="29.25" customHeight="1">
      <c r="A119" s="19" t="s">
        <v>58</v>
      </c>
      <c r="B119" s="7" t="s">
        <v>529</v>
      </c>
      <c r="C119" s="9">
        <v>1</v>
      </c>
      <c r="D119" s="7" t="s">
        <v>530</v>
      </c>
      <c r="E119" s="7" t="s">
        <v>133</v>
      </c>
      <c r="F119" s="7" t="s">
        <v>121</v>
      </c>
      <c r="G119" s="7" t="s">
        <v>122</v>
      </c>
      <c r="H119" s="7" t="s">
        <v>134</v>
      </c>
      <c r="I119" s="10" t="s">
        <v>135</v>
      </c>
      <c r="J119" s="10" t="s">
        <v>125</v>
      </c>
      <c r="K119" s="10" t="s">
        <v>116</v>
      </c>
      <c r="L119" s="10"/>
      <c r="M119" s="9">
        <v>2</v>
      </c>
      <c r="N119" s="9">
        <v>0</v>
      </c>
      <c r="O119" s="11">
        <v>2E-3</v>
      </c>
      <c r="P119" s="11">
        <v>5.0000000000000001E-4</v>
      </c>
      <c r="Q119" s="7" t="s">
        <v>117</v>
      </c>
      <c r="R119" s="12">
        <f>IF($K119="Yes",$C119*Cost!$B$6,0)</f>
        <v>5</v>
      </c>
      <c r="S119" s="13">
        <f>IF($K119="Yes",$C119*Cost!$B$6*$O119,0)</f>
        <v>0.01</v>
      </c>
      <c r="T119" s="13">
        <f>IF($K119="Yes",$C119*Cost!$B$7*$P119,0)</f>
        <v>0.05</v>
      </c>
      <c r="U119" s="7"/>
      <c r="V119" s="14" t="str">
        <f>IF(AND($K119="Yes",$B119&lt;&gt;"PCB",LEFT($I119,1)="C"),$I119,"")</f>
        <v>C25741</v>
      </c>
      <c r="W119" s="15">
        <f>IF($V119="",0,IF(COUNTIF($V$4:$V119,$V119)=1,1,0))</f>
        <v>0</v>
      </c>
    </row>
    <row r="120" spans="1:23" ht="42.75" customHeight="1">
      <c r="A120" s="19" t="s">
        <v>58</v>
      </c>
      <c r="B120" s="7" t="s">
        <v>531</v>
      </c>
      <c r="C120" s="9">
        <v>1</v>
      </c>
      <c r="D120" s="7" t="s">
        <v>532</v>
      </c>
      <c r="E120" s="7" t="s">
        <v>143</v>
      </c>
      <c r="F120" s="7" t="s">
        <v>121</v>
      </c>
      <c r="G120" s="7" t="s">
        <v>122</v>
      </c>
      <c r="H120" s="7" t="s">
        <v>144</v>
      </c>
      <c r="I120" s="10" t="s">
        <v>145</v>
      </c>
      <c r="J120" s="10" t="s">
        <v>125</v>
      </c>
      <c r="K120" s="10" t="s">
        <v>116</v>
      </c>
      <c r="L120" s="10"/>
      <c r="M120" s="9">
        <v>2</v>
      </c>
      <c r="N120" s="9">
        <v>0</v>
      </c>
      <c r="O120" s="11">
        <v>2E-3</v>
      </c>
      <c r="P120" s="11">
        <v>5.0000000000000001E-4</v>
      </c>
      <c r="Q120" s="7" t="s">
        <v>117</v>
      </c>
      <c r="R120" s="12">
        <f>IF($K120="Yes",$C120*Cost!$B$6,0)</f>
        <v>5</v>
      </c>
      <c r="S120" s="13">
        <f>IF($K120="Yes",$C120*Cost!$B$6*$O120,0)</f>
        <v>0.01</v>
      </c>
      <c r="T120" s="13">
        <f>IF($K120="Yes",$C120*Cost!$B$7*$P120,0)</f>
        <v>0.05</v>
      </c>
      <c r="U120" s="7"/>
      <c r="V120" s="14" t="str">
        <f>IF(AND($K120="Yes",$B120&lt;&gt;"PCB",LEFT($I120,1)="C"),$I120,"")</f>
        <v>C26083</v>
      </c>
      <c r="W120" s="15">
        <f>IF($V120="",0,IF(COUNTIF($V$4:$V120,$V120)=1,1,0))</f>
        <v>0</v>
      </c>
    </row>
    <row r="121" spans="1:23" ht="29.25" customHeight="1">
      <c r="A121" s="19" t="s">
        <v>58</v>
      </c>
      <c r="B121" s="7" t="s">
        <v>533</v>
      </c>
      <c r="C121" s="9">
        <v>1</v>
      </c>
      <c r="D121" s="7" t="s">
        <v>534</v>
      </c>
      <c r="E121" s="7" t="s">
        <v>188</v>
      </c>
      <c r="F121" s="7" t="s">
        <v>121</v>
      </c>
      <c r="G121" s="7" t="s">
        <v>189</v>
      </c>
      <c r="H121" s="7" t="s">
        <v>190</v>
      </c>
      <c r="I121" s="10" t="s">
        <v>191</v>
      </c>
      <c r="J121" s="10" t="s">
        <v>125</v>
      </c>
      <c r="K121" s="10" t="s">
        <v>116</v>
      </c>
      <c r="L121" s="10"/>
      <c r="M121" s="9">
        <v>2</v>
      </c>
      <c r="N121" s="9">
        <v>0</v>
      </c>
      <c r="O121" s="11">
        <v>3.0000000000000001E-3</v>
      </c>
      <c r="P121" s="11">
        <v>1.1000000000000001E-3</v>
      </c>
      <c r="Q121" s="7" t="s">
        <v>117</v>
      </c>
      <c r="R121" s="12">
        <f>IF($K121="Yes",$C121*Cost!$B$6,0)</f>
        <v>5</v>
      </c>
      <c r="S121" s="13">
        <f>IF($K121="Yes",$C121*Cost!$B$6*$O121,0)</f>
        <v>1.4999999999999999E-2</v>
      </c>
      <c r="T121" s="13">
        <f>IF($K121="Yes",$C121*Cost!$B$7*$P121,0)</f>
        <v>0.11</v>
      </c>
      <c r="U121" s="7"/>
      <c r="V121" s="14" t="str">
        <f>IF(AND($K121="Yes",$B121&lt;&gt;"PCB",LEFT($I121,1)="C"),$I121,"")</f>
        <v>C1525</v>
      </c>
      <c r="W121" s="15">
        <f>IF($V121="",0,IF(COUNTIF($V$4:$V121,$V121)=1,1,0))</f>
        <v>0</v>
      </c>
    </row>
    <row r="122" spans="1:23" ht="29.25" customHeight="1">
      <c r="A122" s="19" t="s">
        <v>58</v>
      </c>
      <c r="B122" s="7" t="s">
        <v>535</v>
      </c>
      <c r="C122" s="9">
        <v>1</v>
      </c>
      <c r="D122" s="7" t="s">
        <v>536</v>
      </c>
      <c r="E122" s="7" t="s">
        <v>128</v>
      </c>
      <c r="F122" s="7" t="s">
        <v>121</v>
      </c>
      <c r="G122" s="7" t="s">
        <v>122</v>
      </c>
      <c r="H122" s="7" t="s">
        <v>129</v>
      </c>
      <c r="I122" s="10" t="s">
        <v>130</v>
      </c>
      <c r="J122" s="10" t="s">
        <v>125</v>
      </c>
      <c r="K122" s="10" t="s">
        <v>116</v>
      </c>
      <c r="L122" s="10"/>
      <c r="M122" s="9">
        <v>2</v>
      </c>
      <c r="N122" s="9">
        <v>0</v>
      </c>
      <c r="O122" s="11">
        <v>2E-3</v>
      </c>
      <c r="P122" s="11">
        <v>5.0000000000000001E-4</v>
      </c>
      <c r="Q122" s="7" t="s">
        <v>117</v>
      </c>
      <c r="R122" s="12">
        <f>IF($K122="Yes",$C122*Cost!$B$6,0)</f>
        <v>5</v>
      </c>
      <c r="S122" s="13">
        <f>IF($K122="Yes",$C122*Cost!$B$6*$O122,0)</f>
        <v>0.01</v>
      </c>
      <c r="T122" s="13">
        <f>IF($K122="Yes",$C122*Cost!$B$7*$P122,0)</f>
        <v>0.05</v>
      </c>
      <c r="U122" s="7"/>
      <c r="V122" s="14" t="str">
        <f>IF(AND($K122="Yes",$B122&lt;&gt;"PCB",LEFT($I122,1)="C"),$I122,"")</f>
        <v>C25744</v>
      </c>
      <c r="W122" s="15">
        <f>IF($V122="",0,IF(COUNTIF($V$4:$V122,$V122)=1,1,0))</f>
        <v>0</v>
      </c>
    </row>
    <row r="123" spans="1:23" ht="29.25" customHeight="1">
      <c r="A123" s="20" t="s">
        <v>60</v>
      </c>
      <c r="B123" s="7" t="s">
        <v>537</v>
      </c>
      <c r="C123" s="9">
        <v>1</v>
      </c>
      <c r="D123" s="7" t="s">
        <v>538</v>
      </c>
      <c r="E123" s="7" t="s">
        <v>110</v>
      </c>
      <c r="F123" s="7" t="s">
        <v>539</v>
      </c>
      <c r="G123" s="7" t="s">
        <v>540</v>
      </c>
      <c r="H123" s="7" t="s">
        <v>541</v>
      </c>
      <c r="I123" s="10" t="s">
        <v>542</v>
      </c>
      <c r="J123" s="10" t="s">
        <v>115</v>
      </c>
      <c r="K123" s="10" t="s">
        <v>116</v>
      </c>
      <c r="L123" s="10"/>
      <c r="M123" s="9">
        <v>0</v>
      </c>
      <c r="N123" s="9">
        <v>7</v>
      </c>
      <c r="O123" s="11">
        <v>6.8655999999999997</v>
      </c>
      <c r="P123" s="11">
        <v>4.7573999999999996</v>
      </c>
      <c r="Q123" s="7" t="s">
        <v>117</v>
      </c>
      <c r="R123" s="12">
        <f>IF($K123="Yes",$C123*Cost!$B$6,0)</f>
        <v>5</v>
      </c>
      <c r="S123" s="13">
        <f>IF($K123="Yes",$C123*Cost!$B$6*$O123,0)</f>
        <v>34.327999999999996</v>
      </c>
      <c r="T123" s="13">
        <f>IF($K123="Yes",$C123*Cost!$B$7*$P123,0)</f>
        <v>475.73999999999995</v>
      </c>
      <c r="U123" s="7" t="s">
        <v>543</v>
      </c>
      <c r="V123" s="14" t="str">
        <f>IF(AND($K123="Yes",$B123&lt;&gt;"PCB",LEFT($I123,1)="C"),$I123,"")</f>
        <v>C2762984</v>
      </c>
      <c r="W123" s="15">
        <f>IF($V123="",0,IF(COUNTIF($V$4:$V123,$V123)=1,1,0))</f>
        <v>1</v>
      </c>
    </row>
    <row r="124" spans="1:23" ht="29.25" customHeight="1">
      <c r="A124" s="19" t="s">
        <v>60</v>
      </c>
      <c r="B124" s="7" t="s">
        <v>544</v>
      </c>
      <c r="C124" s="9">
        <v>1</v>
      </c>
      <c r="D124" s="7" t="s">
        <v>545</v>
      </c>
      <c r="E124" s="7" t="s">
        <v>110</v>
      </c>
      <c r="F124" s="7" t="s">
        <v>546</v>
      </c>
      <c r="G124" s="7" t="s">
        <v>547</v>
      </c>
      <c r="H124" s="7" t="s">
        <v>548</v>
      </c>
      <c r="I124" s="10" t="s">
        <v>549</v>
      </c>
      <c r="J124" s="10" t="s">
        <v>115</v>
      </c>
      <c r="K124" s="10" t="s">
        <v>116</v>
      </c>
      <c r="L124" s="10"/>
      <c r="M124" s="9">
        <v>6</v>
      </c>
      <c r="N124" s="9">
        <v>0</v>
      </c>
      <c r="O124" s="11">
        <v>0.29210000000000003</v>
      </c>
      <c r="P124" s="11">
        <v>0.2326</v>
      </c>
      <c r="Q124" s="7" t="s">
        <v>117</v>
      </c>
      <c r="R124" s="12">
        <f>IF($K124="Yes",$C124*Cost!$B$6,0)</f>
        <v>5</v>
      </c>
      <c r="S124" s="13">
        <f>IF($K124="Yes",$C124*Cost!$B$6*$O124,0)</f>
        <v>1.4605000000000001</v>
      </c>
      <c r="T124" s="13">
        <f>IF($K124="Yes",$C124*Cost!$B$7*$P124,0)</f>
        <v>23.26</v>
      </c>
      <c r="U124" s="7" t="s">
        <v>550</v>
      </c>
      <c r="V124" s="14" t="str">
        <f>IF(AND($K124="Yes",$B124&lt;&gt;"PCB",LEFT($I124,1)="C"),$I124,"")</f>
        <v>C2848643</v>
      </c>
      <c r="W124" s="15">
        <f>IF($V124="",0,IF(COUNTIF($V$4:$V124,$V124)=1,1,0))</f>
        <v>1</v>
      </c>
    </row>
    <row r="125" spans="1:23" ht="29.25" customHeight="1">
      <c r="A125" s="19" t="s">
        <v>60</v>
      </c>
      <c r="B125" s="7" t="s">
        <v>551</v>
      </c>
      <c r="C125" s="9">
        <v>4</v>
      </c>
      <c r="D125" s="7" t="s">
        <v>552</v>
      </c>
      <c r="E125" s="7" t="s">
        <v>553</v>
      </c>
      <c r="F125" s="7" t="s">
        <v>554</v>
      </c>
      <c r="G125" s="7" t="s">
        <v>555</v>
      </c>
      <c r="H125" s="7" t="s">
        <v>556</v>
      </c>
      <c r="I125" s="10" t="s">
        <v>557</v>
      </c>
      <c r="J125" s="10" t="s">
        <v>115</v>
      </c>
      <c r="K125" s="10" t="s">
        <v>116</v>
      </c>
      <c r="L125" s="10"/>
      <c r="M125" s="9">
        <v>2</v>
      </c>
      <c r="N125" s="9">
        <v>0</v>
      </c>
      <c r="O125" s="11">
        <v>0.02</v>
      </c>
      <c r="P125" s="11">
        <v>1.4999999999999999E-2</v>
      </c>
      <c r="Q125" s="7" t="s">
        <v>117</v>
      </c>
      <c r="R125" s="12">
        <f>IF($K125="Yes",$C125*Cost!$B$6,0)</f>
        <v>20</v>
      </c>
      <c r="S125" s="13">
        <f>IF($K125="Yes",$C125*Cost!$B$6*$O125,0)</f>
        <v>0.4</v>
      </c>
      <c r="T125" s="13">
        <f>IF($K125="Yes",$C125*Cost!$B$7*$P125,0)</f>
        <v>6</v>
      </c>
      <c r="U125" s="7"/>
      <c r="V125" s="14" t="str">
        <f>IF(AND($K125="Yes",$B125&lt;&gt;"PCB",LEFT($I125,1)="C"),$I125,"")</f>
        <v>C41399463</v>
      </c>
      <c r="W125" s="15">
        <f>IF($V125="",0,IF(COUNTIF($V$4:$V125,$V125)=1,1,0))</f>
        <v>1</v>
      </c>
    </row>
    <row r="126" spans="1:23" ht="29.25" customHeight="1">
      <c r="A126" s="19" t="s">
        <v>60</v>
      </c>
      <c r="B126" s="7" t="s">
        <v>558</v>
      </c>
      <c r="C126" s="9">
        <v>1</v>
      </c>
      <c r="D126" s="7" t="s">
        <v>559</v>
      </c>
      <c r="E126" s="7" t="s">
        <v>560</v>
      </c>
      <c r="F126" s="7" t="s">
        <v>295</v>
      </c>
      <c r="G126" s="7" t="s">
        <v>561</v>
      </c>
      <c r="H126" s="7" t="s">
        <v>562</v>
      </c>
      <c r="I126" s="10" t="s">
        <v>563</v>
      </c>
      <c r="J126" s="10" t="s">
        <v>125</v>
      </c>
      <c r="K126" s="10" t="s">
        <v>116</v>
      </c>
      <c r="L126" s="10"/>
      <c r="M126" s="9">
        <v>2</v>
      </c>
      <c r="N126" s="9">
        <v>0</v>
      </c>
      <c r="O126" s="11">
        <v>1.6299999999999999E-2</v>
      </c>
      <c r="P126" s="11">
        <v>0.01</v>
      </c>
      <c r="Q126" s="7" t="s">
        <v>117</v>
      </c>
      <c r="R126" s="12">
        <f>IF($K126="Yes",$C126*Cost!$B$6,0)</f>
        <v>5</v>
      </c>
      <c r="S126" s="13">
        <f>IF($K126="Yes",$C126*Cost!$B$6*$O126,0)</f>
        <v>8.1499999999999989E-2</v>
      </c>
      <c r="T126" s="13">
        <f>IF($K126="Yes",$C126*Cost!$B$7*$P126,0)</f>
        <v>1</v>
      </c>
      <c r="U126" s="7"/>
      <c r="V126" s="14" t="str">
        <f>IF(AND($K126="Yes",$B126&lt;&gt;"PCB",LEFT($I126,1)="C"),$I126,"")</f>
        <v>C2297</v>
      </c>
      <c r="W126" s="15">
        <f>IF($V126="",0,IF(COUNTIF($V$4:$V126,$V126)=1,1,0))</f>
        <v>1</v>
      </c>
    </row>
    <row r="127" spans="1:23" ht="29.25" customHeight="1">
      <c r="A127" s="19" t="s">
        <v>60</v>
      </c>
      <c r="B127" s="7" t="s">
        <v>564</v>
      </c>
      <c r="C127" s="9">
        <v>1</v>
      </c>
      <c r="D127" s="7" t="s">
        <v>565</v>
      </c>
      <c r="E127" s="7" t="s">
        <v>566</v>
      </c>
      <c r="F127" s="7" t="s">
        <v>161</v>
      </c>
      <c r="G127" s="7" t="s">
        <v>567</v>
      </c>
      <c r="H127" s="7" t="s">
        <v>568</v>
      </c>
      <c r="I127" s="10" t="s">
        <v>569</v>
      </c>
      <c r="J127" s="10" t="s">
        <v>125</v>
      </c>
      <c r="K127" s="10" t="s">
        <v>116</v>
      </c>
      <c r="L127" s="10"/>
      <c r="M127" s="9">
        <v>2</v>
      </c>
      <c r="N127" s="9">
        <v>0</v>
      </c>
      <c r="O127" s="11">
        <v>7.4999999999999997E-3</v>
      </c>
      <c r="P127" s="11">
        <v>7.4999999999999997E-3</v>
      </c>
      <c r="Q127" s="7" t="s">
        <v>117</v>
      </c>
      <c r="R127" s="12">
        <f>IF($K127="Yes",$C127*Cost!$B$6,0)</f>
        <v>5</v>
      </c>
      <c r="S127" s="13">
        <f>IF($K127="Yes",$C127*Cost!$B$6*$O127,0)</f>
        <v>3.7499999999999999E-2</v>
      </c>
      <c r="T127" s="13">
        <f>IF($K127="Yes",$C127*Cost!$B$7*$P127,0)</f>
        <v>0.75</v>
      </c>
      <c r="U127" s="7"/>
      <c r="V127" s="14" t="str">
        <f>IF(AND($K127="Yes",$B127&lt;&gt;"PCB",LEFT($I127,1)="C"),$I127,"")</f>
        <v>C2286</v>
      </c>
      <c r="W127" s="15">
        <f>IF($V127="",0,IF(COUNTIF($V$4:$V127,$V127)=1,1,0))</f>
        <v>1</v>
      </c>
    </row>
    <row r="128" spans="1:23" ht="29.25" customHeight="1">
      <c r="A128" s="19" t="s">
        <v>60</v>
      </c>
      <c r="B128" s="7" t="s">
        <v>570</v>
      </c>
      <c r="C128" s="9">
        <v>2</v>
      </c>
      <c r="D128" s="7" t="s">
        <v>571</v>
      </c>
      <c r="E128" s="7" t="s">
        <v>240</v>
      </c>
      <c r="F128" s="7" t="s">
        <v>121</v>
      </c>
      <c r="G128" s="7" t="s">
        <v>122</v>
      </c>
      <c r="H128" s="7" t="s">
        <v>241</v>
      </c>
      <c r="I128" s="10" t="s">
        <v>242</v>
      </c>
      <c r="J128" s="10" t="s">
        <v>125</v>
      </c>
      <c r="K128" s="10" t="s">
        <v>116</v>
      </c>
      <c r="L128" s="10"/>
      <c r="M128" s="9">
        <v>2</v>
      </c>
      <c r="N128" s="9">
        <v>0</v>
      </c>
      <c r="O128" s="11">
        <v>2E-3</v>
      </c>
      <c r="P128" s="11">
        <v>5.0000000000000001E-4</v>
      </c>
      <c r="Q128" s="7" t="s">
        <v>117</v>
      </c>
      <c r="R128" s="12">
        <f>IF($K128="Yes",$C128*Cost!$B$6,0)</f>
        <v>10</v>
      </c>
      <c r="S128" s="13">
        <f>IF($K128="Yes",$C128*Cost!$B$6*$O128,0)</f>
        <v>0.02</v>
      </c>
      <c r="T128" s="13">
        <f>IF($K128="Yes",$C128*Cost!$B$7*$P128,0)</f>
        <v>0.1</v>
      </c>
      <c r="U128" s="7"/>
      <c r="V128" s="14" t="str">
        <f>IF(AND($K128="Yes",$B128&lt;&gt;"PCB",LEFT($I128,1)="C"),$I128,"")</f>
        <v>C25879</v>
      </c>
      <c r="W128" s="15">
        <f>IF($V128="",0,IF(COUNTIF($V$4:$V128,$V128)=1,1,0))</f>
        <v>0</v>
      </c>
    </row>
    <row r="129" spans="1:23" ht="42.75" customHeight="1">
      <c r="A129" s="19" t="s">
        <v>60</v>
      </c>
      <c r="B129" s="7" t="s">
        <v>572</v>
      </c>
      <c r="C129" s="9">
        <v>1</v>
      </c>
      <c r="D129" s="7" t="s">
        <v>573</v>
      </c>
      <c r="E129" s="7" t="s">
        <v>574</v>
      </c>
      <c r="F129" s="7" t="s">
        <v>575</v>
      </c>
      <c r="G129" s="7" t="s">
        <v>110</v>
      </c>
      <c r="H129" s="7" t="s">
        <v>576</v>
      </c>
      <c r="I129" s="10" t="s">
        <v>110</v>
      </c>
      <c r="J129" s="10" t="s">
        <v>110</v>
      </c>
      <c r="K129" s="10" t="s">
        <v>251</v>
      </c>
      <c r="L129" s="10"/>
      <c r="M129" s="9">
        <v>0</v>
      </c>
      <c r="N129" s="9">
        <v>0</v>
      </c>
      <c r="O129" s="11">
        <v>0.1</v>
      </c>
      <c r="P129" s="11">
        <v>0.1</v>
      </c>
      <c r="Q129" s="7" t="s">
        <v>269</v>
      </c>
      <c r="R129" s="12">
        <f>IF($K129="Yes",$C129*Cost!$B$6,0)</f>
        <v>0</v>
      </c>
      <c r="S129" s="13">
        <f>IF($K129="Yes",$C129*Cost!$B$6*$O129,0)</f>
        <v>0</v>
      </c>
      <c r="T129" s="13">
        <f>IF($K129="Yes",$C129*Cost!$B$7*$P129,0)</f>
        <v>0</v>
      </c>
      <c r="U129" s="7"/>
      <c r="V129" s="14" t="str">
        <f>IF(AND($K129="Yes",$B129&lt;&gt;"PCB",LEFT($I129,1)="C"),$I129,"")</f>
        <v/>
      </c>
      <c r="W129" s="15">
        <f>IF($V129="",0,IF(COUNTIF($V$4:$V129,$V129)=1,1,0))</f>
        <v>0</v>
      </c>
    </row>
    <row r="130" spans="1:23" ht="42.75" customHeight="1">
      <c r="A130" s="19" t="s">
        <v>60</v>
      </c>
      <c r="B130" s="7" t="s">
        <v>577</v>
      </c>
      <c r="C130" s="9">
        <v>1</v>
      </c>
      <c r="D130" s="7" t="s">
        <v>578</v>
      </c>
      <c r="E130" s="7" t="s">
        <v>335</v>
      </c>
      <c r="F130" s="7" t="s">
        <v>121</v>
      </c>
      <c r="G130" s="7" t="s">
        <v>122</v>
      </c>
      <c r="H130" s="7" t="s">
        <v>336</v>
      </c>
      <c r="I130" s="10" t="s">
        <v>337</v>
      </c>
      <c r="J130" s="10" t="s">
        <v>125</v>
      </c>
      <c r="K130" s="10" t="s">
        <v>251</v>
      </c>
      <c r="L130" s="10"/>
      <c r="M130" s="9">
        <v>2</v>
      </c>
      <c r="N130" s="9">
        <v>0</v>
      </c>
      <c r="O130" s="11">
        <v>2E-3</v>
      </c>
      <c r="P130" s="11">
        <v>5.0000000000000001E-4</v>
      </c>
      <c r="Q130" s="7" t="s">
        <v>117</v>
      </c>
      <c r="R130" s="12">
        <f>IF($K130="Yes",$C130*Cost!$B$6,0)</f>
        <v>0</v>
      </c>
      <c r="S130" s="13">
        <f>IF($K130="Yes",$C130*Cost!$B$6*$O130,0)</f>
        <v>0</v>
      </c>
      <c r="T130" s="13">
        <f>IF($K130="Yes",$C130*Cost!$B$7*$P130,0)</f>
        <v>0</v>
      </c>
      <c r="U130" s="7"/>
      <c r="V130" s="14" t="str">
        <f>IF(AND($K130="Yes",$B130&lt;&gt;"PCB",LEFT($I130,1)="C"),$I130,"")</f>
        <v/>
      </c>
      <c r="W130" s="15">
        <f>IF($V130="",0,IF(COUNTIF($V$4:$V130,$V130)=1,1,0))</f>
        <v>0</v>
      </c>
    </row>
    <row r="131" spans="1:23" ht="56.25" customHeight="1">
      <c r="A131" s="19" t="s">
        <v>60</v>
      </c>
      <c r="B131" s="7" t="s">
        <v>579</v>
      </c>
      <c r="C131" s="9">
        <v>29</v>
      </c>
      <c r="D131" s="7" t="s">
        <v>580</v>
      </c>
      <c r="E131" s="7" t="s">
        <v>110</v>
      </c>
      <c r="F131" s="7" t="s">
        <v>581</v>
      </c>
      <c r="G131" s="7" t="s">
        <v>110</v>
      </c>
      <c r="H131" s="7" t="s">
        <v>268</v>
      </c>
      <c r="I131" s="10" t="s">
        <v>110</v>
      </c>
      <c r="J131" s="10" t="s">
        <v>110</v>
      </c>
      <c r="K131" s="10" t="s">
        <v>268</v>
      </c>
      <c r="L131" s="10"/>
      <c r="M131" s="9">
        <v>0</v>
      </c>
      <c r="N131" s="9">
        <v>0</v>
      </c>
      <c r="O131" s="11">
        <v>0</v>
      </c>
      <c r="P131" s="11">
        <v>0</v>
      </c>
      <c r="Q131" s="7" t="s">
        <v>269</v>
      </c>
      <c r="R131" s="12">
        <f>IF($K131="Yes",$C131*Cost!$B$6,0)</f>
        <v>0</v>
      </c>
      <c r="S131" s="13">
        <f>IF($K131="Yes",$C131*Cost!$B$6*$O131,0)</f>
        <v>0</v>
      </c>
      <c r="T131" s="13">
        <f>IF($K131="Yes",$C131*Cost!$B$7*$P131,0)</f>
        <v>0</v>
      </c>
      <c r="U131" s="7"/>
      <c r="V131" s="14" t="str">
        <f>IF(AND($K131="Yes",$B131&lt;&gt;"PCB",LEFT($I131,1)="C"),$I131,"")</f>
        <v/>
      </c>
      <c r="W131" s="15">
        <f>IF($V131="",0,IF(COUNTIF($V$4:$V131,$V131)=1,1,0))</f>
        <v>0</v>
      </c>
    </row>
    <row r="132" spans="1:23" ht="29.25" customHeight="1">
      <c r="A132" s="19" t="s">
        <v>60</v>
      </c>
      <c r="B132" s="7" t="s">
        <v>582</v>
      </c>
      <c r="C132" s="9">
        <v>7</v>
      </c>
      <c r="D132" s="7" t="s">
        <v>583</v>
      </c>
      <c r="E132" s="7" t="s">
        <v>110</v>
      </c>
      <c r="F132" s="7" t="s">
        <v>110</v>
      </c>
      <c r="G132" s="7" t="s">
        <v>110</v>
      </c>
      <c r="H132" s="7" t="s">
        <v>268</v>
      </c>
      <c r="I132" s="10" t="s">
        <v>110</v>
      </c>
      <c r="J132" s="10" t="s">
        <v>110</v>
      </c>
      <c r="K132" s="10" t="s">
        <v>268</v>
      </c>
      <c r="L132" s="10"/>
      <c r="M132" s="9">
        <v>0</v>
      </c>
      <c r="N132" s="9">
        <v>0</v>
      </c>
      <c r="O132" s="11">
        <v>0</v>
      </c>
      <c r="P132" s="11">
        <v>0</v>
      </c>
      <c r="Q132" s="7" t="s">
        <v>269</v>
      </c>
      <c r="R132" s="12">
        <f>IF($K132="Yes",$C132*Cost!$B$6,0)</f>
        <v>0</v>
      </c>
      <c r="S132" s="13">
        <f>IF($K132="Yes",$C132*Cost!$B$6*$O132,0)</f>
        <v>0</v>
      </c>
      <c r="T132" s="13">
        <f>IF($K132="Yes",$C132*Cost!$B$7*$P132,0)</f>
        <v>0</v>
      </c>
      <c r="U132" s="7"/>
      <c r="V132" s="14" t="str">
        <f>IF(AND($K132="Yes",$B132&lt;&gt;"PCB",LEFT($I132,1)="C"),$I132,"")</f>
        <v/>
      </c>
      <c r="W132" s="15">
        <f>IF($V132="",0,IF(COUNTIF($V$4:$V132,$V132)=1,1,0))</f>
        <v>0</v>
      </c>
    </row>
    <row r="133" spans="1:23" ht="29.25" customHeight="1">
      <c r="A133" s="19" t="s">
        <v>60</v>
      </c>
      <c r="B133" s="7" t="s">
        <v>584</v>
      </c>
      <c r="C133" s="9">
        <v>1</v>
      </c>
      <c r="D133" s="7" t="s">
        <v>585</v>
      </c>
      <c r="E133" s="7" t="s">
        <v>110</v>
      </c>
      <c r="F133" s="7" t="s">
        <v>110</v>
      </c>
      <c r="G133" s="7" t="s">
        <v>586</v>
      </c>
      <c r="H133" s="7" t="s">
        <v>586</v>
      </c>
      <c r="I133" s="10" t="s">
        <v>110</v>
      </c>
      <c r="J133" s="10" t="s">
        <v>110</v>
      </c>
      <c r="K133" s="10" t="s">
        <v>116</v>
      </c>
      <c r="L133" s="10"/>
      <c r="M133" s="9">
        <v>0</v>
      </c>
      <c r="N133" s="9">
        <v>0</v>
      </c>
      <c r="O133" s="11">
        <v>2</v>
      </c>
      <c r="P133" s="11">
        <v>0.8</v>
      </c>
      <c r="Q133" s="7" t="s">
        <v>269</v>
      </c>
      <c r="R133" s="12">
        <f>IF($K133="Yes",$C133*Cost!$B$6,0)</f>
        <v>5</v>
      </c>
      <c r="S133" s="13">
        <f>IF($K133="Yes",$C133*Cost!$B$6*$O133,0)</f>
        <v>10</v>
      </c>
      <c r="T133" s="13">
        <f>IF($K133="Yes",$C133*Cost!$B$7*$P133,0)</f>
        <v>80</v>
      </c>
      <c r="U133" s="7"/>
      <c r="V133" s="14" t="str">
        <f>IF(AND($K133="Yes",$B133&lt;&gt;"PCB",LEFT($I133,1)="C"),$I133,"")</f>
        <v/>
      </c>
      <c r="W133" s="15">
        <f>IF($V133="",0,IF(COUNTIF($V$4:$V133,$V133)=1,1,0))</f>
        <v>0</v>
      </c>
    </row>
    <row r="134" spans="1:2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" customHeight="1">
      <c r="A135" s="16" t="s">
        <v>587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7">
        <f>SUM(R4:R133)</f>
        <v>1165</v>
      </c>
      <c r="S135" s="18">
        <f>SUM(S4:S133)</f>
        <v>147.94100000000014</v>
      </c>
      <c r="T135" s="18">
        <f>SUM(T4:T133)</f>
        <v>2044.8599999999988</v>
      </c>
      <c r="U135" s="16"/>
      <c r="V135" s="16"/>
      <c r="W135" s="16"/>
    </row>
    <row r="136" spans="1:23" ht="15" customHeight="1">
      <c r="A136" s="16" t="s">
        <v>588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8">
        <f>SUMIFS(S4:S133,B4:B133,"&lt;&gt;PCB")</f>
        <v>137.94100000000014</v>
      </c>
      <c r="T136" s="18">
        <f>SUMIFS(T4:T133,B4:B133,"&lt;&gt;PCB")</f>
        <v>1964.8599999999988</v>
      </c>
      <c r="U136" s="16"/>
      <c r="V136" s="16"/>
      <c r="W136" s="16"/>
    </row>
  </sheetData>
  <mergeCells count="2">
    <mergeCell ref="A1:W1"/>
    <mergeCell ref="A2:W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AB208-571C-4D48-B49F-DB8B0BE6AAC8}">
  <dimension ref="A1:Q53"/>
  <sheetViews>
    <sheetView workbookViewId="0">
      <pane xSplit="3" ySplit="3" topLeftCell="D4" activePane="bottomRight" state="frozen"/>
      <selection pane="bottomRight"/>
      <selection pane="bottomLeft"/>
      <selection pane="topRight"/>
    </sheetView>
  </sheetViews>
  <sheetFormatPr defaultRowHeight="15"/>
  <cols>
    <col min="1" max="1" width="7.42578125" customWidth="1"/>
    <col min="2" max="2" width="13.42578125" customWidth="1"/>
    <col min="3" max="3" width="29.42578125" customWidth="1"/>
    <col min="4" max="4" width="15.42578125" customWidth="1"/>
    <col min="5" max="5" width="17.42578125" customWidth="1"/>
    <col min="6" max="6" width="25.42578125" customWidth="1"/>
    <col min="7" max="8" width="12.42578125" customWidth="1"/>
    <col min="9" max="9" width="35.42578125" customWidth="1"/>
    <col min="10" max="10" width="10.42578125" customWidth="1"/>
    <col min="11" max="11" width="11.42578125" customWidth="1"/>
    <col min="12" max="13" width="12.42578125" customWidth="1"/>
    <col min="14" max="14" width="10.42578125" customWidth="1"/>
    <col min="15" max="15" width="11.42578125" customWidth="1"/>
    <col min="16" max="17" width="13.42578125" customWidth="1"/>
  </cols>
  <sheetData>
    <row r="1" spans="1:17" ht="21.75" customHeight="1">
      <c r="A1" s="97" t="s">
        <v>589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</row>
    <row r="2" spans="1:17" ht="30" customHeight="1">
      <c r="A2" s="96" t="s">
        <v>590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</row>
    <row r="3" spans="1:17" ht="45" customHeight="1">
      <c r="A3" s="5" t="s">
        <v>591</v>
      </c>
      <c r="B3" s="5" t="s">
        <v>592</v>
      </c>
      <c r="C3" s="5" t="s">
        <v>92</v>
      </c>
      <c r="D3" s="5" t="s">
        <v>4</v>
      </c>
      <c r="E3" s="5" t="s">
        <v>90</v>
      </c>
      <c r="F3" s="5" t="s">
        <v>91</v>
      </c>
      <c r="G3" s="5" t="s">
        <v>93</v>
      </c>
      <c r="H3" s="5" t="s">
        <v>94</v>
      </c>
      <c r="I3" s="5" t="s">
        <v>87</v>
      </c>
      <c r="J3" s="5" t="s">
        <v>88</v>
      </c>
      <c r="K3" s="5" t="s">
        <v>102</v>
      </c>
      <c r="L3" s="5" t="s">
        <v>99</v>
      </c>
      <c r="M3" s="5" t="s">
        <v>100</v>
      </c>
      <c r="N3" s="5" t="s">
        <v>96</v>
      </c>
      <c r="O3" s="5" t="s">
        <v>593</v>
      </c>
      <c r="P3" s="5" t="s">
        <v>594</v>
      </c>
      <c r="Q3" s="5" t="s">
        <v>595</v>
      </c>
    </row>
    <row r="4" spans="1:17" ht="15.75" customHeight="1">
      <c r="A4" s="9">
        <v>1</v>
      </c>
      <c r="B4" s="7" t="s">
        <v>596</v>
      </c>
      <c r="C4" s="7" t="s">
        <v>541</v>
      </c>
      <c r="D4" s="7" t="s">
        <v>110</v>
      </c>
      <c r="E4" s="7" t="s">
        <v>539</v>
      </c>
      <c r="F4" s="7" t="s">
        <v>540</v>
      </c>
      <c r="G4" s="10" t="s">
        <v>542</v>
      </c>
      <c r="H4" s="10" t="s">
        <v>115</v>
      </c>
      <c r="I4" s="7" t="s">
        <v>537</v>
      </c>
      <c r="J4" s="22">
        <f>SUMIFS('Parts list'!$C$4:$C$133,'Parts list'!$I$4:$I$133,$G4,'Parts list'!$K$4:$K$133,"Yes")</f>
        <v>1</v>
      </c>
      <c r="K4" s="22">
        <f>$J4*Cost!$B$6</f>
        <v>5</v>
      </c>
      <c r="L4" s="23">
        <v>6.8655999999999997</v>
      </c>
      <c r="M4" s="23">
        <v>4.7573999999999996</v>
      </c>
      <c r="N4" s="10"/>
      <c r="O4" s="24" t="str">
        <f>IF(AND($L4&gt;0,$L4&lt;Cost!$B$9),"Yes","")</f>
        <v/>
      </c>
      <c r="P4" s="25">
        <f>IF($O4="Yes",MAX($K4*$L4,Cost!$B$8),$K4*$L4)</f>
        <v>34.327999999999996</v>
      </c>
      <c r="Q4" s="23">
        <f>$J4*$M4</f>
        <v>4.7573999999999996</v>
      </c>
    </row>
    <row r="5" spans="1:17" ht="29.25" customHeight="1">
      <c r="A5" s="9">
        <v>2</v>
      </c>
      <c r="B5" s="7" t="s">
        <v>597</v>
      </c>
      <c r="C5" s="7" t="s">
        <v>376</v>
      </c>
      <c r="D5" s="7" t="s">
        <v>110</v>
      </c>
      <c r="E5" s="7" t="s">
        <v>374</v>
      </c>
      <c r="F5" s="7" t="s">
        <v>375</v>
      </c>
      <c r="G5" s="10" t="s">
        <v>377</v>
      </c>
      <c r="H5" s="10" t="s">
        <v>115</v>
      </c>
      <c r="I5" s="7" t="s">
        <v>372</v>
      </c>
      <c r="J5" s="22">
        <f>SUMIFS('Parts list'!$C$4:$C$133,'Parts list'!$I$4:$I$133,$G5,'Parts list'!$K$4:$K$133,"Yes")</f>
        <v>2</v>
      </c>
      <c r="K5" s="22">
        <f>$J5*Cost!$B$6</f>
        <v>10</v>
      </c>
      <c r="L5" s="23">
        <v>1.7870999999999999</v>
      </c>
      <c r="M5" s="23">
        <v>1.6912</v>
      </c>
      <c r="N5" s="10" t="s">
        <v>116</v>
      </c>
      <c r="O5" s="24" t="str">
        <f>IF(AND($L5&gt;0,$L5&lt;Cost!$B$9),"Yes","")</f>
        <v/>
      </c>
      <c r="P5" s="25">
        <f>IF($O5="Yes",MAX($K5*$L5,Cost!$B$8),$K5*$L5)</f>
        <v>17.870999999999999</v>
      </c>
      <c r="Q5" s="23">
        <f>$J5*$M5</f>
        <v>3.3824000000000001</v>
      </c>
    </row>
    <row r="6" spans="1:17" ht="29.25" customHeight="1">
      <c r="A6" s="9">
        <v>3</v>
      </c>
      <c r="B6" s="7" t="s">
        <v>597</v>
      </c>
      <c r="C6" s="7" t="s">
        <v>276</v>
      </c>
      <c r="D6" s="7" t="s">
        <v>110</v>
      </c>
      <c r="E6" s="7" t="s">
        <v>274</v>
      </c>
      <c r="F6" s="7" t="s">
        <v>275</v>
      </c>
      <c r="G6" s="10" t="s">
        <v>277</v>
      </c>
      <c r="H6" s="10" t="s">
        <v>115</v>
      </c>
      <c r="I6" s="7" t="s">
        <v>272</v>
      </c>
      <c r="J6" s="22">
        <f>SUMIFS('Parts list'!$C$4:$C$133,'Parts list'!$I$4:$I$133,$G6,'Parts list'!$K$4:$K$133,"Yes")</f>
        <v>1</v>
      </c>
      <c r="K6" s="22">
        <f>$J6*Cost!$B$6</f>
        <v>5</v>
      </c>
      <c r="L6" s="23">
        <v>3.4678</v>
      </c>
      <c r="M6" s="23">
        <v>2.2799999999999998</v>
      </c>
      <c r="N6" s="10" t="s">
        <v>116</v>
      </c>
      <c r="O6" s="24" t="str">
        <f>IF(AND($L6&gt;0,$L6&lt;Cost!$B$9),"Yes","")</f>
        <v/>
      </c>
      <c r="P6" s="25">
        <f>IF($O6="Yes",MAX($K6*$L6,Cost!$B$8),$K6*$L6)</f>
        <v>17.338999999999999</v>
      </c>
      <c r="Q6" s="23">
        <f>$J6*$M6</f>
        <v>2.2799999999999998</v>
      </c>
    </row>
    <row r="7" spans="1:17" ht="15.75" customHeight="1">
      <c r="A7" s="9">
        <v>4</v>
      </c>
      <c r="B7" s="7" t="s">
        <v>597</v>
      </c>
      <c r="C7" s="7" t="s">
        <v>169</v>
      </c>
      <c r="D7" s="7" t="s">
        <v>110</v>
      </c>
      <c r="E7" s="7" t="s">
        <v>167</v>
      </c>
      <c r="F7" s="7" t="s">
        <v>168</v>
      </c>
      <c r="G7" s="10" t="s">
        <v>170</v>
      </c>
      <c r="H7" s="10" t="s">
        <v>115</v>
      </c>
      <c r="I7" s="7" t="s">
        <v>165</v>
      </c>
      <c r="J7" s="22">
        <f>SUMIFS('Parts list'!$C$4:$C$133,'Parts list'!$I$4:$I$133,$G7,'Parts list'!$K$4:$K$133,"Yes")</f>
        <v>1</v>
      </c>
      <c r="K7" s="22">
        <f>$J7*Cost!$B$6</f>
        <v>5</v>
      </c>
      <c r="L7" s="23">
        <v>3.45</v>
      </c>
      <c r="M7" s="23">
        <v>2.33</v>
      </c>
      <c r="N7" s="10"/>
      <c r="O7" s="24" t="str">
        <f>IF(AND($L7&gt;0,$L7&lt;Cost!$B$9),"Yes","")</f>
        <v/>
      </c>
      <c r="P7" s="25">
        <f>IF($O7="Yes",MAX($K7*$L7,Cost!$B$8),$K7*$L7)</f>
        <v>17.25</v>
      </c>
      <c r="Q7" s="23">
        <f>$J7*$M7</f>
        <v>2.33</v>
      </c>
    </row>
    <row r="8" spans="1:17" ht="42.75" customHeight="1">
      <c r="A8" s="9">
        <v>5</v>
      </c>
      <c r="B8" s="7" t="s">
        <v>597</v>
      </c>
      <c r="C8" s="7" t="s">
        <v>330</v>
      </c>
      <c r="D8" s="7" t="s">
        <v>110</v>
      </c>
      <c r="E8" s="7" t="s">
        <v>328</v>
      </c>
      <c r="F8" s="7" t="s">
        <v>329</v>
      </c>
      <c r="G8" s="10" t="s">
        <v>331</v>
      </c>
      <c r="H8" s="10" t="s">
        <v>115</v>
      </c>
      <c r="I8" s="7" t="s">
        <v>326</v>
      </c>
      <c r="J8" s="22">
        <f>SUMIFS('Parts list'!$C$4:$C$133,'Parts list'!$I$4:$I$133,$G8,'Parts list'!$K$4:$K$133,"Yes")</f>
        <v>2</v>
      </c>
      <c r="K8" s="22">
        <f>$J8*Cost!$B$6</f>
        <v>10</v>
      </c>
      <c r="L8" s="23">
        <v>1.0035000000000001</v>
      </c>
      <c r="M8" s="23">
        <v>0.753</v>
      </c>
      <c r="N8" s="10"/>
      <c r="O8" s="24" t="str">
        <f>IF(AND($L8&gt;0,$L8&lt;Cost!$B$9),"Yes","")</f>
        <v/>
      </c>
      <c r="P8" s="25">
        <f>IF($O8="Yes",MAX($K8*$L8,Cost!$B$8),$K8*$L8)</f>
        <v>10.035</v>
      </c>
      <c r="Q8" s="23">
        <f>$J8*$M8</f>
        <v>1.506</v>
      </c>
    </row>
    <row r="9" spans="1:17" ht="15.75" customHeight="1">
      <c r="A9" s="9">
        <v>6</v>
      </c>
      <c r="B9" s="7" t="s">
        <v>597</v>
      </c>
      <c r="C9" s="7" t="s">
        <v>208</v>
      </c>
      <c r="D9" s="7" t="s">
        <v>110</v>
      </c>
      <c r="E9" s="7" t="s">
        <v>206</v>
      </c>
      <c r="F9" s="7" t="s">
        <v>207</v>
      </c>
      <c r="G9" s="10" t="s">
        <v>209</v>
      </c>
      <c r="H9" s="10" t="s">
        <v>115</v>
      </c>
      <c r="I9" s="7" t="s">
        <v>204</v>
      </c>
      <c r="J9" s="22">
        <f>SUMIFS('Parts list'!$C$4:$C$133,'Parts list'!$I$4:$I$133,$G9,'Parts list'!$K$4:$K$133,"Yes")</f>
        <v>1</v>
      </c>
      <c r="K9" s="22">
        <f>$J9*Cost!$B$6</f>
        <v>5</v>
      </c>
      <c r="L9" s="23">
        <v>1.6503000000000001</v>
      </c>
      <c r="M9" s="23">
        <v>1.1100000000000001</v>
      </c>
      <c r="N9" s="10" t="s">
        <v>116</v>
      </c>
      <c r="O9" s="24" t="str">
        <f>IF(AND($L9&gt;0,$L9&lt;Cost!$B$9),"Yes","")</f>
        <v/>
      </c>
      <c r="P9" s="25">
        <f>IF($O9="Yes",MAX($K9*$L9,Cost!$B$8),$K9*$L9)</f>
        <v>8.2515000000000001</v>
      </c>
      <c r="Q9" s="23">
        <f>$J9*$M9</f>
        <v>1.1100000000000001</v>
      </c>
    </row>
    <row r="10" spans="1:17" ht="15.75" customHeight="1">
      <c r="A10" s="9">
        <v>7</v>
      </c>
      <c r="B10" s="7" t="s">
        <v>597</v>
      </c>
      <c r="C10" s="7" t="s">
        <v>458</v>
      </c>
      <c r="D10" s="7" t="s">
        <v>455</v>
      </c>
      <c r="E10" s="7" t="s">
        <v>456</v>
      </c>
      <c r="F10" s="7" t="s">
        <v>457</v>
      </c>
      <c r="G10" s="10" t="s">
        <v>459</v>
      </c>
      <c r="H10" s="10" t="s">
        <v>115</v>
      </c>
      <c r="I10" s="7" t="s">
        <v>453</v>
      </c>
      <c r="J10" s="22">
        <f>SUMIFS('Parts list'!$C$4:$C$133,'Parts list'!$I$4:$I$133,$G10,'Parts list'!$K$4:$K$133,"Yes")</f>
        <v>1</v>
      </c>
      <c r="K10" s="22">
        <f>$J10*Cost!$B$6</f>
        <v>5</v>
      </c>
      <c r="L10" s="23">
        <v>1.1013999999999999</v>
      </c>
      <c r="M10" s="23">
        <v>0.75</v>
      </c>
      <c r="N10" s="10" t="s">
        <v>116</v>
      </c>
      <c r="O10" s="24" t="str">
        <f>IF(AND($L10&gt;0,$L10&lt;Cost!$B$9),"Yes","")</f>
        <v/>
      </c>
      <c r="P10" s="25">
        <f>IF($O10="Yes",MAX($K10*$L10,Cost!$B$8),$K10*$L10)</f>
        <v>5.5069999999999997</v>
      </c>
      <c r="Q10" s="23">
        <f>$J10*$M10</f>
        <v>0.75</v>
      </c>
    </row>
    <row r="11" spans="1:17" ht="42.75" customHeight="1">
      <c r="A11" s="9">
        <v>8</v>
      </c>
      <c r="B11" s="7" t="s">
        <v>598</v>
      </c>
      <c r="C11" s="7" t="s">
        <v>218</v>
      </c>
      <c r="D11" s="7" t="s">
        <v>215</v>
      </c>
      <c r="E11" s="7" t="s">
        <v>216</v>
      </c>
      <c r="F11" s="7" t="s">
        <v>217</v>
      </c>
      <c r="G11" s="10" t="s">
        <v>219</v>
      </c>
      <c r="H11" s="10" t="s">
        <v>115</v>
      </c>
      <c r="I11" s="7" t="s">
        <v>213</v>
      </c>
      <c r="J11" s="22">
        <f>SUMIFS('Parts list'!$C$4:$C$133,'Parts list'!$I$4:$I$133,$G11,'Parts list'!$K$4:$K$133,"Yes")</f>
        <v>1</v>
      </c>
      <c r="K11" s="22">
        <f>$J11*Cost!$B$6</f>
        <v>5</v>
      </c>
      <c r="L11" s="23">
        <v>0.89159999999999995</v>
      </c>
      <c r="M11" s="23">
        <v>0.72109999999999996</v>
      </c>
      <c r="N11" s="10" t="s">
        <v>116</v>
      </c>
      <c r="O11" s="24" t="str">
        <f>IF(AND($L11&gt;0,$L11&lt;Cost!$B$9),"Yes","")</f>
        <v/>
      </c>
      <c r="P11" s="25">
        <f>IF($O11="Yes",MAX($K11*$L11,Cost!$B$8),$K11*$L11)</f>
        <v>4.4580000000000002</v>
      </c>
      <c r="Q11" s="23">
        <f>$J11*$M11</f>
        <v>0.72109999999999996</v>
      </c>
    </row>
    <row r="12" spans="1:17" ht="29.25" customHeight="1">
      <c r="A12" s="9">
        <v>9</v>
      </c>
      <c r="B12" s="7" t="s">
        <v>597</v>
      </c>
      <c r="C12" s="7" t="s">
        <v>423</v>
      </c>
      <c r="D12" s="7" t="s">
        <v>110</v>
      </c>
      <c r="E12" s="7" t="s">
        <v>154</v>
      </c>
      <c r="F12" s="7" t="s">
        <v>422</v>
      </c>
      <c r="G12" s="10" t="s">
        <v>424</v>
      </c>
      <c r="H12" s="10" t="s">
        <v>115</v>
      </c>
      <c r="I12" s="7" t="s">
        <v>420</v>
      </c>
      <c r="J12" s="22">
        <f>SUMIFS('Parts list'!$C$4:$C$133,'Parts list'!$I$4:$I$133,$G12,'Parts list'!$K$4:$K$133,"Yes")</f>
        <v>1</v>
      </c>
      <c r="K12" s="22">
        <f>$J12*Cost!$B$6</f>
        <v>5</v>
      </c>
      <c r="L12" s="23">
        <v>0.59660000000000002</v>
      </c>
      <c r="M12" s="23">
        <v>0.32619999999999999</v>
      </c>
      <c r="N12" s="10"/>
      <c r="O12" s="24" t="str">
        <f>IF(AND($L12&gt;0,$L12&lt;Cost!$B$9),"Yes","")</f>
        <v/>
      </c>
      <c r="P12" s="25">
        <f>IF($O12="Yes",MAX($K12*$L12,Cost!$B$8),$K12*$L12)</f>
        <v>2.9830000000000001</v>
      </c>
      <c r="Q12" s="23">
        <f>$J12*$M12</f>
        <v>0.32619999999999999</v>
      </c>
    </row>
    <row r="13" spans="1:17" ht="29.25" customHeight="1">
      <c r="A13" s="9">
        <v>10</v>
      </c>
      <c r="B13" s="7" t="s">
        <v>598</v>
      </c>
      <c r="C13" s="7" t="s">
        <v>233</v>
      </c>
      <c r="D13" s="7" t="s">
        <v>230</v>
      </c>
      <c r="E13" s="7" t="s">
        <v>231</v>
      </c>
      <c r="F13" s="7" t="s">
        <v>232</v>
      </c>
      <c r="G13" s="10" t="s">
        <v>234</v>
      </c>
      <c r="H13" s="10" t="s">
        <v>115</v>
      </c>
      <c r="I13" s="7" t="s">
        <v>228</v>
      </c>
      <c r="J13" s="22">
        <f>SUMIFS('Parts list'!$C$4:$C$133,'Parts list'!$I$4:$I$133,$G13,'Parts list'!$K$4:$K$133,"Yes")</f>
        <v>1</v>
      </c>
      <c r="K13" s="22">
        <f>$J13*Cost!$B$6</f>
        <v>5</v>
      </c>
      <c r="L13" s="23">
        <v>0.54549999999999998</v>
      </c>
      <c r="M13" s="23">
        <v>0.3085</v>
      </c>
      <c r="N13" s="10" t="s">
        <v>116</v>
      </c>
      <c r="O13" s="24" t="str">
        <f>IF(AND($L13&gt;0,$L13&lt;Cost!$B$9),"Yes","")</f>
        <v/>
      </c>
      <c r="P13" s="25">
        <f>IF($O13="Yes",MAX($K13*$L13,Cost!$B$8),$K13*$L13)</f>
        <v>2.7275</v>
      </c>
      <c r="Q13" s="23">
        <f>$J13*$M13</f>
        <v>0.3085</v>
      </c>
    </row>
    <row r="14" spans="1:17" ht="15.75" customHeight="1">
      <c r="A14" s="9">
        <v>11</v>
      </c>
      <c r="B14" s="7" t="s">
        <v>599</v>
      </c>
      <c r="C14" s="7" t="s">
        <v>382</v>
      </c>
      <c r="D14" s="7" t="s">
        <v>380</v>
      </c>
      <c r="E14" s="7" t="s">
        <v>161</v>
      </c>
      <c r="F14" s="7" t="s">
        <v>381</v>
      </c>
      <c r="G14" s="10" t="s">
        <v>383</v>
      </c>
      <c r="H14" s="10" t="s">
        <v>115</v>
      </c>
      <c r="I14" s="7" t="s">
        <v>378</v>
      </c>
      <c r="J14" s="22">
        <f>SUMIFS('Parts list'!$C$4:$C$133,'Parts list'!$I$4:$I$133,$G14,'Parts list'!$K$4:$K$133,"Yes")</f>
        <v>16</v>
      </c>
      <c r="K14" s="22">
        <f>$J14*Cost!$B$6</f>
        <v>80</v>
      </c>
      <c r="L14" s="23">
        <v>3.4000000000000002E-2</v>
      </c>
      <c r="M14" s="23">
        <v>2.5000000000000001E-2</v>
      </c>
      <c r="N14" s="10"/>
      <c r="O14" s="24" t="str">
        <f>IF(AND($L14&gt;0,$L14&lt;Cost!$B$9),"Yes","")</f>
        <v>Yes</v>
      </c>
      <c r="P14" s="25">
        <f>IF($O14="Yes",MAX($K14*$L14,Cost!$B$8),$K14*$L14)</f>
        <v>2.72</v>
      </c>
      <c r="Q14" s="23">
        <f>$J14*$M14</f>
        <v>0.4</v>
      </c>
    </row>
    <row r="15" spans="1:17" ht="29.25" customHeight="1">
      <c r="A15" s="9">
        <v>12</v>
      </c>
      <c r="B15" s="7" t="s">
        <v>598</v>
      </c>
      <c r="C15" s="7" t="s">
        <v>225</v>
      </c>
      <c r="D15" s="7" t="s">
        <v>223</v>
      </c>
      <c r="E15" s="7" t="s">
        <v>216</v>
      </c>
      <c r="F15" s="7" t="s">
        <v>224</v>
      </c>
      <c r="G15" s="10" t="s">
        <v>226</v>
      </c>
      <c r="H15" s="10" t="s">
        <v>115</v>
      </c>
      <c r="I15" s="7" t="s">
        <v>221</v>
      </c>
      <c r="J15" s="22">
        <f>SUMIFS('Parts list'!$C$4:$C$133,'Parts list'!$I$4:$I$133,$G15,'Parts list'!$K$4:$K$133,"Yes")</f>
        <v>1</v>
      </c>
      <c r="K15" s="22">
        <f>$J15*Cost!$B$6</f>
        <v>5</v>
      </c>
      <c r="L15" s="23">
        <v>0.50749999999999995</v>
      </c>
      <c r="M15" s="23">
        <v>0.29070000000000001</v>
      </c>
      <c r="N15" s="10" t="s">
        <v>116</v>
      </c>
      <c r="O15" s="24" t="str">
        <f>IF(AND($L15&gt;0,$L15&lt;Cost!$B$9),"Yes","")</f>
        <v/>
      </c>
      <c r="P15" s="25">
        <f>IF($O15="Yes",MAX($K15*$L15,Cost!$B$8),$K15*$L15)</f>
        <v>2.5374999999999996</v>
      </c>
      <c r="Q15" s="23">
        <f>$J15*$M15</f>
        <v>0.29070000000000001</v>
      </c>
    </row>
    <row r="16" spans="1:17" ht="15.75" customHeight="1">
      <c r="A16" s="9">
        <v>13</v>
      </c>
      <c r="B16" s="7" t="s">
        <v>596</v>
      </c>
      <c r="C16" s="7" t="s">
        <v>548</v>
      </c>
      <c r="D16" s="7" t="s">
        <v>110</v>
      </c>
      <c r="E16" s="7" t="s">
        <v>546</v>
      </c>
      <c r="F16" s="7" t="s">
        <v>547</v>
      </c>
      <c r="G16" s="10" t="s">
        <v>549</v>
      </c>
      <c r="H16" s="10" t="s">
        <v>115</v>
      </c>
      <c r="I16" s="7" t="s">
        <v>544</v>
      </c>
      <c r="J16" s="22">
        <f>SUMIFS('Parts list'!$C$4:$C$133,'Parts list'!$I$4:$I$133,$G16,'Parts list'!$K$4:$K$133,"Yes")</f>
        <v>1</v>
      </c>
      <c r="K16" s="22">
        <f>$J16*Cost!$B$6</f>
        <v>5</v>
      </c>
      <c r="L16" s="23">
        <v>0.29210000000000003</v>
      </c>
      <c r="M16" s="23">
        <v>0.2326</v>
      </c>
      <c r="N16" s="10"/>
      <c r="O16" s="24" t="str">
        <f>IF(AND($L16&gt;0,$L16&lt;Cost!$B$9),"Yes","")</f>
        <v/>
      </c>
      <c r="P16" s="25">
        <f>IF($O16="Yes",MAX($K16*$L16,Cost!$B$8),$K16*$L16)</f>
        <v>1.4605000000000001</v>
      </c>
      <c r="Q16" s="23">
        <f>$J16*$M16</f>
        <v>0.2326</v>
      </c>
    </row>
    <row r="17" spans="1:17" ht="29.25" customHeight="1">
      <c r="A17" s="9">
        <v>14</v>
      </c>
      <c r="B17" s="7" t="s">
        <v>600</v>
      </c>
      <c r="C17" s="7" t="s">
        <v>177</v>
      </c>
      <c r="D17" s="7" t="s">
        <v>174</v>
      </c>
      <c r="E17" s="7" t="s">
        <v>175</v>
      </c>
      <c r="F17" s="7" t="s">
        <v>176</v>
      </c>
      <c r="G17" s="10" t="s">
        <v>178</v>
      </c>
      <c r="H17" s="10" t="s">
        <v>125</v>
      </c>
      <c r="I17" s="7" t="s">
        <v>172</v>
      </c>
      <c r="J17" s="22">
        <f>SUMIFS('Parts list'!$C$4:$C$133,'Parts list'!$I$4:$I$133,$G17,'Parts list'!$K$4:$K$133,"Yes")</f>
        <v>1</v>
      </c>
      <c r="K17" s="22">
        <f>$J17*Cost!$B$6</f>
        <v>5</v>
      </c>
      <c r="L17" s="23">
        <v>0.2452</v>
      </c>
      <c r="M17" s="23">
        <v>0.2</v>
      </c>
      <c r="N17" s="10"/>
      <c r="O17" s="24" t="str">
        <f>IF(AND($L17&gt;0,$L17&lt;Cost!$B$9),"Yes","")</f>
        <v/>
      </c>
      <c r="P17" s="25">
        <f>IF($O17="Yes",MAX($K17*$L17,Cost!$B$8),$K17*$L17)</f>
        <v>1.226</v>
      </c>
      <c r="Q17" s="23">
        <f>$J17*$M17</f>
        <v>0.2</v>
      </c>
    </row>
    <row r="18" spans="1:17" ht="15.75" customHeight="1">
      <c r="A18" s="9">
        <v>15</v>
      </c>
      <c r="B18" s="7" t="s">
        <v>597</v>
      </c>
      <c r="C18" s="7" t="s">
        <v>284</v>
      </c>
      <c r="D18" s="7" t="s">
        <v>281</v>
      </c>
      <c r="E18" s="7" t="s">
        <v>282</v>
      </c>
      <c r="F18" s="7" t="s">
        <v>283</v>
      </c>
      <c r="G18" s="10" t="s">
        <v>285</v>
      </c>
      <c r="H18" s="10" t="s">
        <v>115</v>
      </c>
      <c r="I18" s="7" t="s">
        <v>279</v>
      </c>
      <c r="J18" s="22">
        <f>SUMIFS('Parts list'!$C$4:$C$133,'Parts list'!$I$4:$I$133,$G18,'Parts list'!$K$4:$K$133,"Yes")</f>
        <v>1</v>
      </c>
      <c r="K18" s="22">
        <f>$J18*Cost!$B$6</f>
        <v>5</v>
      </c>
      <c r="L18" s="23">
        <v>0.2104</v>
      </c>
      <c r="M18" s="23">
        <v>0.14000000000000001</v>
      </c>
      <c r="N18" s="10"/>
      <c r="O18" s="24" t="str">
        <f>IF(AND($L18&gt;0,$L18&lt;Cost!$B$9),"Yes","")</f>
        <v/>
      </c>
      <c r="P18" s="25">
        <f>IF($O18="Yes",MAX($K18*$L18,Cost!$B$8),$K18*$L18)</f>
        <v>1.052</v>
      </c>
      <c r="Q18" s="23">
        <f>$J18*$M18</f>
        <v>0.14000000000000001</v>
      </c>
    </row>
    <row r="19" spans="1:17" ht="15.75" customHeight="1">
      <c r="A19" s="9">
        <v>16</v>
      </c>
      <c r="B19" s="7" t="s">
        <v>597</v>
      </c>
      <c r="C19" s="7" t="s">
        <v>156</v>
      </c>
      <c r="D19" s="7" t="s">
        <v>110</v>
      </c>
      <c r="E19" s="7" t="s">
        <v>154</v>
      </c>
      <c r="F19" s="7" t="s">
        <v>155</v>
      </c>
      <c r="G19" s="10" t="s">
        <v>157</v>
      </c>
      <c r="H19" s="10" t="s">
        <v>115</v>
      </c>
      <c r="I19" s="7" t="s">
        <v>152</v>
      </c>
      <c r="J19" s="22">
        <f>SUMIFS('Parts list'!$C$4:$C$133,'Parts list'!$I$4:$I$133,$G19,'Parts list'!$K$4:$K$133,"Yes")</f>
        <v>1</v>
      </c>
      <c r="K19" s="22">
        <f>$J19*Cost!$B$6</f>
        <v>5</v>
      </c>
      <c r="L19" s="23">
        <v>0.18440000000000001</v>
      </c>
      <c r="M19" s="23">
        <v>0.1439</v>
      </c>
      <c r="N19" s="10"/>
      <c r="O19" s="24" t="str">
        <f>IF(AND($L19&gt;0,$L19&lt;Cost!$B$9),"Yes","")</f>
        <v/>
      </c>
      <c r="P19" s="25">
        <f>IF($O19="Yes",MAX($K19*$L19,Cost!$B$8),$K19*$L19)</f>
        <v>0.92200000000000004</v>
      </c>
      <c r="Q19" s="23">
        <f>$J19*$M19</f>
        <v>0.1439</v>
      </c>
    </row>
    <row r="20" spans="1:17" ht="15.75" customHeight="1">
      <c r="A20" s="9">
        <v>17</v>
      </c>
      <c r="B20" s="7" t="s">
        <v>601</v>
      </c>
      <c r="C20" s="7" t="s">
        <v>439</v>
      </c>
      <c r="D20" s="7" t="s">
        <v>437</v>
      </c>
      <c r="E20" s="7" t="s">
        <v>307</v>
      </c>
      <c r="F20" s="7" t="s">
        <v>438</v>
      </c>
      <c r="G20" s="10" t="s">
        <v>440</v>
      </c>
      <c r="H20" s="10" t="s">
        <v>125</v>
      </c>
      <c r="I20" s="7" t="s">
        <v>602</v>
      </c>
      <c r="J20" s="22">
        <f>SUMIFS('Parts list'!$C$4:$C$133,'Parts list'!$I$4:$I$133,$G20,'Parts list'!$K$4:$K$133,"Yes")</f>
        <v>11</v>
      </c>
      <c r="K20" s="22">
        <f>$J20*Cost!$B$6</f>
        <v>55</v>
      </c>
      <c r="L20" s="23">
        <v>1.6400000000000001E-2</v>
      </c>
      <c r="M20" s="23">
        <v>0.01</v>
      </c>
      <c r="N20" s="10"/>
      <c r="O20" s="24" t="str">
        <f>IF(AND($L20&gt;0,$L20&lt;Cost!$B$9),"Yes","")</f>
        <v>Yes</v>
      </c>
      <c r="P20" s="25">
        <f>IF($O20="Yes",MAX($K20*$L20,Cost!$B$8),$K20*$L20)</f>
        <v>0.90200000000000002</v>
      </c>
      <c r="Q20" s="23">
        <f>$J20*$M20</f>
        <v>0.11</v>
      </c>
    </row>
    <row r="21" spans="1:17" ht="15.75" customHeight="1">
      <c r="A21" s="9">
        <v>18</v>
      </c>
      <c r="B21" s="7" t="s">
        <v>603</v>
      </c>
      <c r="C21" s="7" t="s">
        <v>399</v>
      </c>
      <c r="D21" s="7" t="s">
        <v>398</v>
      </c>
      <c r="E21" s="7" t="s">
        <v>295</v>
      </c>
      <c r="F21" s="7" t="s">
        <v>162</v>
      </c>
      <c r="G21" s="10" t="s">
        <v>400</v>
      </c>
      <c r="H21" s="10" t="s">
        <v>125</v>
      </c>
      <c r="I21" s="7" t="s">
        <v>604</v>
      </c>
      <c r="J21" s="22">
        <f>SUMIFS('Parts list'!$C$4:$C$133,'Parts list'!$I$4:$I$133,$G21,'Parts list'!$K$4:$K$133,"Yes")</f>
        <v>8</v>
      </c>
      <c r="K21" s="22">
        <f>$J21*Cost!$B$6</f>
        <v>40</v>
      </c>
      <c r="L21" s="23">
        <v>0.02</v>
      </c>
      <c r="M21" s="23">
        <v>7.7000000000000002E-3</v>
      </c>
      <c r="N21" s="10"/>
      <c r="O21" s="24" t="str">
        <f>IF(AND($L21&gt;0,$L21&lt;Cost!$B$9),"Yes","")</f>
        <v>Yes</v>
      </c>
      <c r="P21" s="25">
        <f>IF($O21="Yes",MAX($K21*$L21,Cost!$B$8),$K21*$L21)</f>
        <v>0.8</v>
      </c>
      <c r="Q21" s="23">
        <f>$J21*$M21</f>
        <v>6.1600000000000002E-2</v>
      </c>
    </row>
    <row r="22" spans="1:17" ht="15.75" customHeight="1">
      <c r="A22" s="9">
        <v>19</v>
      </c>
      <c r="B22" s="7" t="s">
        <v>597</v>
      </c>
      <c r="C22" s="7" t="s">
        <v>405</v>
      </c>
      <c r="D22" s="7" t="s">
        <v>403</v>
      </c>
      <c r="E22" s="7" t="s">
        <v>282</v>
      </c>
      <c r="F22" s="7" t="s">
        <v>404</v>
      </c>
      <c r="G22" s="10" t="s">
        <v>406</v>
      </c>
      <c r="H22" s="10" t="s">
        <v>115</v>
      </c>
      <c r="I22" s="7" t="s">
        <v>605</v>
      </c>
      <c r="J22" s="22">
        <f>SUMIFS('Parts list'!$C$4:$C$133,'Parts list'!$I$4:$I$133,$G22,'Parts list'!$K$4:$K$133,"Yes")</f>
        <v>2</v>
      </c>
      <c r="K22" s="22">
        <f>$J22*Cost!$B$6</f>
        <v>10</v>
      </c>
      <c r="L22" s="23">
        <v>6.0299999999999999E-2</v>
      </c>
      <c r="M22" s="23">
        <v>4.9000000000000002E-2</v>
      </c>
      <c r="N22" s="10"/>
      <c r="O22" s="24" t="str">
        <f>IF(AND($L22&gt;0,$L22&lt;Cost!$B$9),"Yes","")</f>
        <v/>
      </c>
      <c r="P22" s="25">
        <f>IF($O22="Yes",MAX($K22*$L22,Cost!$B$8),$K22*$L22)</f>
        <v>0.60299999999999998</v>
      </c>
      <c r="Q22" s="23">
        <f>$J22*$M22</f>
        <v>9.8000000000000004E-2</v>
      </c>
    </row>
    <row r="23" spans="1:17" ht="15.75" customHeight="1">
      <c r="A23" s="9">
        <v>20</v>
      </c>
      <c r="B23" s="7" t="s">
        <v>596</v>
      </c>
      <c r="C23" s="7" t="s">
        <v>113</v>
      </c>
      <c r="D23" s="7" t="s">
        <v>110</v>
      </c>
      <c r="E23" s="7" t="s">
        <v>111</v>
      </c>
      <c r="F23" s="7" t="s">
        <v>112</v>
      </c>
      <c r="G23" s="10" t="s">
        <v>114</v>
      </c>
      <c r="H23" s="10" t="s">
        <v>115</v>
      </c>
      <c r="I23" s="7" t="s">
        <v>108</v>
      </c>
      <c r="J23" s="22">
        <f>SUMIFS('Parts list'!$C$4:$C$133,'Parts list'!$I$4:$I$133,$G23,'Parts list'!$K$4:$K$133,"Yes")</f>
        <v>1</v>
      </c>
      <c r="K23" s="22">
        <f>$J23*Cost!$B$6</f>
        <v>5</v>
      </c>
      <c r="L23" s="23">
        <v>0.1</v>
      </c>
      <c r="M23" s="23">
        <v>6.0400000000000002E-2</v>
      </c>
      <c r="N23" s="10"/>
      <c r="O23" s="24" t="str">
        <f>IF(AND($L23&gt;0,$L23&lt;Cost!$B$9),"Yes","")</f>
        <v/>
      </c>
      <c r="P23" s="25">
        <f>IF($O23="Yes",MAX($K23*$L23,Cost!$B$8),$K23*$L23)</f>
        <v>0.5</v>
      </c>
      <c r="Q23" s="23">
        <f>$J23*$M23</f>
        <v>6.0400000000000002E-2</v>
      </c>
    </row>
    <row r="24" spans="1:17" ht="42.75" customHeight="1">
      <c r="A24" s="9">
        <v>21</v>
      </c>
      <c r="B24" s="7" t="s">
        <v>603</v>
      </c>
      <c r="C24" s="7" t="s">
        <v>190</v>
      </c>
      <c r="D24" s="7" t="s">
        <v>188</v>
      </c>
      <c r="E24" s="7" t="s">
        <v>121</v>
      </c>
      <c r="F24" s="7" t="s">
        <v>189</v>
      </c>
      <c r="G24" s="10" t="s">
        <v>191</v>
      </c>
      <c r="H24" s="10" t="s">
        <v>125</v>
      </c>
      <c r="I24" s="7" t="s">
        <v>606</v>
      </c>
      <c r="J24" s="22">
        <f>SUMIFS('Parts list'!$C$4:$C$133,'Parts list'!$I$4:$I$133,$G24,'Parts list'!$K$4:$K$133,"Yes")</f>
        <v>33</v>
      </c>
      <c r="K24" s="22">
        <f>$J24*Cost!$B$6</f>
        <v>165</v>
      </c>
      <c r="L24" s="23">
        <v>3.0000000000000001E-3</v>
      </c>
      <c r="M24" s="23">
        <v>1.1000000000000001E-3</v>
      </c>
      <c r="N24" s="10"/>
      <c r="O24" s="24" t="str">
        <f>IF(AND($L24&gt;0,$L24&lt;Cost!$B$9),"Yes","")</f>
        <v>Yes</v>
      </c>
      <c r="P24" s="25">
        <f>IF($O24="Yes",MAX($K24*$L24,Cost!$B$8),$K24*$L24)</f>
        <v>0.495</v>
      </c>
      <c r="Q24" s="23">
        <f>$J24*$M24</f>
        <v>3.6299999999999999E-2</v>
      </c>
    </row>
    <row r="25" spans="1:17" ht="42.75" customHeight="1">
      <c r="A25" s="9">
        <v>22</v>
      </c>
      <c r="B25" s="7" t="s">
        <v>603</v>
      </c>
      <c r="C25" s="7" t="s">
        <v>163</v>
      </c>
      <c r="D25" s="7" t="s">
        <v>160</v>
      </c>
      <c r="E25" s="7" t="s">
        <v>161</v>
      </c>
      <c r="F25" s="7" t="s">
        <v>162</v>
      </c>
      <c r="G25" s="10" t="s">
        <v>164</v>
      </c>
      <c r="H25" s="10" t="s">
        <v>125</v>
      </c>
      <c r="I25" s="7" t="s">
        <v>607</v>
      </c>
      <c r="J25" s="22">
        <f>SUMIFS('Parts list'!$C$4:$C$133,'Parts list'!$I$4:$I$133,$G25,'Parts list'!$K$4:$K$133,"Yes")</f>
        <v>16</v>
      </c>
      <c r="K25" s="22">
        <f>$J25*Cost!$B$6</f>
        <v>80</v>
      </c>
      <c r="L25" s="23">
        <v>6.0000000000000001E-3</v>
      </c>
      <c r="M25" s="23">
        <v>2.2000000000000001E-3</v>
      </c>
      <c r="N25" s="10"/>
      <c r="O25" s="24" t="str">
        <f>IF(AND($L25&gt;0,$L25&lt;Cost!$B$9),"Yes","")</f>
        <v>Yes</v>
      </c>
      <c r="P25" s="25">
        <f>IF($O25="Yes",MAX($K25*$L25,Cost!$B$8),$K25*$L25)</f>
        <v>0.48</v>
      </c>
      <c r="Q25" s="23">
        <f>$J25*$M25</f>
        <v>3.5200000000000002E-2</v>
      </c>
    </row>
    <row r="26" spans="1:17" ht="15.75" customHeight="1">
      <c r="A26" s="9">
        <v>23</v>
      </c>
      <c r="B26" s="7" t="s">
        <v>597</v>
      </c>
      <c r="C26" s="7" t="s">
        <v>491</v>
      </c>
      <c r="D26" s="7" t="s">
        <v>110</v>
      </c>
      <c r="E26" s="7" t="s">
        <v>328</v>
      </c>
      <c r="F26" s="7" t="s">
        <v>490</v>
      </c>
      <c r="G26" s="10" t="s">
        <v>492</v>
      </c>
      <c r="H26" s="10" t="s">
        <v>125</v>
      </c>
      <c r="I26" s="7" t="s">
        <v>488</v>
      </c>
      <c r="J26" s="22">
        <f>SUMIFS('Parts list'!$C$4:$C$133,'Parts list'!$I$4:$I$133,$G26,'Parts list'!$K$4:$K$133,"Yes")</f>
        <v>1</v>
      </c>
      <c r="K26" s="22">
        <f>$J26*Cost!$B$6</f>
        <v>5</v>
      </c>
      <c r="L26" s="23">
        <v>0.09</v>
      </c>
      <c r="M26" s="23">
        <v>5.6399999999999999E-2</v>
      </c>
      <c r="N26" s="10"/>
      <c r="O26" s="24" t="str">
        <f>IF(AND($L26&gt;0,$L26&lt;Cost!$B$9),"Yes","")</f>
        <v/>
      </c>
      <c r="P26" s="25">
        <f>IF($O26="Yes",MAX($K26*$L26,Cost!$B$8),$K26*$L26)</f>
        <v>0.44999999999999996</v>
      </c>
      <c r="Q26" s="23">
        <f>$J26*$M26</f>
        <v>5.6399999999999999E-2</v>
      </c>
    </row>
    <row r="27" spans="1:17" ht="15.75" customHeight="1">
      <c r="A27" s="9">
        <v>24</v>
      </c>
      <c r="B27" s="7" t="s">
        <v>608</v>
      </c>
      <c r="C27" s="7" t="s">
        <v>503</v>
      </c>
      <c r="D27" s="7" t="s">
        <v>501</v>
      </c>
      <c r="E27" s="7" t="s">
        <v>307</v>
      </c>
      <c r="F27" s="7" t="s">
        <v>502</v>
      </c>
      <c r="G27" s="10" t="s">
        <v>504</v>
      </c>
      <c r="H27" s="10" t="s">
        <v>125</v>
      </c>
      <c r="I27" s="7" t="s">
        <v>499</v>
      </c>
      <c r="J27" s="22">
        <f>SUMIFS('Parts list'!$C$4:$C$133,'Parts list'!$I$4:$I$133,$G27,'Parts list'!$K$4:$K$133,"Yes")</f>
        <v>4</v>
      </c>
      <c r="K27" s="22">
        <f>$J27*Cost!$B$6</f>
        <v>20</v>
      </c>
      <c r="L27" s="23">
        <v>2.1100000000000001E-2</v>
      </c>
      <c r="M27" s="23">
        <v>1.5900000000000001E-2</v>
      </c>
      <c r="N27" s="10"/>
      <c r="O27" s="24" t="str">
        <f>IF(AND($L27&gt;0,$L27&lt;Cost!$B$9),"Yes","")</f>
        <v>Yes</v>
      </c>
      <c r="P27" s="25">
        <f>IF($O27="Yes",MAX($K27*$L27,Cost!$B$8),$K27*$L27)</f>
        <v>0.42200000000000004</v>
      </c>
      <c r="Q27" s="23">
        <f>$J27*$M27</f>
        <v>6.3600000000000004E-2</v>
      </c>
    </row>
    <row r="28" spans="1:17" ht="15.75" customHeight="1">
      <c r="A28" s="9">
        <v>25</v>
      </c>
      <c r="B28" s="7" t="s">
        <v>603</v>
      </c>
      <c r="C28" s="7" t="s">
        <v>348</v>
      </c>
      <c r="D28" s="7" t="s">
        <v>347</v>
      </c>
      <c r="E28" s="7" t="s">
        <v>161</v>
      </c>
      <c r="F28" s="7" t="s">
        <v>183</v>
      </c>
      <c r="G28" s="10" t="s">
        <v>349</v>
      </c>
      <c r="H28" s="10" t="s">
        <v>125</v>
      </c>
      <c r="I28" s="7" t="s">
        <v>609</v>
      </c>
      <c r="J28" s="22">
        <f>SUMIFS('Parts list'!$C$4:$C$133,'Parts list'!$I$4:$I$133,$G28,'Parts list'!$K$4:$K$133,"Yes")</f>
        <v>16</v>
      </c>
      <c r="K28" s="22">
        <f>$J28*Cost!$B$6</f>
        <v>80</v>
      </c>
      <c r="L28" s="23">
        <v>5.0000000000000001E-3</v>
      </c>
      <c r="M28" s="23">
        <v>1.9E-3</v>
      </c>
      <c r="N28" s="10"/>
      <c r="O28" s="24" t="str">
        <f>IF(AND($L28&gt;0,$L28&lt;Cost!$B$9),"Yes","")</f>
        <v>Yes</v>
      </c>
      <c r="P28" s="25">
        <f>IF($O28="Yes",MAX($K28*$L28,Cost!$B$8),$K28*$L28)</f>
        <v>0.4</v>
      </c>
      <c r="Q28" s="23">
        <f>$J28*$M28</f>
        <v>3.04E-2</v>
      </c>
    </row>
    <row r="29" spans="1:17" ht="15.75" customHeight="1">
      <c r="A29" s="9">
        <v>26</v>
      </c>
      <c r="B29" s="7" t="s">
        <v>608</v>
      </c>
      <c r="C29" s="7" t="s">
        <v>556</v>
      </c>
      <c r="D29" s="7" t="s">
        <v>553</v>
      </c>
      <c r="E29" s="7" t="s">
        <v>554</v>
      </c>
      <c r="F29" s="7" t="s">
        <v>555</v>
      </c>
      <c r="G29" s="10" t="s">
        <v>557</v>
      </c>
      <c r="H29" s="10" t="s">
        <v>115</v>
      </c>
      <c r="I29" s="7" t="s">
        <v>551</v>
      </c>
      <c r="J29" s="22">
        <f>SUMIFS('Parts list'!$C$4:$C$133,'Parts list'!$I$4:$I$133,$G29,'Parts list'!$K$4:$K$133,"Yes")</f>
        <v>4</v>
      </c>
      <c r="K29" s="22">
        <f>$J29*Cost!$B$6</f>
        <v>20</v>
      </c>
      <c r="L29" s="23">
        <v>0.02</v>
      </c>
      <c r="M29" s="23">
        <v>1.4999999999999999E-2</v>
      </c>
      <c r="N29" s="10"/>
      <c r="O29" s="24" t="str">
        <f>IF(AND($L29&gt;0,$L29&lt;Cost!$B$9),"Yes","")</f>
        <v>Yes</v>
      </c>
      <c r="P29" s="25">
        <f>IF($O29="Yes",MAX($K29*$L29,Cost!$B$8),$K29*$L29)</f>
        <v>0.4</v>
      </c>
      <c r="Q29" s="23">
        <f>$J29*$M29</f>
        <v>0.06</v>
      </c>
    </row>
    <row r="30" spans="1:17" ht="29.25" customHeight="1">
      <c r="A30" s="9">
        <v>27</v>
      </c>
      <c r="B30" s="7" t="s">
        <v>597</v>
      </c>
      <c r="C30" s="7" t="s">
        <v>309</v>
      </c>
      <c r="D30" s="7" t="s">
        <v>306</v>
      </c>
      <c r="E30" s="7" t="s">
        <v>307</v>
      </c>
      <c r="F30" s="7" t="s">
        <v>308</v>
      </c>
      <c r="G30" s="10" t="s">
        <v>310</v>
      </c>
      <c r="H30" s="10" t="s">
        <v>115</v>
      </c>
      <c r="I30" s="7" t="s">
        <v>304</v>
      </c>
      <c r="J30" s="22">
        <f>SUMIFS('Parts list'!$C$4:$C$133,'Parts list'!$I$4:$I$133,$G30,'Parts list'!$K$4:$K$133,"Yes")</f>
        <v>1</v>
      </c>
      <c r="K30" s="22">
        <f>$J30*Cost!$B$6</f>
        <v>5</v>
      </c>
      <c r="L30" s="23">
        <v>0.06</v>
      </c>
      <c r="M30" s="23">
        <v>3.7999999999999999E-2</v>
      </c>
      <c r="N30" s="10"/>
      <c r="O30" s="24" t="str">
        <f>IF(AND($L30&gt;0,$L30&lt;Cost!$B$9),"Yes","")</f>
        <v/>
      </c>
      <c r="P30" s="25">
        <f>IF($O30="Yes",MAX($K30*$L30,Cost!$B$8),$K30*$L30)</f>
        <v>0.3</v>
      </c>
      <c r="Q30" s="23">
        <f>$J30*$M30</f>
        <v>3.7999999999999999E-2</v>
      </c>
    </row>
    <row r="31" spans="1:17" ht="69.75" customHeight="1">
      <c r="A31" s="9">
        <v>28</v>
      </c>
      <c r="B31" s="7" t="s">
        <v>599</v>
      </c>
      <c r="C31" s="7" t="s">
        <v>134</v>
      </c>
      <c r="D31" s="7" t="s">
        <v>133</v>
      </c>
      <c r="E31" s="7" t="s">
        <v>121</v>
      </c>
      <c r="F31" s="7" t="s">
        <v>122</v>
      </c>
      <c r="G31" s="10" t="s">
        <v>135</v>
      </c>
      <c r="H31" s="10" t="s">
        <v>125</v>
      </c>
      <c r="I31" s="7" t="s">
        <v>610</v>
      </c>
      <c r="J31" s="22">
        <f>SUMIFS('Parts list'!$C$4:$C$133,'Parts list'!$I$4:$I$133,$G31,'Parts list'!$K$4:$K$133,"Yes")</f>
        <v>28</v>
      </c>
      <c r="K31" s="22">
        <f>$J31*Cost!$B$6</f>
        <v>140</v>
      </c>
      <c r="L31" s="23">
        <v>2E-3</v>
      </c>
      <c r="M31" s="23">
        <v>5.0000000000000001E-4</v>
      </c>
      <c r="N31" s="10"/>
      <c r="O31" s="24" t="str">
        <f>IF(AND($L31&gt;0,$L31&lt;Cost!$B$9),"Yes","")</f>
        <v>Yes</v>
      </c>
      <c r="P31" s="25">
        <f>IF($O31="Yes",MAX($K31*$L31,Cost!$B$8),$K31*$L31)</f>
        <v>0.28000000000000003</v>
      </c>
      <c r="Q31" s="23">
        <f>$J31*$M31</f>
        <v>1.4E-2</v>
      </c>
    </row>
    <row r="32" spans="1:17" ht="29.25" customHeight="1">
      <c r="A32" s="9">
        <v>29</v>
      </c>
      <c r="B32" s="7" t="s">
        <v>608</v>
      </c>
      <c r="C32" s="7" t="s">
        <v>366</v>
      </c>
      <c r="D32" s="7" t="s">
        <v>363</v>
      </c>
      <c r="E32" s="7" t="s">
        <v>364</v>
      </c>
      <c r="F32" s="7" t="s">
        <v>365</v>
      </c>
      <c r="G32" s="10" t="s">
        <v>367</v>
      </c>
      <c r="H32" s="10" t="s">
        <v>125</v>
      </c>
      <c r="I32" s="7" t="s">
        <v>611</v>
      </c>
      <c r="J32" s="22">
        <f>SUMIFS('Parts list'!$C$4:$C$133,'Parts list'!$I$4:$I$133,$G32,'Parts list'!$K$4:$K$133,"Yes")</f>
        <v>3</v>
      </c>
      <c r="K32" s="22">
        <f>$J32*Cost!$B$6</f>
        <v>15</v>
      </c>
      <c r="L32" s="23">
        <v>1.6E-2</v>
      </c>
      <c r="M32" s="23">
        <v>1.2E-2</v>
      </c>
      <c r="N32" s="10"/>
      <c r="O32" s="24" t="str">
        <f>IF(AND($L32&gt;0,$L32&lt;Cost!$B$9),"Yes","")</f>
        <v>Yes</v>
      </c>
      <c r="P32" s="25">
        <f>IF($O32="Yes",MAX($K32*$L32,Cost!$B$8),$K32*$L32)</f>
        <v>0.24</v>
      </c>
      <c r="Q32" s="23">
        <f>$J32*$M32</f>
        <v>3.6000000000000004E-2</v>
      </c>
    </row>
    <row r="33" spans="1:17" ht="15.75" customHeight="1">
      <c r="A33" s="9">
        <v>30</v>
      </c>
      <c r="B33" s="7" t="s">
        <v>603</v>
      </c>
      <c r="C33" s="7" t="s">
        <v>196</v>
      </c>
      <c r="D33" s="7" t="s">
        <v>194</v>
      </c>
      <c r="E33" s="7" t="s">
        <v>121</v>
      </c>
      <c r="F33" s="7" t="s">
        <v>195</v>
      </c>
      <c r="G33" s="10" t="s">
        <v>197</v>
      </c>
      <c r="H33" s="10" t="s">
        <v>125</v>
      </c>
      <c r="I33" s="7" t="s">
        <v>612</v>
      </c>
      <c r="J33" s="22">
        <f>SUMIFS('Parts list'!$C$4:$C$133,'Parts list'!$I$4:$I$133,$G33,'Parts list'!$K$4:$K$133,"Yes")</f>
        <v>4</v>
      </c>
      <c r="K33" s="22">
        <f>$J33*Cost!$B$6</f>
        <v>20</v>
      </c>
      <c r="L33" s="23">
        <v>5.0000000000000001E-3</v>
      </c>
      <c r="M33" s="23">
        <v>1.9E-3</v>
      </c>
      <c r="N33" s="10"/>
      <c r="O33" s="24" t="str">
        <f>IF(AND($L33&gt;0,$L33&lt;Cost!$B$9),"Yes","")</f>
        <v>Yes</v>
      </c>
      <c r="P33" s="25">
        <f>IF($O33="Yes",MAX($K33*$L33,Cost!$B$8),$K33*$L33)</f>
        <v>0.1</v>
      </c>
      <c r="Q33" s="23">
        <f>$J33*$M33</f>
        <v>7.6E-3</v>
      </c>
    </row>
    <row r="34" spans="1:17" ht="29.25" customHeight="1">
      <c r="A34" s="9">
        <v>31</v>
      </c>
      <c r="B34" s="7" t="s">
        <v>599</v>
      </c>
      <c r="C34" s="7" t="s">
        <v>129</v>
      </c>
      <c r="D34" s="7" t="s">
        <v>128</v>
      </c>
      <c r="E34" s="7" t="s">
        <v>121</v>
      </c>
      <c r="F34" s="7" t="s">
        <v>122</v>
      </c>
      <c r="G34" s="10" t="s">
        <v>130</v>
      </c>
      <c r="H34" s="10" t="s">
        <v>125</v>
      </c>
      <c r="I34" s="7" t="s">
        <v>613</v>
      </c>
      <c r="J34" s="22">
        <f>SUMIFS('Parts list'!$C$4:$C$133,'Parts list'!$I$4:$I$133,$G34,'Parts list'!$K$4:$K$133,"Yes")</f>
        <v>9</v>
      </c>
      <c r="K34" s="22">
        <f>$J34*Cost!$B$6</f>
        <v>45</v>
      </c>
      <c r="L34" s="23">
        <v>2E-3</v>
      </c>
      <c r="M34" s="23">
        <v>5.0000000000000001E-4</v>
      </c>
      <c r="N34" s="10"/>
      <c r="O34" s="24" t="str">
        <f>IF(AND($L34&gt;0,$L34&lt;Cost!$B$9),"Yes","")</f>
        <v>Yes</v>
      </c>
      <c r="P34" s="25">
        <f>IF($O34="Yes",MAX($K34*$L34,Cost!$B$8),$K34*$L34)</f>
        <v>0.1</v>
      </c>
      <c r="Q34" s="23">
        <f>$J34*$M34</f>
        <v>4.5000000000000005E-3</v>
      </c>
    </row>
    <row r="35" spans="1:17" ht="15.75" customHeight="1">
      <c r="A35" s="9">
        <v>32</v>
      </c>
      <c r="B35" s="7" t="s">
        <v>614</v>
      </c>
      <c r="C35" s="7" t="s">
        <v>562</v>
      </c>
      <c r="D35" s="7" t="s">
        <v>560</v>
      </c>
      <c r="E35" s="7" t="s">
        <v>295</v>
      </c>
      <c r="F35" s="7" t="s">
        <v>561</v>
      </c>
      <c r="G35" s="10" t="s">
        <v>563</v>
      </c>
      <c r="H35" s="10" t="s">
        <v>125</v>
      </c>
      <c r="I35" s="7" t="s">
        <v>558</v>
      </c>
      <c r="J35" s="22">
        <f>SUMIFS('Parts list'!$C$4:$C$133,'Parts list'!$I$4:$I$133,$G35,'Parts list'!$K$4:$K$133,"Yes")</f>
        <v>1</v>
      </c>
      <c r="K35" s="22">
        <f>$J35*Cost!$B$6</f>
        <v>5</v>
      </c>
      <c r="L35" s="23">
        <v>1.6299999999999999E-2</v>
      </c>
      <c r="M35" s="23">
        <v>0.01</v>
      </c>
      <c r="N35" s="10"/>
      <c r="O35" s="24" t="str">
        <f>IF(AND($L35&gt;0,$L35&lt;Cost!$B$9),"Yes","")</f>
        <v>Yes</v>
      </c>
      <c r="P35" s="25">
        <f>IF($O35="Yes",MAX($K35*$L35,Cost!$B$8),$K35*$L35)</f>
        <v>0.1</v>
      </c>
      <c r="Q35" s="23">
        <f>$J35*$M35</f>
        <v>0.01</v>
      </c>
    </row>
    <row r="36" spans="1:17" ht="15.75" customHeight="1">
      <c r="A36" s="9">
        <v>33</v>
      </c>
      <c r="B36" s="7" t="s">
        <v>615</v>
      </c>
      <c r="C36" s="7" t="s">
        <v>451</v>
      </c>
      <c r="D36" s="7" t="s">
        <v>449</v>
      </c>
      <c r="E36" s="7" t="s">
        <v>161</v>
      </c>
      <c r="F36" s="7" t="s">
        <v>450</v>
      </c>
      <c r="G36" s="10" t="s">
        <v>452</v>
      </c>
      <c r="H36" s="10" t="s">
        <v>125</v>
      </c>
      <c r="I36" s="7" t="s">
        <v>447</v>
      </c>
      <c r="J36" s="22">
        <f>SUMIFS('Parts list'!$C$4:$C$133,'Parts list'!$I$4:$I$133,$G36,'Parts list'!$K$4:$K$133,"Yes")</f>
        <v>1</v>
      </c>
      <c r="K36" s="22">
        <f>$J36*Cost!$B$6</f>
        <v>5</v>
      </c>
      <c r="L36" s="23">
        <v>1.5699999999999999E-2</v>
      </c>
      <c r="M36" s="23">
        <v>8.0000000000000002E-3</v>
      </c>
      <c r="N36" s="10"/>
      <c r="O36" s="24" t="str">
        <f>IF(AND($L36&gt;0,$L36&lt;Cost!$B$9),"Yes","")</f>
        <v>Yes</v>
      </c>
      <c r="P36" s="25">
        <f>IF($O36="Yes",MAX($K36*$L36,Cost!$B$8),$K36*$L36)</f>
        <v>0.1</v>
      </c>
      <c r="Q36" s="23">
        <f>$J36*$M36</f>
        <v>8.0000000000000002E-3</v>
      </c>
    </row>
    <row r="37" spans="1:17" ht="15.75" customHeight="1">
      <c r="A37" s="9">
        <v>34</v>
      </c>
      <c r="B37" s="7" t="s">
        <v>599</v>
      </c>
      <c r="C37" s="7" t="s">
        <v>123</v>
      </c>
      <c r="D37" s="7" t="s">
        <v>120</v>
      </c>
      <c r="E37" s="7" t="s">
        <v>121</v>
      </c>
      <c r="F37" s="7" t="s">
        <v>122</v>
      </c>
      <c r="G37" s="10" t="s">
        <v>124</v>
      </c>
      <c r="H37" s="10" t="s">
        <v>125</v>
      </c>
      <c r="I37" s="7" t="s">
        <v>616</v>
      </c>
      <c r="J37" s="22">
        <f>SUMIFS('Parts list'!$C$4:$C$133,'Parts list'!$I$4:$I$133,$G37,'Parts list'!$K$4:$K$133,"Yes")</f>
        <v>7</v>
      </c>
      <c r="K37" s="22">
        <f>$J37*Cost!$B$6</f>
        <v>35</v>
      </c>
      <c r="L37" s="23">
        <v>2E-3</v>
      </c>
      <c r="M37" s="23">
        <v>5.0000000000000001E-4</v>
      </c>
      <c r="N37" s="10"/>
      <c r="O37" s="24" t="str">
        <f>IF(AND($L37&gt;0,$L37&lt;Cost!$B$9),"Yes","")</f>
        <v>Yes</v>
      </c>
      <c r="P37" s="25">
        <f>IF($O37="Yes",MAX($K37*$L37,Cost!$B$8),$K37*$L37)</f>
        <v>0.1</v>
      </c>
      <c r="Q37" s="23">
        <f>$J37*$M37</f>
        <v>3.5000000000000001E-3</v>
      </c>
    </row>
    <row r="38" spans="1:17" ht="15.75" customHeight="1">
      <c r="A38" s="9">
        <v>35</v>
      </c>
      <c r="B38" s="7" t="s">
        <v>599</v>
      </c>
      <c r="C38" s="7" t="s">
        <v>139</v>
      </c>
      <c r="D38" s="7" t="s">
        <v>138</v>
      </c>
      <c r="E38" s="7" t="s">
        <v>121</v>
      </c>
      <c r="F38" s="7" t="s">
        <v>122</v>
      </c>
      <c r="G38" s="10" t="s">
        <v>140</v>
      </c>
      <c r="H38" s="10" t="s">
        <v>125</v>
      </c>
      <c r="I38" s="7" t="s">
        <v>617</v>
      </c>
      <c r="J38" s="22">
        <f>SUMIFS('Parts list'!$C$4:$C$133,'Parts list'!$I$4:$I$133,$G38,'Parts list'!$K$4:$K$133,"Yes")</f>
        <v>7</v>
      </c>
      <c r="K38" s="22">
        <f>$J38*Cost!$B$6</f>
        <v>35</v>
      </c>
      <c r="L38" s="23">
        <v>2E-3</v>
      </c>
      <c r="M38" s="23">
        <v>5.0000000000000001E-4</v>
      </c>
      <c r="N38" s="10"/>
      <c r="O38" s="24" t="str">
        <f>IF(AND($L38&gt;0,$L38&lt;Cost!$B$9),"Yes","")</f>
        <v>Yes</v>
      </c>
      <c r="P38" s="25">
        <f>IF($O38="Yes",MAX($K38*$L38,Cost!$B$8),$K38*$L38)</f>
        <v>0.1</v>
      </c>
      <c r="Q38" s="23">
        <f>$J38*$M38</f>
        <v>3.5000000000000001E-3</v>
      </c>
    </row>
    <row r="39" spans="1:17" ht="15.75" customHeight="1">
      <c r="A39" s="9">
        <v>36</v>
      </c>
      <c r="B39" s="7" t="s">
        <v>599</v>
      </c>
      <c r="C39" s="7" t="s">
        <v>255</v>
      </c>
      <c r="D39" s="7" t="s">
        <v>254</v>
      </c>
      <c r="E39" s="7" t="s">
        <v>121</v>
      </c>
      <c r="F39" s="7" t="s">
        <v>122</v>
      </c>
      <c r="G39" s="10" t="s">
        <v>256</v>
      </c>
      <c r="H39" s="10" t="s">
        <v>125</v>
      </c>
      <c r="I39" s="7" t="s">
        <v>618</v>
      </c>
      <c r="J39" s="22">
        <f>SUMIFS('Parts list'!$C$4:$C$133,'Parts list'!$I$4:$I$133,$G39,'Parts list'!$K$4:$K$133,"Yes")</f>
        <v>7</v>
      </c>
      <c r="K39" s="22">
        <f>$J39*Cost!$B$6</f>
        <v>35</v>
      </c>
      <c r="L39" s="23">
        <v>2E-3</v>
      </c>
      <c r="M39" s="23">
        <v>5.0000000000000001E-4</v>
      </c>
      <c r="N39" s="10"/>
      <c r="O39" s="24" t="str">
        <f>IF(AND($L39&gt;0,$L39&lt;Cost!$B$9),"Yes","")</f>
        <v>Yes</v>
      </c>
      <c r="P39" s="25">
        <f>IF($O39="Yes",MAX($K39*$L39,Cost!$B$8),$K39*$L39)</f>
        <v>0.1</v>
      </c>
      <c r="Q39" s="23">
        <f>$J39*$M39</f>
        <v>3.5000000000000001E-3</v>
      </c>
    </row>
    <row r="40" spans="1:17" ht="15.75" customHeight="1">
      <c r="A40" s="9">
        <v>37</v>
      </c>
      <c r="B40" s="7" t="s">
        <v>615</v>
      </c>
      <c r="C40" s="7" t="s">
        <v>324</v>
      </c>
      <c r="D40" s="7" t="s">
        <v>322</v>
      </c>
      <c r="E40" s="7" t="s">
        <v>161</v>
      </c>
      <c r="F40" s="7" t="s">
        <v>323</v>
      </c>
      <c r="G40" s="10" t="s">
        <v>325</v>
      </c>
      <c r="H40" s="10" t="s">
        <v>125</v>
      </c>
      <c r="I40" s="7" t="s">
        <v>320</v>
      </c>
      <c r="J40" s="22">
        <f>SUMIFS('Parts list'!$C$4:$C$133,'Parts list'!$I$4:$I$133,$G40,'Parts list'!$K$4:$K$133,"Yes")</f>
        <v>1</v>
      </c>
      <c r="K40" s="22">
        <f>$J40*Cost!$B$6</f>
        <v>5</v>
      </c>
      <c r="L40" s="23">
        <v>1.2699999999999999E-2</v>
      </c>
      <c r="M40" s="23">
        <v>4.0000000000000001E-3</v>
      </c>
      <c r="N40" s="10"/>
      <c r="O40" s="24" t="str">
        <f>IF(AND($L40&gt;0,$L40&lt;Cost!$B$9),"Yes","")</f>
        <v>Yes</v>
      </c>
      <c r="P40" s="25">
        <f>IF($O40="Yes",MAX($K40*$L40,Cost!$B$8),$K40*$L40)</f>
        <v>0.1</v>
      </c>
      <c r="Q40" s="23">
        <f>$J40*$M40</f>
        <v>4.0000000000000001E-3</v>
      </c>
    </row>
    <row r="41" spans="1:17" ht="15.75" customHeight="1">
      <c r="A41" s="9">
        <v>38</v>
      </c>
      <c r="B41" s="7" t="s">
        <v>599</v>
      </c>
      <c r="C41" s="7" t="s">
        <v>241</v>
      </c>
      <c r="D41" s="7" t="s">
        <v>240</v>
      </c>
      <c r="E41" s="7" t="s">
        <v>121</v>
      </c>
      <c r="F41" s="7" t="s">
        <v>122</v>
      </c>
      <c r="G41" s="10" t="s">
        <v>242</v>
      </c>
      <c r="H41" s="10" t="s">
        <v>125</v>
      </c>
      <c r="I41" s="7" t="s">
        <v>619</v>
      </c>
      <c r="J41" s="22">
        <f>SUMIFS('Parts list'!$C$4:$C$133,'Parts list'!$I$4:$I$133,$G41,'Parts list'!$K$4:$K$133,"Yes")</f>
        <v>6</v>
      </c>
      <c r="K41" s="22">
        <f>$J41*Cost!$B$6</f>
        <v>30</v>
      </c>
      <c r="L41" s="23">
        <v>2E-3</v>
      </c>
      <c r="M41" s="23">
        <v>5.0000000000000001E-4</v>
      </c>
      <c r="N41" s="10"/>
      <c r="O41" s="24" t="str">
        <f>IF(AND($L41&gt;0,$L41&lt;Cost!$B$9),"Yes","")</f>
        <v>Yes</v>
      </c>
      <c r="P41" s="25">
        <f>IF($O41="Yes",MAX($K41*$L41,Cost!$B$8),$K41*$L41)</f>
        <v>0.1</v>
      </c>
      <c r="Q41" s="23">
        <f>$J41*$M41</f>
        <v>3.0000000000000001E-3</v>
      </c>
    </row>
    <row r="42" spans="1:17" ht="15.75" customHeight="1">
      <c r="A42" s="9">
        <v>39</v>
      </c>
      <c r="B42" s="7" t="s">
        <v>599</v>
      </c>
      <c r="C42" s="7" t="s">
        <v>336</v>
      </c>
      <c r="D42" s="7" t="s">
        <v>335</v>
      </c>
      <c r="E42" s="7" t="s">
        <v>121</v>
      </c>
      <c r="F42" s="7" t="s">
        <v>122</v>
      </c>
      <c r="G42" s="10" t="s">
        <v>337</v>
      </c>
      <c r="H42" s="10" t="s">
        <v>125</v>
      </c>
      <c r="I42" s="7" t="s">
        <v>620</v>
      </c>
      <c r="J42" s="22">
        <f>SUMIFS('Parts list'!$C$4:$C$133,'Parts list'!$I$4:$I$133,$G42,'Parts list'!$K$4:$K$133,"Yes")</f>
        <v>5</v>
      </c>
      <c r="K42" s="22">
        <f>$J42*Cost!$B$6</f>
        <v>25</v>
      </c>
      <c r="L42" s="23">
        <v>2E-3</v>
      </c>
      <c r="M42" s="23">
        <v>5.0000000000000001E-4</v>
      </c>
      <c r="N42" s="10"/>
      <c r="O42" s="24" t="str">
        <f>IF(AND($L42&gt;0,$L42&lt;Cost!$B$9),"Yes","")</f>
        <v>Yes</v>
      </c>
      <c r="P42" s="25">
        <f>IF($O42="Yes",MAX($K42*$L42,Cost!$B$8),$K42*$L42)</f>
        <v>0.1</v>
      </c>
      <c r="Q42" s="23">
        <f>$J42*$M42</f>
        <v>2.5000000000000001E-3</v>
      </c>
    </row>
    <row r="43" spans="1:17" ht="15.75" customHeight="1">
      <c r="A43" s="9">
        <v>40</v>
      </c>
      <c r="B43" s="7" t="s">
        <v>599</v>
      </c>
      <c r="C43" s="7" t="s">
        <v>144</v>
      </c>
      <c r="D43" s="7" t="s">
        <v>143</v>
      </c>
      <c r="E43" s="7" t="s">
        <v>121</v>
      </c>
      <c r="F43" s="7" t="s">
        <v>122</v>
      </c>
      <c r="G43" s="10" t="s">
        <v>145</v>
      </c>
      <c r="H43" s="10" t="s">
        <v>125</v>
      </c>
      <c r="I43" s="7" t="s">
        <v>621</v>
      </c>
      <c r="J43" s="22">
        <f>SUMIFS('Parts list'!$C$4:$C$133,'Parts list'!$I$4:$I$133,$G43,'Parts list'!$K$4:$K$133,"Yes")</f>
        <v>4</v>
      </c>
      <c r="K43" s="22">
        <f>$J43*Cost!$B$6</f>
        <v>20</v>
      </c>
      <c r="L43" s="23">
        <v>2E-3</v>
      </c>
      <c r="M43" s="23">
        <v>5.0000000000000001E-4</v>
      </c>
      <c r="N43" s="10"/>
      <c r="O43" s="24" t="str">
        <f>IF(AND($L43&gt;0,$L43&lt;Cost!$B$9),"Yes","")</f>
        <v>Yes</v>
      </c>
      <c r="P43" s="25">
        <f>IF($O43="Yes",MAX($K43*$L43,Cost!$B$8),$K43*$L43)</f>
        <v>0.1</v>
      </c>
      <c r="Q43" s="23">
        <f>$J43*$M43</f>
        <v>2E-3</v>
      </c>
    </row>
    <row r="44" spans="1:17" ht="15.75" customHeight="1">
      <c r="A44" s="9">
        <v>41</v>
      </c>
      <c r="B44" s="7" t="s">
        <v>599</v>
      </c>
      <c r="C44" s="7" t="s">
        <v>343</v>
      </c>
      <c r="D44" s="7" t="s">
        <v>342</v>
      </c>
      <c r="E44" s="7" t="s">
        <v>161</v>
      </c>
      <c r="F44" s="7" t="s">
        <v>122</v>
      </c>
      <c r="G44" s="10" t="s">
        <v>344</v>
      </c>
      <c r="H44" s="10" t="s">
        <v>125</v>
      </c>
      <c r="I44" s="7" t="s">
        <v>340</v>
      </c>
      <c r="J44" s="22">
        <f>SUMIFS('Parts list'!$C$4:$C$133,'Parts list'!$I$4:$I$133,$G44,'Parts list'!$K$4:$K$133,"Yes")</f>
        <v>4</v>
      </c>
      <c r="K44" s="22">
        <f>$J44*Cost!$B$6</f>
        <v>20</v>
      </c>
      <c r="L44" s="23">
        <v>2E-3</v>
      </c>
      <c r="M44" s="23">
        <v>5.0000000000000001E-4</v>
      </c>
      <c r="N44" s="10"/>
      <c r="O44" s="24" t="str">
        <f>IF(AND($L44&gt;0,$L44&lt;Cost!$B$9),"Yes","")</f>
        <v>Yes</v>
      </c>
      <c r="P44" s="25">
        <f>IF($O44="Yes",MAX($K44*$L44,Cost!$B$8),$K44*$L44)</f>
        <v>0.1</v>
      </c>
      <c r="Q44" s="23">
        <f>$J44*$M44</f>
        <v>2E-3</v>
      </c>
    </row>
    <row r="45" spans="1:17" ht="15.75" customHeight="1">
      <c r="A45" s="9">
        <v>42</v>
      </c>
      <c r="B45" s="7" t="s">
        <v>599</v>
      </c>
      <c r="C45" s="7" t="s">
        <v>390</v>
      </c>
      <c r="D45" s="7" t="s">
        <v>388</v>
      </c>
      <c r="E45" s="7" t="s">
        <v>121</v>
      </c>
      <c r="F45" s="7" t="s">
        <v>389</v>
      </c>
      <c r="G45" s="10" t="s">
        <v>391</v>
      </c>
      <c r="H45" s="10" t="s">
        <v>125</v>
      </c>
      <c r="I45" s="7" t="s">
        <v>386</v>
      </c>
      <c r="J45" s="22">
        <f>SUMIFS('Parts list'!$C$4:$C$133,'Parts list'!$I$4:$I$133,$G45,'Parts list'!$K$4:$K$133,"Yes")</f>
        <v>4</v>
      </c>
      <c r="K45" s="22">
        <f>$J45*Cost!$B$6</f>
        <v>20</v>
      </c>
      <c r="L45" s="23">
        <v>2E-3</v>
      </c>
      <c r="M45" s="23">
        <v>5.0000000000000001E-4</v>
      </c>
      <c r="N45" s="10"/>
      <c r="O45" s="24" t="str">
        <f>IF(AND($L45&gt;0,$L45&lt;Cost!$B$9),"Yes","")</f>
        <v>Yes</v>
      </c>
      <c r="P45" s="25">
        <f>IF($O45="Yes",MAX($K45*$L45,Cost!$B$8),$K45*$L45)</f>
        <v>0.1</v>
      </c>
      <c r="Q45" s="23">
        <f>$J45*$M45</f>
        <v>2E-3</v>
      </c>
    </row>
    <row r="46" spans="1:17" ht="15.75" customHeight="1">
      <c r="A46" s="9">
        <v>43</v>
      </c>
      <c r="B46" s="7" t="s">
        <v>614</v>
      </c>
      <c r="C46" s="7" t="s">
        <v>568</v>
      </c>
      <c r="D46" s="7" t="s">
        <v>566</v>
      </c>
      <c r="E46" s="7" t="s">
        <v>161</v>
      </c>
      <c r="F46" s="7" t="s">
        <v>567</v>
      </c>
      <c r="G46" s="10" t="s">
        <v>569</v>
      </c>
      <c r="H46" s="10" t="s">
        <v>125</v>
      </c>
      <c r="I46" s="7" t="s">
        <v>564</v>
      </c>
      <c r="J46" s="22">
        <f>SUMIFS('Parts list'!$C$4:$C$133,'Parts list'!$I$4:$I$133,$G46,'Parts list'!$K$4:$K$133,"Yes")</f>
        <v>1</v>
      </c>
      <c r="K46" s="22">
        <f>$J46*Cost!$B$6</f>
        <v>5</v>
      </c>
      <c r="L46" s="23">
        <v>7.4999999999999997E-3</v>
      </c>
      <c r="M46" s="23">
        <v>7.4999999999999997E-3</v>
      </c>
      <c r="N46" s="10"/>
      <c r="O46" s="24" t="str">
        <f>IF(AND($L46&gt;0,$L46&lt;Cost!$B$9),"Yes","")</f>
        <v>Yes</v>
      </c>
      <c r="P46" s="25">
        <f>IF($O46="Yes",MAX($K46*$L46,Cost!$B$8),$K46*$L46)</f>
        <v>0.1</v>
      </c>
      <c r="Q46" s="23">
        <f>$J46*$M46</f>
        <v>7.4999999999999997E-3</v>
      </c>
    </row>
    <row r="47" spans="1:17" ht="15.75" customHeight="1">
      <c r="A47" s="9">
        <v>44</v>
      </c>
      <c r="B47" s="7" t="s">
        <v>599</v>
      </c>
      <c r="C47" s="7" t="s">
        <v>296</v>
      </c>
      <c r="D47" s="7" t="s">
        <v>294</v>
      </c>
      <c r="E47" s="7" t="s">
        <v>295</v>
      </c>
      <c r="F47" s="7" t="s">
        <v>122</v>
      </c>
      <c r="G47" s="10" t="s">
        <v>297</v>
      </c>
      <c r="H47" s="10" t="s">
        <v>125</v>
      </c>
      <c r="I47" s="7" t="s">
        <v>292</v>
      </c>
      <c r="J47" s="22">
        <f>SUMIFS('Parts list'!$C$4:$C$133,'Parts list'!$I$4:$I$133,$G47,'Parts list'!$K$4:$K$133,"Yes")</f>
        <v>2</v>
      </c>
      <c r="K47" s="22">
        <f>$J47*Cost!$B$6</f>
        <v>10</v>
      </c>
      <c r="L47" s="23">
        <v>3.0000000000000001E-3</v>
      </c>
      <c r="M47" s="23">
        <v>1E-3</v>
      </c>
      <c r="N47" s="10"/>
      <c r="O47" s="24" t="str">
        <f>IF(AND($L47&gt;0,$L47&lt;Cost!$B$9),"Yes","")</f>
        <v>Yes</v>
      </c>
      <c r="P47" s="25">
        <f>IF($O47="Yes",MAX($K47*$L47,Cost!$B$8),$K47*$L47)</f>
        <v>0.1</v>
      </c>
      <c r="Q47" s="23">
        <f>$J47*$M47</f>
        <v>2E-3</v>
      </c>
    </row>
    <row r="48" spans="1:17" ht="15.75" customHeight="1">
      <c r="A48" s="9">
        <v>45</v>
      </c>
      <c r="B48" s="7" t="s">
        <v>599</v>
      </c>
      <c r="C48" s="7" t="s">
        <v>353</v>
      </c>
      <c r="D48" s="7" t="s">
        <v>352</v>
      </c>
      <c r="E48" s="7" t="s">
        <v>121</v>
      </c>
      <c r="F48" s="7" t="s">
        <v>122</v>
      </c>
      <c r="G48" s="10" t="s">
        <v>354</v>
      </c>
      <c r="H48" s="10" t="s">
        <v>125</v>
      </c>
      <c r="I48" s="7" t="s">
        <v>622</v>
      </c>
      <c r="J48" s="22">
        <f>SUMIFS('Parts list'!$C$4:$C$133,'Parts list'!$I$4:$I$133,$G48,'Parts list'!$K$4:$K$133,"Yes")</f>
        <v>3</v>
      </c>
      <c r="K48" s="22">
        <f>$J48*Cost!$B$6</f>
        <v>15</v>
      </c>
      <c r="L48" s="23">
        <v>2E-3</v>
      </c>
      <c r="M48" s="23">
        <v>5.0000000000000001E-4</v>
      </c>
      <c r="N48" s="10"/>
      <c r="O48" s="24" t="str">
        <f>IF(AND($L48&gt;0,$L48&lt;Cost!$B$9),"Yes","")</f>
        <v>Yes</v>
      </c>
      <c r="P48" s="25">
        <f>IF($O48="Yes",MAX($K48*$L48,Cost!$B$8),$K48*$L48)</f>
        <v>0.1</v>
      </c>
      <c r="Q48" s="23">
        <f>$J48*$M48</f>
        <v>1.5E-3</v>
      </c>
    </row>
    <row r="49" spans="1:17" ht="15.75" customHeight="1">
      <c r="A49" s="9">
        <v>46</v>
      </c>
      <c r="B49" s="7" t="s">
        <v>603</v>
      </c>
      <c r="C49" s="7" t="s">
        <v>184</v>
      </c>
      <c r="D49" s="7" t="s">
        <v>182</v>
      </c>
      <c r="E49" s="7" t="s">
        <v>121</v>
      </c>
      <c r="F49" s="7" t="s">
        <v>183</v>
      </c>
      <c r="G49" s="10" t="s">
        <v>185</v>
      </c>
      <c r="H49" s="10" t="s">
        <v>125</v>
      </c>
      <c r="I49" s="7" t="s">
        <v>180</v>
      </c>
      <c r="J49" s="22">
        <f>SUMIFS('Parts list'!$C$4:$C$133,'Parts list'!$I$4:$I$133,$G49,'Parts list'!$K$4:$K$133,"Yes")</f>
        <v>2</v>
      </c>
      <c r="K49" s="22">
        <f>$J49*Cost!$B$6</f>
        <v>10</v>
      </c>
      <c r="L49" s="23">
        <v>2E-3</v>
      </c>
      <c r="M49" s="23">
        <v>5.9999999999999995E-4</v>
      </c>
      <c r="N49" s="10"/>
      <c r="O49" s="24" t="str">
        <f>IF(AND($L49&gt;0,$L49&lt;Cost!$B$9),"Yes","")</f>
        <v>Yes</v>
      </c>
      <c r="P49" s="25">
        <f>IF($O49="Yes",MAX($K49*$L49,Cost!$B$8),$K49*$L49)</f>
        <v>0.1</v>
      </c>
      <c r="Q49" s="23">
        <f>$J49*$M49</f>
        <v>1.1999999999999999E-3</v>
      </c>
    </row>
    <row r="50" spans="1:17" ht="15.75" customHeight="1">
      <c r="A50" s="9">
        <v>47</v>
      </c>
      <c r="B50" s="7" t="s">
        <v>599</v>
      </c>
      <c r="C50" s="7" t="s">
        <v>512</v>
      </c>
      <c r="D50" s="7" t="s">
        <v>511</v>
      </c>
      <c r="E50" s="7" t="s">
        <v>121</v>
      </c>
      <c r="F50" s="7" t="s">
        <v>122</v>
      </c>
      <c r="G50" s="10" t="s">
        <v>513</v>
      </c>
      <c r="H50" s="10" t="s">
        <v>125</v>
      </c>
      <c r="I50" s="7" t="s">
        <v>509</v>
      </c>
      <c r="J50" s="22">
        <f>SUMIFS('Parts list'!$C$4:$C$133,'Parts list'!$I$4:$I$133,$G50,'Parts list'!$K$4:$K$133,"Yes")</f>
        <v>2</v>
      </c>
      <c r="K50" s="22">
        <f>$J50*Cost!$B$6</f>
        <v>10</v>
      </c>
      <c r="L50" s="23">
        <v>2E-3</v>
      </c>
      <c r="M50" s="23">
        <v>5.0000000000000001E-4</v>
      </c>
      <c r="N50" s="10"/>
      <c r="O50" s="24" t="str">
        <f>IF(AND($L50&gt;0,$L50&lt;Cost!$B$9),"Yes","")</f>
        <v>Yes</v>
      </c>
      <c r="P50" s="25">
        <f>IF($O50="Yes",MAX($K50*$L50,Cost!$B$8),$K50*$L50)</f>
        <v>0.1</v>
      </c>
      <c r="Q50" s="23">
        <f>$J50*$M50</f>
        <v>1E-3</v>
      </c>
    </row>
    <row r="51" spans="1:17" ht="15.75" customHeight="1">
      <c r="A51" s="9">
        <v>48</v>
      </c>
      <c r="B51" s="7" t="s">
        <v>603</v>
      </c>
      <c r="C51" s="7" t="s">
        <v>150</v>
      </c>
      <c r="D51" s="7" t="s">
        <v>148</v>
      </c>
      <c r="E51" s="7" t="s">
        <v>121</v>
      </c>
      <c r="F51" s="7" t="s">
        <v>149</v>
      </c>
      <c r="G51" s="10" t="s">
        <v>151</v>
      </c>
      <c r="H51" s="10" t="s">
        <v>125</v>
      </c>
      <c r="I51" s="7" t="s">
        <v>146</v>
      </c>
      <c r="J51" s="22">
        <f>SUMIFS('Parts list'!$C$4:$C$133,'Parts list'!$I$4:$I$133,$G51,'Parts list'!$K$4:$K$133,"Yes")</f>
        <v>1</v>
      </c>
      <c r="K51" s="22">
        <f>$J51*Cost!$B$6</f>
        <v>5</v>
      </c>
      <c r="L51" s="23">
        <v>2E-3</v>
      </c>
      <c r="M51" s="23">
        <v>5.9999999999999995E-4</v>
      </c>
      <c r="N51" s="10"/>
      <c r="O51" s="24" t="str">
        <f>IF(AND($L51&gt;0,$L51&lt;Cost!$B$9),"Yes","")</f>
        <v>Yes</v>
      </c>
      <c r="P51" s="25">
        <f>IF($O51="Yes",MAX($K51*$L51,Cost!$B$8),$K51*$L51)</f>
        <v>0.1</v>
      </c>
      <c r="Q51" s="23">
        <f>$J51*$M51</f>
        <v>5.9999999999999995E-4</v>
      </c>
    </row>
    <row r="52" spans="1:1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 customHeight="1">
      <c r="A53" s="16"/>
      <c r="B53" s="16" t="s">
        <v>623</v>
      </c>
      <c r="C53" s="16"/>
      <c r="D53" s="16"/>
      <c r="E53" s="16"/>
      <c r="F53" s="16"/>
      <c r="G53" s="16"/>
      <c r="H53" s="16"/>
      <c r="I53" s="16"/>
      <c r="J53" s="17">
        <f>SUM(J4:J51)</f>
        <v>232</v>
      </c>
      <c r="K53" s="17">
        <f>SUM(K4:K51)</f>
        <v>1160</v>
      </c>
      <c r="L53" s="16"/>
      <c r="M53" s="16"/>
      <c r="N53" s="16"/>
      <c r="O53" s="26">
        <f>COUNTIF(O4:O51,"Yes")</f>
        <v>29</v>
      </c>
      <c r="P53" s="18">
        <f>SUM(P4:P51)</f>
        <v>138.83999999999992</v>
      </c>
      <c r="Q53" s="27">
        <f>SUM(Q4:Q51)</f>
        <v>19.648599999999995</v>
      </c>
    </row>
  </sheetData>
  <mergeCells count="2">
    <mergeCell ref="A1:Q1"/>
    <mergeCell ref="A2:Q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8836-0733-438B-8589-A79C814DD365}">
  <dimension ref="A1:G8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7.42578125" customWidth="1"/>
    <col min="2" max="4" width="12.42578125" customWidth="1"/>
    <col min="5" max="5" width="14.42578125" customWidth="1"/>
    <col min="6" max="6" width="12.42578125" customWidth="1"/>
    <col min="7" max="7" width="73.42578125" customWidth="1"/>
  </cols>
  <sheetData>
    <row r="1" spans="1:7" ht="21.75" customHeight="1">
      <c r="A1" s="97" t="s">
        <v>624</v>
      </c>
      <c r="B1" s="102"/>
      <c r="C1" s="102"/>
      <c r="D1" s="102"/>
      <c r="E1" s="102"/>
      <c r="F1" s="102"/>
      <c r="G1" s="102"/>
    </row>
    <row r="2" spans="1:7" ht="30" customHeight="1">
      <c r="A2" s="96" t="s">
        <v>625</v>
      </c>
      <c r="B2" s="102"/>
      <c r="C2" s="102"/>
      <c r="D2" s="102"/>
      <c r="E2" s="102"/>
      <c r="F2" s="102"/>
      <c r="G2" s="102"/>
    </row>
    <row r="3" spans="1:7">
      <c r="A3" s="1"/>
      <c r="B3" s="1"/>
      <c r="C3" s="1"/>
      <c r="D3" s="1"/>
      <c r="E3" s="1"/>
      <c r="F3" s="1"/>
      <c r="G3" s="1"/>
    </row>
    <row r="4" spans="1:7">
      <c r="A4" s="3" t="s">
        <v>626</v>
      </c>
      <c r="B4" s="28" t="s">
        <v>4</v>
      </c>
      <c r="C4" s="28" t="s">
        <v>5</v>
      </c>
      <c r="D4" s="3"/>
      <c r="E4" s="3"/>
      <c r="F4" s="3"/>
      <c r="G4" s="3" t="s">
        <v>627</v>
      </c>
    </row>
    <row r="5" spans="1:7">
      <c r="A5" s="6" t="s">
        <v>628</v>
      </c>
      <c r="B5" s="58">
        <v>31.7</v>
      </c>
      <c r="C5" s="6" t="s">
        <v>629</v>
      </c>
      <c r="D5" s="6"/>
      <c r="E5" s="6"/>
      <c r="F5" s="6"/>
      <c r="G5" s="8" t="s">
        <v>630</v>
      </c>
    </row>
    <row r="6" spans="1:7">
      <c r="A6" s="29" t="s">
        <v>631</v>
      </c>
      <c r="B6" s="59">
        <v>5</v>
      </c>
      <c r="C6" s="29" t="s">
        <v>632</v>
      </c>
      <c r="D6" s="29"/>
      <c r="E6" s="29"/>
      <c r="F6" s="29"/>
      <c r="G6" s="53" t="s">
        <v>633</v>
      </c>
    </row>
    <row r="7" spans="1:7">
      <c r="A7" s="6" t="s">
        <v>634</v>
      </c>
      <c r="B7" s="59">
        <v>100</v>
      </c>
      <c r="C7" s="6" t="s">
        <v>632</v>
      </c>
      <c r="D7" s="6"/>
      <c r="E7" s="6"/>
      <c r="F7" s="6"/>
      <c r="G7" s="8" t="s">
        <v>635</v>
      </c>
    </row>
    <row r="8" spans="1:7" ht="27" customHeight="1">
      <c r="A8" s="29" t="s">
        <v>636</v>
      </c>
      <c r="B8" s="60">
        <v>0.1</v>
      </c>
      <c r="C8" s="29" t="s">
        <v>637</v>
      </c>
      <c r="D8" s="29"/>
      <c r="E8" s="29"/>
      <c r="F8" s="29"/>
      <c r="G8" s="53" t="s">
        <v>638</v>
      </c>
    </row>
    <row r="9" spans="1:7" ht="27" customHeight="1">
      <c r="A9" s="6" t="s">
        <v>639</v>
      </c>
      <c r="B9" s="60">
        <v>0.05</v>
      </c>
      <c r="C9" s="6" t="s">
        <v>637</v>
      </c>
      <c r="D9" s="6"/>
      <c r="E9" s="6"/>
      <c r="F9" s="6"/>
      <c r="G9" s="8" t="s">
        <v>640</v>
      </c>
    </row>
    <row r="10" spans="1:7" ht="42.75" customHeight="1">
      <c r="A10" s="29" t="s">
        <v>641</v>
      </c>
      <c r="B10" s="59">
        <v>1500</v>
      </c>
      <c r="C10" s="29" t="s">
        <v>8</v>
      </c>
      <c r="D10" s="29"/>
      <c r="E10" s="29"/>
      <c r="F10" s="29"/>
      <c r="G10" s="53" t="str">
        <f>"WARNING above; = "&amp;TEXT(B10*B6,"#,##0")&amp;" NTD for "&amp;TEXT(B6,"0")&amp;" boards incl. bare PCBs and assembly fees; excl. shipping, import tax, programmers, enclosure, proof-of-concept hardware and a possible assembly-fixture fee"</f>
        <v>WARNING above; = 7,500 NTD for 5 boards incl. bare PCBs and assembly fees; excl. shipping, import tax, programmers, enclosure, proof-of-concept hardware and a possible assembly-fixture fee</v>
      </c>
    </row>
    <row r="11" spans="1:7" ht="56.25" customHeight="1">
      <c r="A11" s="6" t="s">
        <v>642</v>
      </c>
      <c r="B11" s="59">
        <v>1700</v>
      </c>
      <c r="C11" s="6" t="s">
        <v>8</v>
      </c>
      <c r="D11" s="6"/>
      <c r="E11" s="6"/>
      <c r="F11" s="6"/>
      <c r="G11" s="8" t="s">
        <v>643</v>
      </c>
    </row>
    <row r="12" spans="1:7">
      <c r="A12" s="6"/>
      <c r="B12" s="6"/>
      <c r="C12" s="6"/>
      <c r="D12" s="6"/>
      <c r="E12" s="6"/>
      <c r="F12" s="6"/>
      <c r="G12" s="8"/>
    </row>
    <row r="13" spans="1:7">
      <c r="A13" s="32" t="s">
        <v>644</v>
      </c>
      <c r="B13" s="33" t="s">
        <v>4</v>
      </c>
      <c r="C13" s="33" t="s">
        <v>5</v>
      </c>
      <c r="D13" s="32"/>
      <c r="E13" s="32"/>
      <c r="F13" s="32"/>
      <c r="G13" s="54" t="s">
        <v>645</v>
      </c>
    </row>
    <row r="14" spans="1:7">
      <c r="A14" s="6" t="s">
        <v>646</v>
      </c>
      <c r="B14" s="31">
        <f>COUNTIF('Parts list'!$K$4:$K$133,"Yes")</f>
        <v>122</v>
      </c>
      <c r="C14" s="6" t="s">
        <v>24</v>
      </c>
      <c r="D14" s="6"/>
      <c r="E14" s="6"/>
      <c r="F14" s="6"/>
      <c r="G14" s="8" t="s">
        <v>647</v>
      </c>
    </row>
    <row r="15" spans="1:7">
      <c r="A15" s="29" t="s">
        <v>29</v>
      </c>
      <c r="B15" s="30">
        <f>SUMIFS('Parts list'!$C$4:$C$133,'Parts list'!$K$4:$K$133,"Yes",'Parts list'!$M$4:$M$133,"&gt;0",'Parts list'!$B$4:$B$133,"&lt;&gt;PCB")</f>
        <v>231</v>
      </c>
      <c r="C15" s="29" t="s">
        <v>30</v>
      </c>
      <c r="D15" s="29"/>
      <c r="E15" s="29"/>
      <c r="F15" s="29"/>
      <c r="G15" s="53" t="s">
        <v>648</v>
      </c>
    </row>
    <row r="16" spans="1:7">
      <c r="A16" s="6" t="s">
        <v>649</v>
      </c>
      <c r="B16" s="31">
        <f>SUMIFS('Parts list'!$C$4:$C$133,'Parts list'!$K$4:$K$133,"Yes",'Parts list'!$N$4:$N$133,"&gt;0")</f>
        <v>1</v>
      </c>
      <c r="C16" s="6" t="s">
        <v>30</v>
      </c>
      <c r="D16" s="6"/>
      <c r="E16" s="6"/>
      <c r="F16" s="6"/>
      <c r="G16" s="8" t="s">
        <v>650</v>
      </c>
    </row>
    <row r="17" spans="1:7" ht="27" customHeight="1">
      <c r="A17" s="29" t="s">
        <v>651</v>
      </c>
      <c r="B17" s="30">
        <f>SUMIFS('Parts list'!$W$4:$W$133,'Parts list'!$J$4:$J$133,"Extended")</f>
        <v>19</v>
      </c>
      <c r="C17" s="29" t="s">
        <v>32</v>
      </c>
      <c r="D17" s="29"/>
      <c r="E17" s="29"/>
      <c r="F17" s="29"/>
      <c r="G17" s="53" t="s">
        <v>652</v>
      </c>
    </row>
    <row r="18" spans="1:7">
      <c r="A18" s="6" t="s">
        <v>33</v>
      </c>
      <c r="B18" s="31">
        <f>SUMIFS('Parts list'!$W$4:$W$133,'Parts list'!$J$4:$J$133,"Basic")</f>
        <v>29</v>
      </c>
      <c r="C18" s="6" t="s">
        <v>32</v>
      </c>
      <c r="D18" s="6"/>
      <c r="E18" s="6"/>
      <c r="F18" s="6"/>
      <c r="G18" s="8" t="s">
        <v>653</v>
      </c>
    </row>
    <row r="19" spans="1:7">
      <c r="A19" s="29" t="s">
        <v>654</v>
      </c>
      <c r="B19" s="30">
        <f>B17+B18</f>
        <v>48</v>
      </c>
      <c r="C19" s="29" t="s">
        <v>32</v>
      </c>
      <c r="D19" s="29"/>
      <c r="E19" s="29"/>
      <c r="F19" s="29"/>
      <c r="G19" s="53" t="s">
        <v>655</v>
      </c>
    </row>
    <row r="20" spans="1:7">
      <c r="A20" s="6" t="s">
        <v>35</v>
      </c>
      <c r="B20" s="31" cm="1">
        <f t="array" ref="B20">SUMPRODUCT(('Parts list'!$K$4:$K$133="Yes")*('Parts list'!$B$4:$B$133&lt;&gt;"PCB")*'Parts list'!$C$4:$C$133*'Parts list'!$M$4:$M$133)</f>
        <v>690</v>
      </c>
      <c r="C20" s="6" t="s">
        <v>36</v>
      </c>
      <c r="D20" s="6"/>
      <c r="E20" s="6"/>
      <c r="F20" s="6"/>
      <c r="G20" s="8" t="s">
        <v>656</v>
      </c>
    </row>
    <row r="21" spans="1:7">
      <c r="A21" s="29" t="s">
        <v>38</v>
      </c>
      <c r="B21" s="30" cm="1">
        <f t="array" ref="B21">SUMPRODUCT(('Parts list'!$K$4:$K$133="Yes")*'Parts list'!$C$4:$C$133*'Parts list'!$N$4:$N$133)</f>
        <v>7</v>
      </c>
      <c r="C21" s="29" t="s">
        <v>36</v>
      </c>
      <c r="D21" s="29"/>
      <c r="E21" s="29"/>
      <c r="F21" s="29"/>
      <c r="G21" s="53" t="s">
        <v>657</v>
      </c>
    </row>
    <row r="22" spans="1:7" ht="27" customHeight="1">
      <c r="A22" s="6" t="s">
        <v>658</v>
      </c>
      <c r="B22" s="31">
        <f>SUMIFS('Parts list'!$C$4:$C$133,'Parts list'!$K$4:$K$133,"Yes",'Parts list'!$L$4:$L$133,"Yes")</f>
        <v>8</v>
      </c>
      <c r="C22" s="6" t="s">
        <v>30</v>
      </c>
      <c r="D22" s="6"/>
      <c r="E22" s="6"/>
      <c r="F22" s="6"/>
      <c r="G22" s="8" t="s">
        <v>659</v>
      </c>
    </row>
    <row r="23" spans="1:7">
      <c r="A23" s="34" t="s">
        <v>660</v>
      </c>
      <c r="B23" s="30">
        <f>SUMIFS('Parts list'!$C$4:$C$133,'Parts list'!$K$4:$K$133,"Yes",'Parts list'!$L$4:$L$133,"Yes",'Parts list'!$D$4:$D$133,"Oscillator*")</f>
        <v>3</v>
      </c>
      <c r="C23" s="29" t="s">
        <v>30</v>
      </c>
      <c r="D23" s="29"/>
      <c r="E23" s="29"/>
      <c r="F23" s="29"/>
      <c r="G23" s="53" t="s">
        <v>661</v>
      </c>
    </row>
    <row r="24" spans="1:7">
      <c r="A24" s="35" t="s">
        <v>662</v>
      </c>
      <c r="B24" s="31">
        <f>SUMIFS('Parts list'!$W$4:$W$133,'Parts list'!$J$4:$J$133,"Extended",'Parts list'!$N$4:$N$133,"&gt;0")</f>
        <v>1</v>
      </c>
      <c r="C24" s="6" t="s">
        <v>32</v>
      </c>
      <c r="D24" s="6"/>
      <c r="E24" s="6"/>
      <c r="F24" s="6"/>
      <c r="G24" s="8" t="s">
        <v>663</v>
      </c>
    </row>
    <row r="25" spans="1:7" ht="27" customHeight="1">
      <c r="A25" s="29" t="s">
        <v>664</v>
      </c>
      <c r="B25" s="36">
        <f>SUM('Purchasing list'!$P$4:$P$51)</f>
        <v>138.83999999999992</v>
      </c>
      <c r="C25" s="29" t="s">
        <v>637</v>
      </c>
      <c r="D25" s="29"/>
      <c r="E25" s="29"/>
      <c r="F25" s="29"/>
      <c r="G25" s="53" t="s">
        <v>665</v>
      </c>
    </row>
    <row r="26" spans="1:7">
      <c r="A26" s="35" t="s">
        <v>666</v>
      </c>
      <c r="B26" s="37">
        <f>B25-SUMIFS('Parts list'!$S$4:$S$133,'Parts list'!$B$4:$B$133,"&lt;&gt;PCB")</f>
        <v>0.89899999999977354</v>
      </c>
      <c r="C26" s="6" t="s">
        <v>637</v>
      </c>
      <c r="D26" s="6"/>
      <c r="E26" s="6"/>
      <c r="F26" s="6"/>
      <c r="G26" s="8" t="s">
        <v>667</v>
      </c>
    </row>
    <row r="27" spans="1:7">
      <c r="A27" s="29" t="s">
        <v>668</v>
      </c>
      <c r="B27" s="36">
        <f>SUMIFS('Parts list'!$S$4:$S$133,'Parts list'!$B$4:$B$133,"PCB")</f>
        <v>10</v>
      </c>
      <c r="C27" s="29" t="s">
        <v>637</v>
      </c>
      <c r="D27" s="29"/>
      <c r="E27" s="29"/>
      <c r="F27" s="29"/>
      <c r="G27" s="53" t="s">
        <v>669</v>
      </c>
    </row>
    <row r="28" spans="1:7">
      <c r="A28" s="6" t="s">
        <v>670</v>
      </c>
      <c r="B28" s="37">
        <f>SUMIFS('Parts list'!$T$4:$T$133,'Parts list'!$B$4:$B$133,"&lt;&gt;PCB")/$B$7</f>
        <v>19.648599999999988</v>
      </c>
      <c r="C28" s="6" t="s">
        <v>637</v>
      </c>
      <c r="D28" s="6"/>
      <c r="E28" s="6"/>
      <c r="F28" s="6"/>
      <c r="G28" s="8" t="s">
        <v>671</v>
      </c>
    </row>
    <row r="29" spans="1:7">
      <c r="A29" s="29" t="s">
        <v>672</v>
      </c>
      <c r="B29" s="36">
        <f>SUMIFS('Parts list'!$T$4:$T$133,'Parts list'!$B$4:$B$133,"PCB")/$B$7</f>
        <v>0.8</v>
      </c>
      <c r="C29" s="29" t="s">
        <v>637</v>
      </c>
      <c r="D29" s="29"/>
      <c r="E29" s="29"/>
      <c r="F29" s="29"/>
      <c r="G29" s="53" t="s">
        <v>673</v>
      </c>
    </row>
    <row r="30" spans="1:7">
      <c r="A30" s="6"/>
      <c r="B30" s="6"/>
      <c r="C30" s="6"/>
      <c r="D30" s="6"/>
      <c r="E30" s="6"/>
      <c r="F30" s="6"/>
      <c r="G30" s="8"/>
    </row>
    <row r="31" spans="1:7">
      <c r="A31" s="32" t="str">
        <f>"5-board sample run — "&amp;TEXT($B$6,"0")&amp;" boards, JLCPCB Economic PCBA"</f>
        <v>5-board sample run — 5 boards, JLCPCB Economic PCBA</v>
      </c>
      <c r="B31" s="32"/>
      <c r="C31" s="32"/>
      <c r="D31" s="32"/>
      <c r="E31" s="32"/>
      <c r="F31" s="32"/>
      <c r="G31" s="54"/>
    </row>
    <row r="32" spans="1:7">
      <c r="A32" s="38" t="s">
        <v>674</v>
      </c>
      <c r="B32" s="39" t="s">
        <v>675</v>
      </c>
      <c r="C32" s="39" t="s">
        <v>676</v>
      </c>
      <c r="D32" s="39" t="s">
        <v>677</v>
      </c>
      <c r="E32" s="39" t="s">
        <v>637</v>
      </c>
      <c r="F32" s="39" t="s">
        <v>8</v>
      </c>
      <c r="G32" s="55" t="s">
        <v>6</v>
      </c>
    </row>
    <row r="33" spans="1:7">
      <c r="A33" s="6" t="s">
        <v>678</v>
      </c>
      <c r="B33" s="31"/>
      <c r="C33" s="40"/>
      <c r="D33" s="61">
        <v>8.18</v>
      </c>
      <c r="E33" s="37">
        <f>B33*C33+D33</f>
        <v>8.18</v>
      </c>
      <c r="F33" s="31">
        <f>E33*$B$5</f>
        <v>259.30599999999998</v>
      </c>
      <c r="G33" s="8" t="s">
        <v>679</v>
      </c>
    </row>
    <row r="34" spans="1:7">
      <c r="A34" s="29" t="s">
        <v>680</v>
      </c>
      <c r="B34" s="30"/>
      <c r="C34" s="41"/>
      <c r="D34" s="61">
        <v>1.53</v>
      </c>
      <c r="E34" s="36">
        <f>B34*C34+D34</f>
        <v>1.53</v>
      </c>
      <c r="F34" s="30">
        <f>E34*$B$5</f>
        <v>48.500999999999998</v>
      </c>
      <c r="G34" s="53" t="s">
        <v>679</v>
      </c>
    </row>
    <row r="35" spans="1:7" ht="27" customHeight="1">
      <c r="A35" s="6" t="s">
        <v>31</v>
      </c>
      <c r="B35" s="31">
        <f>B17</f>
        <v>19</v>
      </c>
      <c r="C35" s="62">
        <v>3.07</v>
      </c>
      <c r="D35" s="37"/>
      <c r="E35" s="37">
        <f>B35*C35+D35</f>
        <v>58.33</v>
      </c>
      <c r="F35" s="31">
        <f>E35*$B$5</f>
        <v>1849.0609999999999</v>
      </c>
      <c r="G35" s="8" t="str">
        <f>TEXT(B35,"0")&amp;" fitted Extended part types × US$"&amp;TEXT(C35,"0.00")&amp;", incl. the through-hole 4.4 mm jack (counted conservatively)"</f>
        <v>19 fitted Extended part types × US$3.07, incl. the through-hole 4.4 mm jack (counted conservatively)</v>
      </c>
    </row>
    <row r="36" spans="1:7">
      <c r="A36" s="29" t="s">
        <v>681</v>
      </c>
      <c r="B36" s="30">
        <f>B20*$B$6</f>
        <v>3450</v>
      </c>
      <c r="C36" s="62">
        <v>1.6000000000000001E-3</v>
      </c>
      <c r="D36" s="36"/>
      <c r="E36" s="36">
        <f>B36*C36+D36</f>
        <v>5.5200000000000005</v>
      </c>
      <c r="F36" s="30">
        <f>E36*$B$5</f>
        <v>174.98400000000001</v>
      </c>
      <c r="G36" s="53" t="str">
        <f>TEXT(B20,"#,##0")&amp;" joints per board × "&amp;TEXT($B$6,"0")&amp;" boards"</f>
        <v>690 joints per board × 5 boards</v>
      </c>
    </row>
    <row r="37" spans="1:7" ht="27" customHeight="1">
      <c r="A37" s="6" t="s">
        <v>682</v>
      </c>
      <c r="B37" s="31">
        <f>B22*$B$6</f>
        <v>40</v>
      </c>
      <c r="C37" s="62">
        <v>0.82</v>
      </c>
      <c r="D37" s="37"/>
      <c r="E37" s="37">
        <f>B37*C37+D37</f>
        <v>32.799999999999997</v>
      </c>
      <c r="F37" s="31">
        <f>E37*$B$5</f>
        <v>1039.76</v>
      </c>
      <c r="G37" s="8" t="str">
        <f>TEXT(B22,"0")&amp;" leadless parts per board × "&amp;TEXT($B$6,"0")&amp;" boards (11–50-part tier); includes the "&amp;TEXT(B23,"0")&amp;" oscillators (counted conservatively)"</f>
        <v>8 leadless parts per board × 5 boards (11–50-part tier); includes the 3 oscillators (counted conservatively)</v>
      </c>
    </row>
    <row r="38" spans="1:7" ht="27" customHeight="1">
      <c r="A38" s="29" t="s">
        <v>683</v>
      </c>
      <c r="B38" s="30">
        <f>B21*$B$6</f>
        <v>35</v>
      </c>
      <c r="C38" s="62">
        <v>1.6400000000000001E-2</v>
      </c>
      <c r="D38" s="61">
        <v>3.58</v>
      </c>
      <c r="E38" s="36">
        <f>IF(B38=0,0,B38*C38+D38)</f>
        <v>4.1539999999999999</v>
      </c>
      <c r="F38" s="30">
        <f>E38*$B$5</f>
        <v>131.68179999999998</v>
      </c>
      <c r="G38" s="53" t="str">
        <f>"4.4 mm jack: "&amp;TEXT(B21,"0")&amp;" joints per board × "&amp;TEXT($B$6,"0")&amp;" boards, plus the hand-soldering fee per order"</f>
        <v>4.4 mm jack: 7 joints per board × 5 boards, plus the hand-soldering fee per order</v>
      </c>
    </row>
    <row r="39" spans="1:7">
      <c r="A39" s="6" t="s">
        <v>684</v>
      </c>
      <c r="B39" s="31"/>
      <c r="C39" s="40"/>
      <c r="D39" s="61">
        <v>0.45</v>
      </c>
      <c r="E39" s="37">
        <f>B39*C39+D39</f>
        <v>0.45</v>
      </c>
      <c r="F39" s="31">
        <f>E39*$B$5</f>
        <v>14.265000000000001</v>
      </c>
      <c r="G39" s="8" t="s">
        <v>679</v>
      </c>
    </row>
    <row r="40" spans="1:7">
      <c r="A40" s="42" t="s">
        <v>685</v>
      </c>
      <c r="B40" s="43"/>
      <c r="C40" s="44"/>
      <c r="D40" s="45"/>
      <c r="E40" s="45">
        <f>SUM(E33:E39)</f>
        <v>110.96399999999998</v>
      </c>
      <c r="F40" s="43">
        <f>E40*$B$5</f>
        <v>3517.5587999999993</v>
      </c>
      <c r="G40" s="56"/>
    </row>
    <row r="41" spans="1:7">
      <c r="A41" s="6"/>
      <c r="B41" s="6"/>
      <c r="C41" s="6"/>
      <c r="D41" s="6"/>
      <c r="E41" s="6"/>
      <c r="F41" s="6"/>
      <c r="G41" s="8"/>
    </row>
    <row r="42" spans="1:7">
      <c r="A42" s="38" t="s">
        <v>686</v>
      </c>
      <c r="B42" s="39"/>
      <c r="C42" s="39"/>
      <c r="D42" s="39"/>
      <c r="E42" s="39" t="s">
        <v>637</v>
      </c>
      <c r="F42" s="39" t="s">
        <v>8</v>
      </c>
      <c r="G42" s="55" t="s">
        <v>6</v>
      </c>
    </row>
    <row r="43" spans="1:7">
      <c r="A43" s="6" t="s">
        <v>7</v>
      </c>
      <c r="B43" s="6"/>
      <c r="C43" s="6"/>
      <c r="D43" s="6"/>
      <c r="E43" s="37">
        <f>B25</f>
        <v>138.83999999999992</v>
      </c>
      <c r="F43" s="31">
        <f>E43*$B$5</f>
        <v>4401.2279999999973</v>
      </c>
      <c r="G43" s="8" t="s">
        <v>687</v>
      </c>
    </row>
    <row r="44" spans="1:7">
      <c r="A44" s="29" t="s">
        <v>9</v>
      </c>
      <c r="B44" s="29"/>
      <c r="C44" s="29"/>
      <c r="D44" s="29"/>
      <c r="E44" s="36">
        <f>B27</f>
        <v>10</v>
      </c>
      <c r="F44" s="30">
        <f>E44*$B$5</f>
        <v>317</v>
      </c>
      <c r="G44" s="53" t="str">
        <f>TEXT($B$6,"0")&amp;" boards; Parts list PCB row"</f>
        <v>5 boards; Parts list PCB row</v>
      </c>
    </row>
    <row r="45" spans="1:7">
      <c r="A45" s="6" t="s">
        <v>688</v>
      </c>
      <c r="B45" s="6"/>
      <c r="C45" s="6"/>
      <c r="D45" s="6"/>
      <c r="E45" s="37">
        <f>E40</f>
        <v>110.96399999999998</v>
      </c>
      <c r="F45" s="31">
        <f>E45*$B$5</f>
        <v>3517.5587999999993</v>
      </c>
      <c r="G45" s="8" t="s">
        <v>689</v>
      </c>
    </row>
    <row r="46" spans="1:7">
      <c r="A46" s="42" t="s">
        <v>11</v>
      </c>
      <c r="B46" s="42"/>
      <c r="C46" s="42"/>
      <c r="D46" s="42"/>
      <c r="E46" s="45">
        <f>SUM(E43:E45)</f>
        <v>259.80399999999992</v>
      </c>
      <c r="F46" s="43">
        <f>E46*$B$5</f>
        <v>8235.786799999998</v>
      </c>
      <c r="G46" s="56" t="str">
        <f>"for "&amp;TEXT($B$6,"0")&amp;" boards"</f>
        <v>for 5 boards</v>
      </c>
    </row>
    <row r="47" spans="1:7">
      <c r="A47" s="42" t="s">
        <v>12</v>
      </c>
      <c r="B47" s="42"/>
      <c r="C47" s="42"/>
      <c r="D47" s="42"/>
      <c r="E47" s="45">
        <f>E46/$B$6</f>
        <v>51.960799999999985</v>
      </c>
      <c r="F47" s="43">
        <f>E47*$B$5</f>
        <v>1647.1573599999995</v>
      </c>
      <c r="G47" s="56" t="s">
        <v>690</v>
      </c>
    </row>
    <row r="48" spans="1:7">
      <c r="A48" s="6" t="s">
        <v>13</v>
      </c>
      <c r="B48" s="6"/>
      <c r="C48" s="6"/>
      <c r="D48" s="6"/>
      <c r="E48" s="6"/>
      <c r="F48" s="31">
        <f>$B$10</f>
        <v>1500</v>
      </c>
      <c r="G48" s="8" t="str">
        <f>"input B10; "&amp;TEXT($B$10*$B$6,"#,##0")&amp;" NTD for "&amp;TEXT($B$6,"0")&amp;" boards; WARNING above"</f>
        <v>input B10; 7,500 NTD for 5 boards; WARNING above</v>
      </c>
    </row>
    <row r="49" spans="1:7" ht="42.75" customHeight="1">
      <c r="A49" s="29" t="s">
        <v>14</v>
      </c>
      <c r="B49" s="29"/>
      <c r="C49" s="29"/>
      <c r="D49" s="29"/>
      <c r="E49" s="29"/>
      <c r="F49" s="30">
        <f>$B$11</f>
        <v>1700</v>
      </c>
      <c r="G49" s="53" t="s">
        <v>691</v>
      </c>
    </row>
    <row r="50" spans="1:7">
      <c r="A50" s="6" t="s">
        <v>692</v>
      </c>
      <c r="B50" s="6"/>
      <c r="C50" s="6"/>
      <c r="D50" s="6"/>
      <c r="E50" s="6"/>
      <c r="F50" s="46">
        <f>F48-F47</f>
        <v>-147.15735999999947</v>
      </c>
      <c r="G50" s="8" t="str">
        <f>IF(F50&gt;=0,"within the target",TEXT(-F50,"#,##0")&amp;" NTD over the target ("&amp;TEXT(-F50/F48,"0.0%")&amp;")")</f>
        <v>147 NTD over the target (9.8%)</v>
      </c>
    </row>
    <row r="51" spans="1:7">
      <c r="A51" s="29" t="s">
        <v>693</v>
      </c>
      <c r="B51" s="29"/>
      <c r="C51" s="29"/>
      <c r="D51" s="29"/>
      <c r="E51" s="29"/>
      <c r="F51" s="47">
        <f>F49-F47</f>
        <v>52.842640000000529</v>
      </c>
      <c r="G51" s="53" t="str">
        <f>IF(F51&gt;=0,TEXT(F51,"#,##0")&amp;" NTD under the ceiling",TEXT(-F51,"#,##0")&amp;" NTD over the ceiling")</f>
        <v>53 NTD under the ceiling</v>
      </c>
    </row>
    <row r="52" spans="1:7">
      <c r="A52" s="48" t="s">
        <v>18</v>
      </c>
      <c r="B52" s="48"/>
      <c r="C52" s="48"/>
      <c r="D52" s="48"/>
      <c r="E52" s="48"/>
      <c r="F52" s="49" t="str">
        <f>IF(F47&lt;=F48,"PASS",IF(F47&lt;=F49,"WARNING","FAIL"))</f>
        <v>WARNING</v>
      </c>
      <c r="G52" s="57" t="str">
        <f>"PASS ≤ "&amp;TEXT(F48,"#,##0")&amp;" NTD per board (target); WARNING ≤ "&amp;TEXT(F49,"#,##0")&amp;" (ceiling, hard order gate); FAIL &gt; "&amp;TEXT(F49,"#,##0")</f>
        <v>PASS ≤ 1,500 NTD per board (target); WARNING ≤ 1,700 (ceiling, hard order gate); FAIL &gt; 1,700</v>
      </c>
    </row>
    <row r="53" spans="1:7">
      <c r="A53" s="6"/>
      <c r="B53" s="6"/>
      <c r="C53" s="6"/>
      <c r="D53" s="6"/>
      <c r="E53" s="6"/>
      <c r="F53" s="6"/>
      <c r="G53" s="8"/>
    </row>
    <row r="54" spans="1:7">
      <c r="A54" s="32" t="s">
        <v>694</v>
      </c>
      <c r="B54" s="32"/>
      <c r="C54" s="32"/>
      <c r="D54" s="32"/>
      <c r="E54" s="32"/>
      <c r="F54" s="32"/>
      <c r="G54" s="54"/>
    </row>
    <row r="55" spans="1:7">
      <c r="A55" s="38" t="s">
        <v>591</v>
      </c>
      <c r="B55" s="39" t="s">
        <v>675</v>
      </c>
      <c r="C55" s="39" t="s">
        <v>676</v>
      </c>
      <c r="D55" s="39" t="s">
        <v>695</v>
      </c>
      <c r="E55" s="39" t="s">
        <v>696</v>
      </c>
      <c r="F55" s="39" t="s">
        <v>16</v>
      </c>
      <c r="G55" s="55" t="s">
        <v>6</v>
      </c>
    </row>
    <row r="56" spans="1:7" ht="27" customHeight="1">
      <c r="A56" s="6" t="s">
        <v>697</v>
      </c>
      <c r="B56" s="31">
        <f>B24</f>
        <v>1</v>
      </c>
      <c r="C56" s="40">
        <f>C35</f>
        <v>3.07</v>
      </c>
      <c r="D56" s="37"/>
      <c r="E56" s="50">
        <f>-B56*C56</f>
        <v>-3.07</v>
      </c>
      <c r="F56" s="46">
        <f>E56*$B$5/$B$6</f>
        <v>-19.463799999999999</v>
      </c>
      <c r="G56" s="8" t="s">
        <v>698</v>
      </c>
    </row>
    <row r="57" spans="1:7" ht="27" customHeight="1">
      <c r="A57" s="29" t="s">
        <v>699</v>
      </c>
      <c r="B57" s="30">
        <f>B23*$B$6</f>
        <v>15</v>
      </c>
      <c r="C57" s="41">
        <f>C37</f>
        <v>0.82</v>
      </c>
      <c r="D57" s="36"/>
      <c r="E57" s="51">
        <f>-B57*C57</f>
        <v>-12.299999999999999</v>
      </c>
      <c r="F57" s="47">
        <f>E57*$B$5/$B$6</f>
        <v>-77.981999999999999</v>
      </c>
      <c r="G57" s="53" t="str">
        <f>"JLCPCB X-rays ""BGA, QFN, and other leadless packages""; oscillators are not named; "&amp;IF(B23=0,"no oscillator counted",TEXT(B23,"0")&amp;" oscillators × "&amp;TEXT(F57/B23,"+0.0;-0.0")&amp;" NTD per board each")&amp;"; counted above"</f>
        <v>JLCPCB X-rays "BGA, QFN, and other leadless packages"; oscillators are not named; 3 oscillators × -26.0 NTD per board each; counted above</v>
      </c>
    </row>
    <row r="58" spans="1:7">
      <c r="A58" s="42" t="s">
        <v>700</v>
      </c>
      <c r="B58" s="43"/>
      <c r="C58" s="44"/>
      <c r="D58" s="45"/>
      <c r="E58" s="42"/>
      <c r="F58" s="43">
        <f>F47+F56+F57</f>
        <v>1549.7115599999995</v>
      </c>
      <c r="G58" s="56" t="str">
        <f>"≈ "&amp;TEXT(F58,"#,##0")&amp;" NTD per board — "&amp;IF(F58&lt;=F48,"under","over")&amp;" the "&amp;TEXT(F48,"#,##0")&amp;" NTD target"</f>
        <v>≈ 1,550 NTD per board — over the 1,500 NTD target</v>
      </c>
    </row>
    <row r="59" spans="1:7" ht="27" customHeight="1">
      <c r="A59" s="29" t="s">
        <v>701</v>
      </c>
      <c r="B59" s="30">
        <f>SUMIFS('Parts list'!$R$4:$R$133,'Parts list'!$B$4:$B$133,"J701")</f>
        <v>5</v>
      </c>
      <c r="C59" s="41">
        <f>SUMIFS('Parts list'!$O$4:$O$133,'Parts list'!$B$4:$B$133,"J701")</f>
        <v>6.8655999999999997</v>
      </c>
      <c r="D59" s="36">
        <f>B59*C59</f>
        <v>34.327999999999996</v>
      </c>
      <c r="E59" s="29"/>
      <c r="F59" s="30">
        <f>D59*$B$5/$B$6</f>
        <v>217.63951999999995</v>
      </c>
      <c r="G59" s="53" t="str">
        <f>"no cheaper 4.4 mm jack at LCSC (SMD option not available); each US$1.00 off its unit price would save "&amp;TEXT($B$5,"0.0")&amp;" NTD per board"</f>
        <v>no cheaper 4.4 mm jack at LCSC (SMD option not available); each US$1.00 off its unit price would save 31.7 NTD per board</v>
      </c>
    </row>
    <row r="60" spans="1:7">
      <c r="A60" s="6" t="s">
        <v>702</v>
      </c>
      <c r="B60" s="6"/>
      <c r="C60" s="6"/>
      <c r="D60" s="6"/>
      <c r="E60" s="37">
        <f>F60*$B$6/$B$5</f>
        <v>23.2109400630914</v>
      </c>
      <c r="F60" s="52">
        <f>MAX(0,F47-F48)</f>
        <v>147.15735999999947</v>
      </c>
      <c r="G60" s="8" t="str">
        <f>"per-board reduction that brings the total to the "&amp;TEXT(F48,"#,##0")&amp;" NTD target"</f>
        <v>per-board reduction that brings the total to the 1,500 NTD target</v>
      </c>
    </row>
    <row r="61" spans="1:7" ht="42.75" customHeight="1">
      <c r="A61" s="29" t="s">
        <v>703</v>
      </c>
      <c r="B61" s="30">
        <f>SUMIFS('Parts list'!$R$4:$R$133,'Parts list'!$B$4:$B$133,"U403, U404")</f>
        <v>10</v>
      </c>
      <c r="C61" s="62">
        <v>2.67</v>
      </c>
      <c r="D61" s="36">
        <f>B61*SUMIFS('Parts list'!$O$4:$O$133,'Parts list'!$B$4:$B$133,"U403, U404")</f>
        <v>10.035</v>
      </c>
      <c r="E61" s="51">
        <f>B61*C61-D61</f>
        <v>16.664999999999999</v>
      </c>
      <c r="F61" s="47">
        <f>E61*$B$5/$B$6</f>
        <v>105.6561</v>
      </c>
      <c r="G61" s="53" t="str">
        <f>"JLCPCB part-page price counted (the PCBA order is charged at JLCPCB prices; JLCPCB available 76 → reserve "&amp;TEXT(B61,"0")&amp;"); at the LCSC price (input C61, 10+ tier) the board would cost ≈ "&amp;TEXT(F47+F61,"#,##0")&amp;" NTD — "&amp;IF(F47+F61&gt;F49,"above","within")&amp;" the ceiling"</f>
        <v>JLCPCB part-page price counted (the PCBA order is charged at JLCPCB prices; JLCPCB available 76 → reserve 10); at the LCSC price (input C61, 10+ tier) the board would cost ≈ 1,753 NTD — above the ceiling</v>
      </c>
    </row>
    <row r="62" spans="1:7">
      <c r="A62" s="6"/>
      <c r="B62" s="6"/>
      <c r="C62" s="6"/>
      <c r="D62" s="6"/>
      <c r="E62" s="6"/>
      <c r="F62" s="6"/>
      <c r="G62" s="8"/>
    </row>
    <row r="63" spans="1:7">
      <c r="A63" s="32" t="str">
        <f>"100-unit reference — "&amp;TEXT($B$7,"0")&amp;" boards, JLCPCB Standard PCBA (reference only; not the budget basis)"</f>
        <v>100-unit reference — 100 boards, JLCPCB Standard PCBA (reference only; not the budget basis)</v>
      </c>
      <c r="B63" s="32"/>
      <c r="C63" s="32"/>
      <c r="D63" s="32"/>
      <c r="E63" s="32"/>
      <c r="F63" s="32"/>
      <c r="G63" s="54"/>
    </row>
    <row r="64" spans="1:7">
      <c r="A64" s="38" t="s">
        <v>674</v>
      </c>
      <c r="B64" s="39" t="s">
        <v>675</v>
      </c>
      <c r="C64" s="39" t="s">
        <v>676</v>
      </c>
      <c r="D64" s="39" t="s">
        <v>677</v>
      </c>
      <c r="E64" s="39" t="s">
        <v>637</v>
      </c>
      <c r="F64" s="39" t="s">
        <v>8</v>
      </c>
      <c r="G64" s="55" t="s">
        <v>6</v>
      </c>
    </row>
    <row r="65" spans="1:7">
      <c r="A65" s="6" t="s">
        <v>704</v>
      </c>
      <c r="B65" s="31"/>
      <c r="C65" s="40"/>
      <c r="D65" s="61">
        <v>25.56</v>
      </c>
      <c r="E65" s="37">
        <f>B65*C65+D65</f>
        <v>25.56</v>
      </c>
      <c r="F65" s="31">
        <f>E65*$B$5</f>
        <v>810.25199999999995</v>
      </c>
      <c r="G65" s="8" t="s">
        <v>679</v>
      </c>
    </row>
    <row r="66" spans="1:7">
      <c r="A66" s="29" t="s">
        <v>680</v>
      </c>
      <c r="B66" s="30"/>
      <c r="C66" s="41"/>
      <c r="D66" s="61">
        <v>8.2100000000000009</v>
      </c>
      <c r="E66" s="36">
        <f>B66*C66+D66</f>
        <v>8.2100000000000009</v>
      </c>
      <c r="F66" s="30">
        <f>E66*$B$5</f>
        <v>260.25700000000001</v>
      </c>
      <c r="G66" s="53" t="s">
        <v>679</v>
      </c>
    </row>
    <row r="67" spans="1:7">
      <c r="A67" s="6" t="s">
        <v>705</v>
      </c>
      <c r="B67" s="31"/>
      <c r="C67" s="40"/>
      <c r="D67" s="61">
        <v>41.04</v>
      </c>
      <c r="E67" s="37">
        <f>B67*C67+D67</f>
        <v>41.04</v>
      </c>
      <c r="F67" s="31">
        <f>E67*$B$5</f>
        <v>1300.9679999999998</v>
      </c>
      <c r="G67" s="8" t="s">
        <v>706</v>
      </c>
    </row>
    <row r="68" spans="1:7">
      <c r="A68" s="29" t="s">
        <v>707</v>
      </c>
      <c r="B68" s="30">
        <f>B19</f>
        <v>48</v>
      </c>
      <c r="C68" s="62">
        <v>1.53</v>
      </c>
      <c r="D68" s="36"/>
      <c r="E68" s="36">
        <f>B68*C68+D68</f>
        <v>73.44</v>
      </c>
      <c r="F68" s="30">
        <f>E68*$B$5</f>
        <v>2328.0479999999998</v>
      </c>
      <c r="G68" s="53" t="str">
        <f>TEXT(B68,"0")&amp;" part types (Extended + Basic) × US$"&amp;TEXT(C68,"0.00")</f>
        <v>48 part types (Extended + Basic) × US$1.53</v>
      </c>
    </row>
    <row r="69" spans="1:7">
      <c r="A69" s="6" t="s">
        <v>681</v>
      </c>
      <c r="B69" s="31">
        <f>B20*$B$7</f>
        <v>69000</v>
      </c>
      <c r="C69" s="62">
        <v>1.6000000000000001E-3</v>
      </c>
      <c r="D69" s="37"/>
      <c r="E69" s="37">
        <f>B69*C69+D69</f>
        <v>110.4</v>
      </c>
      <c r="F69" s="31">
        <f>E69*$B$5</f>
        <v>3499.6800000000003</v>
      </c>
      <c r="G69" s="8" t="str">
        <f>TEXT(B20,"#,##0")&amp;" joints per board × "&amp;TEXT($B$7,"0")&amp;" boards"</f>
        <v>690 joints per board × 100 boards</v>
      </c>
    </row>
    <row r="70" spans="1:7">
      <c r="A70" s="29" t="s">
        <v>682</v>
      </c>
      <c r="B70" s="30">
        <f>B22*$B$7</f>
        <v>800</v>
      </c>
      <c r="C70" s="62">
        <v>0.25</v>
      </c>
      <c r="D70" s="36"/>
      <c r="E70" s="36">
        <f>B70*C70+D70</f>
        <v>200</v>
      </c>
      <c r="F70" s="30">
        <f>E70*$B$5</f>
        <v>6340</v>
      </c>
      <c r="G70" s="53" t="str">
        <f>TEXT(B22,"0")&amp;" leadless parts per board × "&amp;TEXT($B$7,"0")&amp;" boards (501–1,000-part tier)"</f>
        <v>8 leadless parts per board × 100 boards (501–1,000-part tier)</v>
      </c>
    </row>
    <row r="71" spans="1:7" ht="27" customHeight="1">
      <c r="A71" s="6" t="s">
        <v>683</v>
      </c>
      <c r="B71" s="31">
        <f>B21*$B$7</f>
        <v>700</v>
      </c>
      <c r="C71" s="62">
        <v>1.6400000000000001E-2</v>
      </c>
      <c r="D71" s="61">
        <v>3.58</v>
      </c>
      <c r="E71" s="37">
        <f>IF(B71=0,0,B71*C71+D71)</f>
        <v>15.06</v>
      </c>
      <c r="F71" s="31">
        <f>E71*$B$5</f>
        <v>477.40199999999999</v>
      </c>
      <c r="G71" s="8" t="str">
        <f>"4.4 mm jack: "&amp;TEXT(B21,"0")&amp;" joints per board × "&amp;TEXT($B$7,"0")&amp;" boards, plus the hand-soldering fee per order"</f>
        <v>4.4 mm jack: 7 joints per board × 100 boards, plus the hand-soldering fee per order</v>
      </c>
    </row>
    <row r="72" spans="1:7">
      <c r="A72" s="29" t="s">
        <v>684</v>
      </c>
      <c r="B72" s="30"/>
      <c r="C72" s="41"/>
      <c r="D72" s="61">
        <v>0.45</v>
      </c>
      <c r="E72" s="36">
        <f>B72*C72+D72</f>
        <v>0.45</v>
      </c>
      <c r="F72" s="30">
        <f>E72*$B$5</f>
        <v>14.265000000000001</v>
      </c>
      <c r="G72" s="53" t="s">
        <v>679</v>
      </c>
    </row>
    <row r="73" spans="1:7">
      <c r="A73" s="42" t="s">
        <v>685</v>
      </c>
      <c r="B73" s="43"/>
      <c r="C73" s="44"/>
      <c r="D73" s="45"/>
      <c r="E73" s="45">
        <f>SUM(E65:E72)</f>
        <v>474.15999999999997</v>
      </c>
      <c r="F73" s="43">
        <f>E73*$B$5</f>
        <v>15030.871999999999</v>
      </c>
      <c r="G73" s="56"/>
    </row>
    <row r="74" spans="1:7">
      <c r="A74" s="6"/>
      <c r="B74" s="6"/>
      <c r="C74" s="6"/>
      <c r="D74" s="6"/>
      <c r="E74" s="6"/>
      <c r="F74" s="6"/>
      <c r="G74" s="8"/>
    </row>
    <row r="75" spans="1:7">
      <c r="A75" s="38" t="s">
        <v>708</v>
      </c>
      <c r="B75" s="39"/>
      <c r="C75" s="39"/>
      <c r="D75" s="39"/>
      <c r="E75" s="39" t="s">
        <v>637</v>
      </c>
      <c r="F75" s="39" t="s">
        <v>8</v>
      </c>
      <c r="G75" s="55" t="s">
        <v>6</v>
      </c>
    </row>
    <row r="76" spans="1:7">
      <c r="A76" s="6" t="s">
        <v>709</v>
      </c>
      <c r="B76" s="6"/>
      <c r="C76" s="6"/>
      <c r="D76" s="6"/>
      <c r="E76" s="37">
        <f>B28</f>
        <v>19.648599999999988</v>
      </c>
      <c r="F76" s="31">
        <f>E76*$B$5</f>
        <v>622.86061999999959</v>
      </c>
      <c r="G76" s="8" t="s">
        <v>710</v>
      </c>
    </row>
    <row r="77" spans="1:7">
      <c r="A77" s="29" t="s">
        <v>711</v>
      </c>
      <c r="B77" s="29"/>
      <c r="C77" s="29"/>
      <c r="D77" s="29"/>
      <c r="E77" s="36">
        <f>B29</f>
        <v>0.8</v>
      </c>
      <c r="F77" s="30">
        <f>E77*$B$5</f>
        <v>25.36</v>
      </c>
      <c r="G77" s="53" t="s">
        <v>673</v>
      </c>
    </row>
    <row r="78" spans="1:7">
      <c r="A78" s="6" t="s">
        <v>712</v>
      </c>
      <c r="B78" s="6"/>
      <c r="C78" s="6"/>
      <c r="D78" s="6"/>
      <c r="E78" s="37">
        <f>E73/$B$7</f>
        <v>4.7416</v>
      </c>
      <c r="F78" s="31">
        <f>E78*$B$5</f>
        <v>150.30871999999999</v>
      </c>
      <c r="G78" s="8" t="str">
        <f>"order total ÷ "&amp;TEXT($B$7,"0")&amp;" boards"</f>
        <v>order total ÷ 100 boards</v>
      </c>
    </row>
    <row r="79" spans="1:7">
      <c r="A79" s="42" t="s">
        <v>713</v>
      </c>
      <c r="B79" s="42"/>
      <c r="C79" s="42"/>
      <c r="D79" s="42"/>
      <c r="E79" s="45">
        <f>SUM(E76:E78)</f>
        <v>25.19019999999999</v>
      </c>
      <c r="F79" s="43">
        <f>E79*$B$5</f>
        <v>798.52933999999971</v>
      </c>
      <c r="G79" s="56" t="s">
        <v>714</v>
      </c>
    </row>
    <row r="80" spans="1:7">
      <c r="A80" s="6"/>
      <c r="B80" s="6"/>
      <c r="C80" s="6"/>
      <c r="D80" s="6"/>
      <c r="E80" s="6"/>
      <c r="F80" s="6"/>
      <c r="G80" s="8"/>
    </row>
    <row r="81" spans="1:7" ht="30" customHeight="1">
      <c r="A81" s="98" t="s">
        <v>715</v>
      </c>
      <c r="B81" s="99"/>
      <c r="C81" s="99"/>
      <c r="D81" s="99"/>
      <c r="E81" s="99"/>
      <c r="F81" s="99"/>
      <c r="G81" s="93"/>
    </row>
  </sheetData>
  <mergeCells count="3">
    <mergeCell ref="A1:G1"/>
    <mergeCell ref="A2:G2"/>
    <mergeCell ref="A81:G81"/>
  </mergeCells>
  <conditionalFormatting sqref="F52">
    <cfRule type="containsText" dxfId="6" priority="1" operator="containsText" text="PASS">
      <formula>NOT(ISERROR(SEARCH("PASS",F52)))</formula>
    </cfRule>
  </conditionalFormatting>
  <conditionalFormatting sqref="F52">
    <cfRule type="containsText" dxfId="5" priority="2" operator="containsText" text="WARNING">
      <formula>NOT(ISERROR(SEARCH("WARNING",F52)))</formula>
    </cfRule>
  </conditionalFormatting>
  <conditionalFormatting sqref="F52">
    <cfRule type="containsText" dxfId="4" priority="3" operator="containsText" text="FAIL">
      <formula>NOT(ISERROR(SEARCH("FAIL",F52)))</formula>
    </cfRule>
  </conditionalFormatting>
  <conditionalFormatting sqref="F50:F51">
    <cfRule type="cellIs" dxfId="3" priority="4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4572-F92D-48C1-B65D-8CDEAA2E265D}">
  <dimension ref="A1:B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6.42578125" customWidth="1"/>
    <col min="2" max="2" width="131.42578125" customWidth="1"/>
  </cols>
  <sheetData>
    <row r="1" spans="1:2" ht="21.75" customHeight="1">
      <c r="A1" s="97" t="s">
        <v>716</v>
      </c>
      <c r="B1" s="102"/>
    </row>
    <row r="2" spans="1:2" ht="15" customHeight="1">
      <c r="A2" s="103" t="s">
        <v>717</v>
      </c>
      <c r="B2" s="102"/>
    </row>
    <row r="3" spans="1:2">
      <c r="A3" s="1"/>
      <c r="B3" s="1"/>
    </row>
    <row r="4" spans="1:2" ht="15.75" customHeight="1">
      <c r="A4" s="104" t="s">
        <v>718</v>
      </c>
      <c r="B4" s="104"/>
    </row>
    <row r="5" spans="1:2" ht="29.25" customHeight="1">
      <c r="A5" s="92">
        <v>1</v>
      </c>
      <c r="B5" s="8" t="str">
        <f>"Covers every component of every circuit: "&amp;TEXT(COUNTA('Parts list'!$B$4:$B$133),"0")&amp;" BOM lines ("&amp;TEXT(Cost!B14,"0")&amp;" fitted, "&amp;TEXT(COUNTIF('Parts list'!$K$4:$K$133,"DNF"),"0")&amp;" DNF), "&amp;TEXT(Cost!B15,"0")&amp;" SMT-placed parts and "&amp;TEXT(Cost!B16,"0")&amp;" through-hole part (4.4 mm jack) per board; "&amp;TEXT(COUNTA('Purchasing list'!$C$4:$C$51),"0")&amp;" purchasing lines."</f>
        <v>Covers every component of every circuit: 130 BOM lines (122 fitted, 4 DNF), 231 SMT-placed parts and 1 through-hole part (4.4 mm jack) per board; 48 purchasing lines.</v>
      </c>
    </row>
    <row r="6" spans="1:2" ht="29.25" customHeight="1">
      <c r="A6" s="92">
        <v>2</v>
      </c>
      <c r="B6" s="8" t="s">
        <v>719</v>
      </c>
    </row>
    <row r="7" spans="1:2" ht="29.25" customHeight="1">
      <c r="A7" s="92">
        <v>3</v>
      </c>
      <c r="B7" s="8" t="s">
        <v>720</v>
      </c>
    </row>
    <row r="8" spans="1:2" ht="42.75" customHeight="1">
      <c r="A8" s="92">
        <v>4</v>
      </c>
      <c r="B8" s="8" t="s">
        <v>721</v>
      </c>
    </row>
    <row r="9" spans="1:2" ht="42.75" customHeight="1">
      <c r="A9" s="92">
        <v>5</v>
      </c>
      <c r="B9" s="8" t="s">
        <v>722</v>
      </c>
    </row>
    <row r="10" spans="1:2">
      <c r="A10" s="92"/>
      <c r="B10" s="8"/>
    </row>
    <row r="11" spans="1:2" ht="15.75" customHeight="1">
      <c r="A11" s="100" t="s">
        <v>723</v>
      </c>
      <c r="B11" s="101"/>
    </row>
    <row r="12" spans="1:2" ht="29.25" customHeight="1">
      <c r="A12" s="92">
        <v>1</v>
      </c>
      <c r="B12" s="8" t="s">
        <v>724</v>
      </c>
    </row>
    <row r="13" spans="1:2" ht="29.25" customHeight="1">
      <c r="A13" s="92">
        <v>2</v>
      </c>
      <c r="B13" s="8" t="s">
        <v>725</v>
      </c>
    </row>
    <row r="14" spans="1:2" ht="29.25" customHeight="1">
      <c r="A14" s="92">
        <v>3</v>
      </c>
      <c r="B14" s="8" t="s">
        <v>726</v>
      </c>
    </row>
    <row r="15" spans="1:2" ht="29.25" customHeight="1">
      <c r="A15" s="92">
        <v>4</v>
      </c>
      <c r="B15" s="8" t="s">
        <v>727</v>
      </c>
    </row>
    <row r="16" spans="1:2" ht="15.75" customHeight="1">
      <c r="A16" s="92">
        <v>5</v>
      </c>
      <c r="B16" s="8" t="s">
        <v>728</v>
      </c>
    </row>
    <row r="17" spans="1:2" ht="15.75" customHeight="1">
      <c r="A17" s="92">
        <v>6</v>
      </c>
      <c r="B17" s="8" t="s">
        <v>729</v>
      </c>
    </row>
    <row r="18" spans="1:2" ht="29.25" customHeight="1">
      <c r="A18" s="92">
        <v>7</v>
      </c>
      <c r="B18" s="8" t="s">
        <v>730</v>
      </c>
    </row>
    <row r="19" spans="1:2" ht="29.25" customHeight="1">
      <c r="A19" s="92">
        <v>8</v>
      </c>
      <c r="B19" s="8" t="s">
        <v>731</v>
      </c>
    </row>
    <row r="20" spans="1:2" ht="29.25" customHeight="1">
      <c r="A20" s="92">
        <v>9</v>
      </c>
      <c r="B20" s="8" t="s">
        <v>732</v>
      </c>
    </row>
    <row r="21" spans="1:2" ht="29.25" customHeight="1">
      <c r="A21" s="92">
        <v>10</v>
      </c>
      <c r="B21" s="8" t="s">
        <v>733</v>
      </c>
    </row>
    <row r="22" spans="1:2" ht="29.25" customHeight="1">
      <c r="A22" s="92">
        <v>11</v>
      </c>
      <c r="B22" s="8" t="s">
        <v>734</v>
      </c>
    </row>
    <row r="23" spans="1:2" ht="29.25" customHeight="1">
      <c r="A23" s="92">
        <v>12</v>
      </c>
      <c r="B23" s="8" t="s">
        <v>735</v>
      </c>
    </row>
    <row r="24" spans="1:2" ht="29.25" customHeight="1">
      <c r="A24" s="92">
        <v>13</v>
      </c>
      <c r="B24" s="8" t="s">
        <v>736</v>
      </c>
    </row>
    <row r="25" spans="1:2" ht="42.75" customHeight="1">
      <c r="A25" s="92">
        <v>14</v>
      </c>
      <c r="B25" s="8" t="s">
        <v>737</v>
      </c>
    </row>
    <row r="26" spans="1:2" ht="29.25" customHeight="1">
      <c r="A26" s="92">
        <v>15</v>
      </c>
      <c r="B26" s="8" t="s">
        <v>738</v>
      </c>
    </row>
    <row r="27" spans="1:2" ht="56.25" customHeight="1">
      <c r="A27" s="92">
        <v>16</v>
      </c>
      <c r="B27" s="8" t="s">
        <v>739</v>
      </c>
    </row>
    <row r="28" spans="1:2" ht="56.25" customHeight="1">
      <c r="A28" s="92">
        <v>17</v>
      </c>
      <c r="B28" s="8" t="s">
        <v>740</v>
      </c>
    </row>
    <row r="29" spans="1:2" ht="15.75" customHeight="1">
      <c r="A29" s="100" t="s">
        <v>741</v>
      </c>
      <c r="B29" s="101"/>
    </row>
    <row r="30" spans="1:2" ht="42.75" customHeight="1">
      <c r="A30" s="92">
        <v>1</v>
      </c>
      <c r="B30" s="8" t="s">
        <v>742</v>
      </c>
    </row>
    <row r="31" spans="1:2" ht="42.75" customHeight="1">
      <c r="A31" s="92">
        <v>2</v>
      </c>
      <c r="B31" s="8" t="str">
        <f>"Minimum: US$"&amp;TEXT(Cost!B8,"0.00")&amp;" per purchasing line for parts under US$"&amp;TEXT(Cost!B9,"0.00")&amp;" (attrition / minimum-quantity allowance): line cost = MAX(qty for the run × unit price, US$"&amp;TEXT(Cost!B8,"0.00")&amp;"). It applies to "&amp;TEXT('Purchasing list'!O53,"0")&amp;" of the "&amp;TEXT(COUNTA('Purchasing list'!$C$4:$C$51),"0")&amp;" purchasing lines and adds US$"&amp;TEXT(Cost!B26,"0.00")&amp;" to the run."</f>
        <v>Minimum: US$0.10 per purchasing line for parts under US$0.05 (attrition / minimum-quantity allowance): line cost = MAX(qty for the run × unit price, US$0.10). It applies to 29 of the 48 purchasing lines and adds US$0.90 to the run.</v>
      </c>
    </row>
    <row r="32" spans="1:2" ht="15.75" customHeight="1">
      <c r="A32" s="92">
        <v>3</v>
      </c>
      <c r="B32" s="8" t="str">
        <f>"Exchange rate: "&amp;TEXT(Cost!B5,"0.0")&amp;" NTD per US$, fixed for the cost gate; the single input cell Cost!B5 drives every NTD figure."</f>
        <v>Exchange rate: 31.7 NTD per US$, fixed for the cost gate; the single input cell Cost!B5 drives every NTD figure.</v>
      </c>
    </row>
    <row r="33" spans="1:2" ht="29.25" customHeight="1">
      <c r="A33" s="92">
        <v>4</v>
      </c>
      <c r="B33" s="8" t="str">
        <f>"Bare PCBs (estimate): 4 layers, ≤ 80 × 60 mm, 90 Ω USB pair; US$"&amp;TEXT(SUMIFS('Parts list'!$O$4:$O$133,'Parts list'!$B$4:$B$133,"PCB"),"0.00")&amp;" per board for the 5-board run (US$"&amp;TEXT(Cost!B27,"0")&amp;" for "&amp;TEXT(Cost!B6,"0")&amp;") and US$"&amp;TEXT(SUMIFS('Parts list'!$P$4:$P$133,'Parts list'!$B$4:$B$133,"PCB"),"0.00")&amp;" per board for the 100-unit reference."</f>
        <v>Bare PCBs (estimate): 4 layers, ≤ 80 × 60 mm, 90 Ω USB pair; US$2.00 per board for the 5-board run (US$10 for 5) and US$0.80 per board for the 100-unit reference.</v>
      </c>
    </row>
    <row r="34" spans="1:2" ht="15.75" customHeight="1">
      <c r="A34" s="92">
        <v>5</v>
      </c>
      <c r="B34" s="8" t="s">
        <v>743</v>
      </c>
    </row>
    <row r="35" spans="1:2" ht="29.25" customHeight="1">
      <c r="A35" s="92">
        <v>6</v>
      </c>
      <c r="B35" s="8" t="s">
        <v>744</v>
      </c>
    </row>
    <row r="36" spans="1:2">
      <c r="A36" s="92"/>
      <c r="B36" s="8"/>
    </row>
    <row r="37" spans="1:2" ht="15.75" customHeight="1">
      <c r="A37" s="100" t="s">
        <v>745</v>
      </c>
      <c r="B37" s="101"/>
    </row>
    <row r="38" spans="1:2" ht="15.75" customHeight="1">
      <c r="A38" s="92">
        <v>1</v>
      </c>
      <c r="B38" s="8" t="str">
        <f>"OPA2210IDR (C1849415, U403, U404): JLCPCB available quantity 76 → reserve "&amp;TEXT(Cost!B61,"0")&amp;" (2 per board); priced at its JLCPCB part page."</f>
        <v>OPA2210IDR (C1849415, U403, U404): JLCPCB available quantity 76 → reserve 10 (2 per board); priced at its JLCPCB part page.</v>
      </c>
    </row>
    <row r="39" spans="1:2" ht="15.75" customHeight="1">
      <c r="A39" s="92">
        <v>2</v>
      </c>
      <c r="B39" s="8" t="s">
        <v>746</v>
      </c>
    </row>
    <row r="40" spans="1:2" ht="15.75" customHeight="1">
      <c r="A40" s="92">
        <v>3</v>
      </c>
      <c r="B40" s="8" t="s">
        <v>747</v>
      </c>
    </row>
    <row r="41" spans="1:2" ht="15.75" customHeight="1">
      <c r="A41" s="92">
        <v>4</v>
      </c>
      <c r="B41" s="8" t="s">
        <v>748</v>
      </c>
    </row>
    <row r="42" spans="1:2" ht="15.75" customHeight="1">
      <c r="A42" s="92">
        <v>5</v>
      </c>
      <c r="B42" s="8" t="s">
        <v>749</v>
      </c>
    </row>
    <row r="43" spans="1:2" ht="29.25" customHeight="1">
      <c r="A43" s="92">
        <v>6</v>
      </c>
      <c r="B43" s="8" t="s">
        <v>750</v>
      </c>
    </row>
    <row r="44" spans="1:2">
      <c r="A44" s="92"/>
      <c r="B44" s="8"/>
    </row>
    <row r="45" spans="1:2" ht="15.75" customHeight="1">
      <c r="A45" s="100" t="s">
        <v>751</v>
      </c>
      <c r="B45" s="101"/>
    </row>
    <row r="46" spans="1:2" ht="29.25" customHeight="1">
      <c r="A46" s="92">
        <v>1</v>
      </c>
      <c r="B46" s="8" t="s">
        <v>752</v>
      </c>
    </row>
    <row r="47" spans="1:2" ht="29.25" customHeight="1">
      <c r="A47" s="92">
        <v>2</v>
      </c>
      <c r="B47" s="8" t="str">
        <f>"Through-hole Extended fee counted conservatively: JLCPCB does not say whether through-hole parts pay it; a third-party guide says they do not. If not charged: "&amp;TEXT(Cost!F56,"+0.0;-0.0")&amp;" NTD per board."</f>
        <v>Through-hole Extended fee counted conservatively: JLCPCB does not say whether through-hole parts pay it; a third-party guide says they do not. If not charged: -19.5 NTD per board.</v>
      </c>
    </row>
    <row r="48" spans="1:2" ht="42.75" customHeight="1">
      <c r="A48" s="92">
        <v>3</v>
      </c>
      <c r="B48" s="8" t="str">
        <f>"Oscillator X-ray counted conservatively: JLCPCB names BGA, QFN and other leadless packages, not oscillators. If the three oscillators (X201, X202, X203) are not X-rayed: "&amp;IF(Cost!B23=0,"+0.0",TEXT(Cost!F57/Cost!B23,"+0.0;-0.0"))&amp;" NTD per board each ("&amp;TEXT(Cost!F57,"+0.0;-0.0")&amp;" together). Without the through-hole fee and the oscillator X-ray: ≈ "&amp;TEXT(Cost!F58,"#,##0")&amp;" NTD per board."</f>
        <v>Oscillator X-ray counted conservatively: JLCPCB names BGA, QFN and other leadless packages, not oscillators. If the three oscillators (X201, X202, X203) are not X-rayed: -26.0 NTD per board each (-78.0 together). Without the through-hole fee and the oscillator X-ray: ≈ 1,550 NTD per board.</v>
      </c>
    </row>
    <row r="49" spans="1:2" ht="29.25" customHeight="1">
      <c r="A49" s="92">
        <v>4</v>
      </c>
      <c r="B49" s="8" t="s">
        <v>753</v>
      </c>
    </row>
    <row r="50" spans="1:2" ht="42.75" customHeight="1">
      <c r="A50" s="92">
        <v>5</v>
      </c>
      <c r="B50" s="8" t="s">
        <v>754</v>
      </c>
    </row>
    <row r="51" spans="1:2">
      <c r="A51" s="92"/>
      <c r="B51" s="8"/>
    </row>
    <row r="52" spans="1:2" ht="15.75" customHeight="1">
      <c r="A52" s="100" t="s">
        <v>755</v>
      </c>
      <c r="B52" s="101"/>
    </row>
    <row r="53" spans="1:2" ht="42.75" customHeight="1">
      <c r="A53" s="92">
        <v>1</v>
      </c>
      <c r="B53" s="8" t="s">
        <v>756</v>
      </c>
    </row>
    <row r="54" spans="1:2" ht="29.25" customHeight="1">
      <c r="A54" s="92">
        <v>2</v>
      </c>
      <c r="B54" s="8" t="s">
        <v>757</v>
      </c>
    </row>
    <row r="55" spans="1:2">
      <c r="A55" s="92"/>
      <c r="B55" s="8"/>
    </row>
    <row r="56" spans="1:2" ht="15.75" customHeight="1">
      <c r="A56" s="100" t="s">
        <v>758</v>
      </c>
      <c r="B56" s="101"/>
    </row>
    <row r="57" spans="1:2" ht="15.75" customHeight="1">
      <c r="A57" s="92">
        <v>1</v>
      </c>
      <c r="B57" s="8" t="s">
        <v>759</v>
      </c>
    </row>
    <row r="58" spans="1:2" ht="29.25" customHeight="1">
      <c r="A58" s="92">
        <v>2</v>
      </c>
      <c r="B58" s="8" t="str">
        <f>"OPA2210 (U403, U404, C1849415): JLCPCB stock 76 and price (JLCPCB US$"&amp;TEXT(SUMIFS('Parts list'!$O$4:$O$133,'Parts list'!$B$4:$B$133,"U403, U404"),"0.00")&amp;" vs LCSC US$"&amp;TEXT(Cost!C61,"0.00")&amp;" at 10+) → reserve "&amp;TEXT(Cost!B61,"0")&amp;" in the JLCPCB parts library; at the LCSC price ≈ "&amp;TEXT(Cost!F47+Cost!F61,"#,##0")&amp;" NTD per board ("&amp;IF(Cost!F47+Cost!F61&gt;Cost!F49,"above","within")&amp;" the ceiling)."</f>
        <v>OPA2210 (U403, U404, C1849415): JLCPCB stock 76 and price (JLCPCB US$1.00 vs LCSC US$2.67 at 10+) → reserve 10 in the JLCPCB parts library; at the LCSC price ≈ 1,753 NTD per board (above the ceiling).</v>
      </c>
    </row>
    <row r="59" spans="1:2" ht="29.25" customHeight="1">
      <c r="A59" s="92">
        <v>3</v>
      </c>
      <c r="B59" s="8" t="str">
        <f>"Cost is "&amp;TEXT(Cost!F47,"#,##0")&amp;" NTD per board — "&amp;Cost!F52&amp;", "&amp;Cost!G51&amp;"; "&amp;Cost!G50&amp;" (conservative) → the JLCPCB quote from the real BOM / CPL files after layout must pass the "&amp;TEXT(Cost!F49,"#,##0")&amp;" NTD ceiling before ordering."</f>
        <v>Cost is 1,647 NTD per board — WARNING, 53 NTD under the ceiling; 147 NTD over the target (9.8%) (conservative) → the JLCPCB quote from the real BOM / CPL files after layout must pass the 1,700 NTD ceiling before ordering.</v>
      </c>
    </row>
    <row r="60" spans="1:2" ht="29.25" customHeight="1">
      <c r="A60" s="92">
        <v>4</v>
      </c>
      <c r="B60" s="8" t="s">
        <v>760</v>
      </c>
    </row>
    <row r="61" spans="1:2" ht="29.25" customHeight="1">
      <c r="A61" s="92">
        <v>5</v>
      </c>
      <c r="B61" s="8" t="s">
        <v>761</v>
      </c>
    </row>
    <row r="62" spans="1:2" ht="42.75" customHeight="1">
      <c r="A62" s="92">
        <v>6</v>
      </c>
      <c r="B62" s="8" t="s">
        <v>762</v>
      </c>
    </row>
    <row r="63" spans="1:2" ht="42.75" customHeight="1">
      <c r="A63" s="92">
        <v>7</v>
      </c>
      <c r="B63" s="8" t="s">
        <v>763</v>
      </c>
    </row>
    <row r="64" spans="1:2" ht="29.25" customHeight="1">
      <c r="A64" s="92">
        <v>8</v>
      </c>
      <c r="B64" s="8" t="s">
        <v>764</v>
      </c>
    </row>
    <row r="65" spans="1:2" ht="177.75" customHeight="1">
      <c r="A65" s="92">
        <v>9</v>
      </c>
      <c r="B65" s="8" t="s">
        <v>765</v>
      </c>
    </row>
    <row r="66" spans="1:2" ht="29.25" customHeight="1">
      <c r="A66" s="92">
        <v>10</v>
      </c>
      <c r="B66" s="8" t="s">
        <v>766</v>
      </c>
    </row>
    <row r="67" spans="1:2" ht="69.75" customHeight="1">
      <c r="A67" s="92">
        <v>11</v>
      </c>
      <c r="B67" s="8" t="s">
        <v>767</v>
      </c>
    </row>
  </sheetData>
  <mergeCells count="9">
    <mergeCell ref="A56:B56"/>
    <mergeCell ref="A1:B1"/>
    <mergeCell ref="A2:B2"/>
    <mergeCell ref="A4:B4"/>
    <mergeCell ref="A11:B11"/>
    <mergeCell ref="A29:B29"/>
    <mergeCell ref="A37:B37"/>
    <mergeCell ref="A45:B45"/>
    <mergeCell ref="A52:B5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07C7-4BD6-461F-BF5D-B5D46EAC7C89}">
  <dimension ref="A1:G3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3.42578125" customWidth="1"/>
    <col min="2" max="4" width="12.42578125" customWidth="1"/>
    <col min="5" max="5" width="11.42578125" customWidth="1"/>
    <col min="6" max="6" width="15.42578125" customWidth="1"/>
    <col min="7" max="7" width="57.42578125" customWidth="1"/>
  </cols>
  <sheetData>
    <row r="1" spans="1:7" ht="21.75" customHeight="1">
      <c r="A1" s="97" t="s">
        <v>768</v>
      </c>
      <c r="B1" s="102"/>
      <c r="C1" s="102"/>
      <c r="D1" s="102"/>
      <c r="E1" s="102"/>
      <c r="F1" s="102"/>
      <c r="G1" s="102"/>
    </row>
    <row r="2" spans="1:7" ht="42.75" customHeight="1">
      <c r="A2" s="96" t="s">
        <v>769</v>
      </c>
      <c r="B2" s="102"/>
      <c r="C2" s="102"/>
      <c r="D2" s="102"/>
      <c r="E2" s="102"/>
      <c r="F2" s="102"/>
      <c r="G2" s="102"/>
    </row>
    <row r="3" spans="1:7">
      <c r="A3" s="1"/>
      <c r="B3" s="1"/>
      <c r="C3" s="1"/>
      <c r="D3" s="1"/>
      <c r="E3" s="1"/>
      <c r="F3" s="1"/>
      <c r="G3" s="1"/>
    </row>
    <row r="4" spans="1:7">
      <c r="A4" s="3" t="s">
        <v>770</v>
      </c>
      <c r="B4" s="4" t="s">
        <v>771</v>
      </c>
      <c r="C4" s="4" t="s">
        <v>772</v>
      </c>
      <c r="D4" s="4" t="s">
        <v>773</v>
      </c>
      <c r="E4" s="4" t="s">
        <v>774</v>
      </c>
      <c r="F4" s="4" t="s">
        <v>775</v>
      </c>
      <c r="G4" s="3" t="s">
        <v>6</v>
      </c>
    </row>
    <row r="5" spans="1:7" ht="15.75" customHeight="1">
      <c r="A5" s="8" t="s">
        <v>776</v>
      </c>
      <c r="B5" s="21">
        <v>130</v>
      </c>
      <c r="C5" s="21">
        <f>COUNTA('Parts list'!$B$4:$B$133)</f>
        <v>130</v>
      </c>
      <c r="D5" s="21">
        <f>C5-B5</f>
        <v>0</v>
      </c>
      <c r="E5" s="89">
        <v>0</v>
      </c>
      <c r="F5" s="75" t="str">
        <f>IF(ABS(D5)&lt;=E5,"OK","CHECK")</f>
        <v>OK</v>
      </c>
      <c r="G5" s="8" t="s">
        <v>777</v>
      </c>
    </row>
    <row r="6" spans="1:7" ht="15.75" customHeight="1">
      <c r="A6" s="53" t="s">
        <v>646</v>
      </c>
      <c r="B6" s="80">
        <v>122</v>
      </c>
      <c r="C6" s="80">
        <f>Cost!B14</f>
        <v>122</v>
      </c>
      <c r="D6" s="80">
        <f>C6-B6</f>
        <v>0</v>
      </c>
      <c r="E6" s="90">
        <v>0</v>
      </c>
      <c r="F6" s="74" t="str">
        <f>IF(ABS(D6)&lt;=E6,"OK","CHECK")</f>
        <v>OK</v>
      </c>
      <c r="G6" s="53" t="s">
        <v>778</v>
      </c>
    </row>
    <row r="7" spans="1:7" ht="15.75" customHeight="1">
      <c r="A7" s="8" t="s">
        <v>29</v>
      </c>
      <c r="B7" s="21">
        <v>231</v>
      </c>
      <c r="C7" s="21">
        <f>Cost!B15</f>
        <v>231</v>
      </c>
      <c r="D7" s="21">
        <f>C7-B7</f>
        <v>0</v>
      </c>
      <c r="E7" s="89">
        <v>0</v>
      </c>
      <c r="F7" s="75" t="str">
        <f>IF(ABS(D7)&lt;=E7,"OK","CHECK")</f>
        <v>OK</v>
      </c>
      <c r="G7" s="8" t="s">
        <v>779</v>
      </c>
    </row>
    <row r="8" spans="1:7" ht="15.75" customHeight="1">
      <c r="A8" s="53" t="s">
        <v>651</v>
      </c>
      <c r="B8" s="80">
        <v>19</v>
      </c>
      <c r="C8" s="80">
        <f>Cost!B17</f>
        <v>19</v>
      </c>
      <c r="D8" s="80">
        <f>C8-B8</f>
        <v>0</v>
      </c>
      <c r="E8" s="90">
        <v>0</v>
      </c>
      <c r="F8" s="74" t="str">
        <f>IF(ABS(D8)&lt;=E8,"OK","CHECK")</f>
        <v>OK</v>
      </c>
      <c r="G8" s="53" t="s">
        <v>780</v>
      </c>
    </row>
    <row r="9" spans="1:7" ht="15.75" customHeight="1">
      <c r="A9" s="8" t="s">
        <v>33</v>
      </c>
      <c r="B9" s="21">
        <v>29</v>
      </c>
      <c r="C9" s="21">
        <f>Cost!B18</f>
        <v>29</v>
      </c>
      <c r="D9" s="21">
        <f>C9-B9</f>
        <v>0</v>
      </c>
      <c r="E9" s="89">
        <v>0</v>
      </c>
      <c r="F9" s="75" t="str">
        <f>IF(ABS(D9)&lt;=E9,"OK","CHECK")</f>
        <v>OK</v>
      </c>
      <c r="G9" s="8" t="s">
        <v>781</v>
      </c>
    </row>
    <row r="10" spans="1:7" ht="15.75" customHeight="1">
      <c r="A10" s="53" t="s">
        <v>40</v>
      </c>
      <c r="B10" s="80">
        <v>8</v>
      </c>
      <c r="C10" s="80">
        <f>Cost!B22</f>
        <v>8</v>
      </c>
      <c r="D10" s="80">
        <f>C10-B10</f>
        <v>0</v>
      </c>
      <c r="E10" s="90">
        <v>0</v>
      </c>
      <c r="F10" s="74" t="str">
        <f>IF(ABS(D10)&lt;=E10,"OK","CHECK")</f>
        <v>OK</v>
      </c>
      <c r="G10" s="53" t="s">
        <v>782</v>
      </c>
    </row>
    <row r="11" spans="1:7" ht="15.75" customHeight="1">
      <c r="A11" s="8" t="s">
        <v>35</v>
      </c>
      <c r="B11" s="21">
        <v>690</v>
      </c>
      <c r="C11" s="21">
        <f>Cost!B20</f>
        <v>690</v>
      </c>
      <c r="D11" s="21">
        <f>C11-B11</f>
        <v>0</v>
      </c>
      <c r="E11" s="89">
        <v>0</v>
      </c>
      <c r="F11" s="75" t="str">
        <f>IF(ABS(D11)&lt;=E11,"OK","CHECK")</f>
        <v>OK</v>
      </c>
      <c r="G11" s="8" t="s">
        <v>783</v>
      </c>
    </row>
    <row r="12" spans="1:7" ht="15.75" customHeight="1">
      <c r="A12" s="53" t="s">
        <v>38</v>
      </c>
      <c r="B12" s="80">
        <v>7</v>
      </c>
      <c r="C12" s="80">
        <f>Cost!B21</f>
        <v>7</v>
      </c>
      <c r="D12" s="80">
        <f>C12-B12</f>
        <v>0</v>
      </c>
      <c r="E12" s="90">
        <v>0</v>
      </c>
      <c r="F12" s="74" t="str">
        <f>IF(ABS(D12)&lt;=E12,"OK","CHECK")</f>
        <v>OK</v>
      </c>
      <c r="G12" s="53" t="s">
        <v>784</v>
      </c>
    </row>
    <row r="13" spans="1:7" ht="15.75" customHeight="1">
      <c r="A13" s="8" t="s">
        <v>27</v>
      </c>
      <c r="B13" s="21">
        <v>48</v>
      </c>
      <c r="C13" s="21">
        <f>COUNTA('Purchasing list'!$C$4:$C$51)</f>
        <v>48</v>
      </c>
      <c r="D13" s="21">
        <f>C13-B13</f>
        <v>0</v>
      </c>
      <c r="E13" s="89">
        <v>0</v>
      </c>
      <c r="F13" s="75" t="str">
        <f>IF(ABS(D13)&lt;=E13,"OK","CHECK")</f>
        <v>OK</v>
      </c>
      <c r="G13" s="8" t="s">
        <v>785</v>
      </c>
    </row>
    <row r="14" spans="1:7" ht="15.75" customHeight="1">
      <c r="A14" s="53" t="s">
        <v>786</v>
      </c>
      <c r="B14" s="80">
        <f>Cost!B17</f>
        <v>19</v>
      </c>
      <c r="C14" s="80">
        <f>COUNTIF('Purchasing list'!$H$4:$H$51,"Extended")</f>
        <v>19</v>
      </c>
      <c r="D14" s="80">
        <f>C14-B14</f>
        <v>0</v>
      </c>
      <c r="E14" s="90">
        <v>0</v>
      </c>
      <c r="F14" s="74" t="str">
        <f>IF(ABS(D14)&lt;=E14,"OK","CHECK")</f>
        <v>OK</v>
      </c>
      <c r="G14" s="53" t="s">
        <v>787</v>
      </c>
    </row>
    <row r="15" spans="1:7" ht="15.75" customHeight="1">
      <c r="A15" s="8" t="s">
        <v>788</v>
      </c>
      <c r="B15" s="21">
        <f>Cost!B18</f>
        <v>29</v>
      </c>
      <c r="C15" s="21">
        <f>COUNTIF('Purchasing list'!$H$4:$H$51,"Basic")</f>
        <v>29</v>
      </c>
      <c r="D15" s="21">
        <f>C15-B15</f>
        <v>0</v>
      </c>
      <c r="E15" s="89">
        <v>0</v>
      </c>
      <c r="F15" s="75" t="str">
        <f>IF(ABS(D15)&lt;=E15,"OK","CHECK")</f>
        <v>OK</v>
      </c>
      <c r="G15" s="8" t="s">
        <v>787</v>
      </c>
    </row>
    <row r="16" spans="1:7" ht="15.75" customHeight="1">
      <c r="A16" s="53" t="s">
        <v>789</v>
      </c>
      <c r="B16" s="80">
        <f>Cost!B15+Cost!B16</f>
        <v>232</v>
      </c>
      <c r="C16" s="80">
        <f>SUM('Purchasing list'!$J$4:$J$51)</f>
        <v>232</v>
      </c>
      <c r="D16" s="80">
        <f>C16-B16</f>
        <v>0</v>
      </c>
      <c r="E16" s="90">
        <v>0</v>
      </c>
      <c r="F16" s="74" t="str">
        <f>IF(ABS(D16)&lt;=E16,"OK","CHECK")</f>
        <v>OK</v>
      </c>
      <c r="G16" s="53" t="s">
        <v>790</v>
      </c>
    </row>
    <row r="17" spans="1:7" ht="29.25" customHeight="1">
      <c r="A17" s="8" t="s">
        <v>791</v>
      </c>
      <c r="B17" s="25">
        <f>SUMIFS('Parts list'!$S$4:$S$133,'Parts list'!$B$4:$B$133,"&lt;&gt;PCB")</f>
        <v>137.94100000000014</v>
      </c>
      <c r="C17" s="25">
        <f>SUMPRODUCT('Purchasing list'!$K$4:$K$51,'Purchasing list'!$L$4:$L$51)</f>
        <v>137.941</v>
      </c>
      <c r="D17" s="25">
        <f>C17-B17</f>
        <v>0</v>
      </c>
      <c r="E17" s="89">
        <v>5.0000000000000001E-3</v>
      </c>
      <c r="F17" s="75" t="str">
        <f>IF(ABS(D17)&lt;=E17,"OK","CHECK")</f>
        <v>OK</v>
      </c>
      <c r="G17" s="8" t="s">
        <v>792</v>
      </c>
    </row>
    <row r="18" spans="1:7" ht="29.25" customHeight="1">
      <c r="A18" s="53" t="s">
        <v>793</v>
      </c>
      <c r="B18" s="84">
        <f>Cost!B28</f>
        <v>19.648599999999988</v>
      </c>
      <c r="C18" s="84">
        <f>SUM('Purchasing list'!$Q$4:$Q$51)</f>
        <v>19.648599999999995</v>
      </c>
      <c r="D18" s="84">
        <f>C18-B18</f>
        <v>0</v>
      </c>
      <c r="E18" s="90">
        <v>5.0000000000000001E-3</v>
      </c>
      <c r="F18" s="74" t="str">
        <f>IF(ABS(D18)&lt;=E18,"OK","CHECK")</f>
        <v>OK</v>
      </c>
      <c r="G18" s="53" t="s">
        <v>792</v>
      </c>
    </row>
    <row r="19" spans="1:7" ht="29.25" customHeight="1">
      <c r="A19" s="8" t="s">
        <v>794</v>
      </c>
      <c r="B19" s="25">
        <f>Cost!E46</f>
        <v>259.80399999999992</v>
      </c>
      <c r="C19" s="25">
        <f>SUM('Purchasing list'!$P$4:$P$51)+SUMIFS('Parts list'!$S$4:$S$133,'Parts list'!$B$4:$B$133,"PCB")+SUM(Cost!$E$33:$E$39)</f>
        <v>259.80399999999992</v>
      </c>
      <c r="D19" s="25">
        <f>C19-B19</f>
        <v>0</v>
      </c>
      <c r="E19" s="89">
        <v>5.0000000000000001E-3</v>
      </c>
      <c r="F19" s="75" t="str">
        <f>IF(ABS(D19)&lt;=E19,"OK","CHECK")</f>
        <v>OK</v>
      </c>
      <c r="G19" s="8" t="s">
        <v>795</v>
      </c>
    </row>
    <row r="20" spans="1:7" ht="15.75" customHeight="1">
      <c r="A20" s="53" t="s">
        <v>796</v>
      </c>
      <c r="B20" s="80">
        <f>Cost!F46</f>
        <v>8235.786799999998</v>
      </c>
      <c r="C20" s="80">
        <f>Summary!B9</f>
        <v>8235.786799999998</v>
      </c>
      <c r="D20" s="80">
        <f>C20-B20</f>
        <v>0</v>
      </c>
      <c r="E20" s="90">
        <v>5.0000000000000001E-3</v>
      </c>
      <c r="F20" s="74" t="str">
        <f>IF(ABS(D20)&lt;=E20,"OK","CHECK")</f>
        <v>OK</v>
      </c>
      <c r="G20" s="53" t="s">
        <v>797</v>
      </c>
    </row>
    <row r="21" spans="1:7" ht="15.75" customHeight="1">
      <c r="A21" s="8" t="s">
        <v>798</v>
      </c>
      <c r="B21" s="25">
        <v>138.84</v>
      </c>
      <c r="C21" s="25">
        <f>Cost!E43</f>
        <v>138.83999999999992</v>
      </c>
      <c r="D21" s="25">
        <f>C21-B21</f>
        <v>0</v>
      </c>
      <c r="E21" s="89">
        <v>0.01</v>
      </c>
      <c r="F21" s="75" t="str">
        <f>IF(ABS(D21)&lt;=E21,"OK","CHECK")</f>
        <v>OK</v>
      </c>
      <c r="G21" s="8" t="s">
        <v>799</v>
      </c>
    </row>
    <row r="22" spans="1:7" ht="15.75" customHeight="1">
      <c r="A22" s="53" t="s">
        <v>800</v>
      </c>
      <c r="B22" s="79">
        <v>259.8</v>
      </c>
      <c r="C22" s="79">
        <f>Cost!E46</f>
        <v>259.80399999999992</v>
      </c>
      <c r="D22" s="79">
        <f>C22-B22</f>
        <v>3.9999999999054126E-3</v>
      </c>
      <c r="E22" s="90">
        <v>0.01</v>
      </c>
      <c r="F22" s="74" t="str">
        <f>IF(ABS(D22)&lt;=E22,"OK","CHECK")</f>
        <v>OK</v>
      </c>
      <c r="G22" s="53" t="s">
        <v>799</v>
      </c>
    </row>
    <row r="23" spans="1:7" ht="15.75" customHeight="1">
      <c r="A23" s="8" t="s">
        <v>801</v>
      </c>
      <c r="B23" s="21">
        <v>1647</v>
      </c>
      <c r="C23" s="21">
        <f>Cost!F47</f>
        <v>1647.1573599999995</v>
      </c>
      <c r="D23" s="21">
        <f>C23-B23</f>
        <v>0.15735999999947126</v>
      </c>
      <c r="E23" s="89">
        <v>1</v>
      </c>
      <c r="F23" s="75" t="str">
        <f>IF(ABS(D23)&lt;=E23,"OK","CHECK")</f>
        <v>OK</v>
      </c>
      <c r="G23" s="8" t="s">
        <v>802</v>
      </c>
    </row>
    <row r="24" spans="1:7" ht="29.25" customHeight="1">
      <c r="A24" s="53" t="s">
        <v>803</v>
      </c>
      <c r="B24" s="85">
        <v>202</v>
      </c>
      <c r="C24" s="85">
        <f>Summary!C40</f>
        <v>201.96704</v>
      </c>
      <c r="D24" s="85">
        <f>C24-B24</f>
        <v>-3.2960000000002765E-2</v>
      </c>
      <c r="E24" s="90">
        <v>1</v>
      </c>
      <c r="F24" s="74" t="str">
        <f>IF(ABS(D24)&lt;=E24,"OK","CHECK")</f>
        <v>OK</v>
      </c>
      <c r="G24" s="53" t="s">
        <v>804</v>
      </c>
    </row>
    <row r="25" spans="1:7" ht="15.75" customHeight="1">
      <c r="A25" s="8" t="s">
        <v>805</v>
      </c>
      <c r="B25" s="21">
        <v>799</v>
      </c>
      <c r="C25" s="21">
        <f>Cost!F79</f>
        <v>798.52933999999971</v>
      </c>
      <c r="D25" s="21">
        <f>C25-B25</f>
        <v>-0.47066000000029362</v>
      </c>
      <c r="E25" s="89">
        <v>1</v>
      </c>
      <c r="F25" s="75" t="str">
        <f>IF(ABS(D25)&lt;=E25,"OK","CHECK")</f>
        <v>OK</v>
      </c>
      <c r="G25" s="8" t="s">
        <v>802</v>
      </c>
    </row>
    <row r="26" spans="1:7" ht="29.25" customHeight="1">
      <c r="A26" s="53" t="s">
        <v>806</v>
      </c>
      <c r="B26" s="80">
        <v>1550</v>
      </c>
      <c r="C26" s="80">
        <f>Cost!F58</f>
        <v>1549.7115599999995</v>
      </c>
      <c r="D26" s="80">
        <f>C26-B26</f>
        <v>-0.28844000000049164</v>
      </c>
      <c r="E26" s="90">
        <v>1</v>
      </c>
      <c r="F26" s="74" t="str">
        <f>IF(ABS(D26)&lt;=E26,"OK","CHECK")</f>
        <v>OK</v>
      </c>
      <c r="G26" s="53" t="s">
        <v>807</v>
      </c>
    </row>
    <row r="27" spans="1:7" ht="42.75" customHeight="1">
      <c r="A27" s="8" t="s">
        <v>808</v>
      </c>
      <c r="B27" s="21">
        <v>0</v>
      </c>
      <c r="C27" s="21">
        <f>COUNTIFS('Parts list'!$K$4:$K$133,"Yes",'Parts list'!$B$4:$B$133,"&lt;&gt;PCB")-COUNTIFS('Parts list'!$K$4:$K$133,"Yes",'Parts list'!$B$4:$B$133,"&lt;&gt;PCB",'Parts list'!$I$4:$I$133,"C*",'Parts list'!$J$4:$J$133,"Basic")-COUNTIFS('Parts list'!$K$4:$K$133,"Yes",'Parts list'!$B$4:$B$133,"&lt;&gt;PCB",'Parts list'!$I$4:$I$133,"C*",'Parts list'!$J$4:$J$133,"Extended")</f>
        <v>0</v>
      </c>
      <c r="D27" s="21">
        <f>C27-B27</f>
        <v>0</v>
      </c>
      <c r="E27" s="89">
        <v>0</v>
      </c>
      <c r="F27" s="75" t="str">
        <f>IF(ABS(D27)&lt;=E27,"OK","CHECK")</f>
        <v>OK</v>
      </c>
      <c r="G27" s="8" t="s">
        <v>809</v>
      </c>
    </row>
    <row r="28" spans="1:7" ht="42.75" customHeight="1">
      <c r="A28" s="53" t="s">
        <v>810</v>
      </c>
      <c r="B28" s="86">
        <f>Cost!F49</f>
        <v>1700</v>
      </c>
      <c r="C28" s="86">
        <f>Cost!F47</f>
        <v>1647.1573599999995</v>
      </c>
      <c r="D28" s="86">
        <f>C28-B28</f>
        <v>-52.842640000000529</v>
      </c>
      <c r="E28" s="90">
        <v>0</v>
      </c>
      <c r="F28" s="74" t="str">
        <f>IF(D28&lt;=E28,"OK","CHECK")</f>
        <v>OK</v>
      </c>
      <c r="G28" s="53" t="str">
        <f>"one-sided: OK at or under the "&amp;TEXT(B28,"#,##0")&amp;" NTD ceiling (hard order gate, set when the third oscillator was added; the JLCPCB quote must pass it); above it the gate is FAIL"</f>
        <v>one-sided: OK at or under the 1,700 NTD ceiling (hard order gate, set when the third oscillator was added; the JLCPCB quote must pass it); above it the gate is FAIL</v>
      </c>
    </row>
    <row r="29" spans="1:7" ht="29.25" customHeight="1">
      <c r="A29" s="8" t="s">
        <v>811</v>
      </c>
      <c r="B29" s="87">
        <f>Cost!F48</f>
        <v>1500</v>
      </c>
      <c r="C29" s="87">
        <f>Cost!F47</f>
        <v>1647.1573599999995</v>
      </c>
      <c r="D29" s="87">
        <f>C29-B29</f>
        <v>147.15735999999947</v>
      </c>
      <c r="E29" s="89">
        <v>0</v>
      </c>
      <c r="F29" s="75" t="str">
        <f>IF(D29&lt;=E29,"OK","WARNING")</f>
        <v>WARNING</v>
      </c>
      <c r="G29" s="8" t="str">
        <f>IF(D29&lt;=E29,"within the target","over the target by "&amp;TEXT(D29,"#,##0")&amp;" NTD per board — allowed up to the ceiling (reported, not a failed check)")</f>
        <v>over the target by 147 NTD per board — allowed up to the ceiling (reported, not a failed check)</v>
      </c>
    </row>
    <row r="30" spans="1:7" ht="42.75" customHeight="1">
      <c r="A30" s="53" t="s">
        <v>812</v>
      </c>
      <c r="B30" s="88" t="s">
        <v>813</v>
      </c>
      <c r="C30" s="88" t="str">
        <f>Cost!F52</f>
        <v>WARNING</v>
      </c>
      <c r="D30" s="53"/>
      <c r="E30" s="90"/>
      <c r="F30" s="74" t="str">
        <f>IF(C30=B30,"OK","CHECK")</f>
        <v>OK</v>
      </c>
      <c r="G30" s="53" t="str">
        <f>"expected WARNING: "&amp;TEXT(C23,"#,##0")&amp;" NTD per board, "&amp;TEXT(B28-C23,"#,##0")&amp;" NTD under the "&amp;TEXT(B28,"#,##0")&amp;" NTD ceiling; on 24 Sep 2026 the owner confirmed the budget is flexible as long as it does not surge"</f>
        <v>expected WARNING: 1,647 NTD per board, 53 NTD under the 1,700 NTD ceiling; on 24 Sep 2026 the owner confirmed the budget is flexible as long as it does not surge</v>
      </c>
    </row>
    <row r="31" spans="1:7">
      <c r="A31" s="1"/>
      <c r="B31" s="1"/>
      <c r="C31" s="1"/>
      <c r="D31" s="1"/>
      <c r="E31" s="1"/>
      <c r="F31" s="1"/>
      <c r="G31" s="1"/>
    </row>
    <row r="32" spans="1:7" ht="30" customHeight="1">
      <c r="A32" s="56" t="s">
        <v>814</v>
      </c>
      <c r="B32" s="56"/>
      <c r="C32" s="56"/>
      <c r="D32" s="56"/>
      <c r="E32" s="56"/>
      <c r="F32" s="91" t="str">
        <f>IF(COUNTIF(F5:F30,"CHECK")&gt;0,TEXT(COUNTIF(F5:F30,"CHECK"),"0")&amp;" to check",IF(COUNTIF(F5:F30,"WARNING")&gt;0,"ALL OK — target WARNING","ALL OK"))</f>
        <v>ALL OK — target WARNING</v>
      </c>
      <c r="G32" s="56" t="str">
        <f>TEXT(COUNTIF(F5:F30,"OK"),"0")&amp;" of "&amp;TEXT(ROWS(F5:F30),"0")&amp;" checks OK; "&amp;TEXT(COUNTIF(F5:F30,"WARNING"),"0")&amp;" WARNING (target overrun, within the ceiling); "&amp;TEXT(COUNTIF(F5:F30,"CHECK"),"0")&amp;" to check"</f>
        <v>25 of 26 checks OK; 1 WARNING (target overrun, within the ceiling); 0 to check</v>
      </c>
    </row>
    <row r="33" spans="1:7">
      <c r="A33" s="1"/>
      <c r="B33" s="1"/>
      <c r="C33" s="1"/>
      <c r="D33" s="1"/>
      <c r="E33" s="1"/>
      <c r="F33" s="1"/>
      <c r="G33" s="1"/>
    </row>
    <row r="34" spans="1:7">
      <c r="A34" s="63" t="s">
        <v>815</v>
      </c>
      <c r="B34" s="1"/>
      <c r="C34" s="1"/>
      <c r="D34" s="1"/>
      <c r="E34" s="1"/>
      <c r="F34" s="1"/>
      <c r="G34" s="1"/>
    </row>
    <row r="35" spans="1:7" ht="30" customHeight="1">
      <c r="A35" s="93" t="s">
        <v>816</v>
      </c>
      <c r="B35" s="93"/>
      <c r="C35" s="93"/>
      <c r="D35" s="93"/>
      <c r="E35" s="93"/>
      <c r="F35" s="93"/>
      <c r="G35" s="93"/>
    </row>
    <row r="36" spans="1:7" ht="30" customHeight="1">
      <c r="A36" s="93" t="s">
        <v>817</v>
      </c>
      <c r="B36" s="93"/>
      <c r="C36" s="93"/>
      <c r="D36" s="93"/>
      <c r="E36" s="93"/>
      <c r="F36" s="93"/>
      <c r="G36" s="93"/>
    </row>
  </sheetData>
  <mergeCells count="4">
    <mergeCell ref="A1:G1"/>
    <mergeCell ref="A2:G2"/>
    <mergeCell ref="A35:G35"/>
    <mergeCell ref="A36:G36"/>
  </mergeCells>
  <conditionalFormatting sqref="F5:F32">
    <cfRule type="containsText" dxfId="2" priority="1" operator="containsText" text="CHECK">
      <formula>NOT(ISERROR(SEARCH("CHECK",F5)))</formula>
    </cfRule>
  </conditionalFormatting>
  <conditionalFormatting sqref="F5:F32">
    <cfRule type="containsText" dxfId="1" priority="2" operator="containsText" text="WARNING">
      <formula>NOT(ISERROR(SEARCH("WARNING",F5)))</formula>
    </cfRule>
  </conditionalFormatting>
  <conditionalFormatting sqref="F5:F32">
    <cfRule type="containsText" dxfId="0" priority="3" operator="containsText" text="OK">
      <formula>NOT(ISERROR(SEARCH("OK",F5)))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i:0#.f|membership|a-diegoyang@microsoft.com</cp:lastModifiedBy>
  <cp:revision/>
  <dcterms:created xsi:type="dcterms:W3CDTF">2026-09-23T19:29:41Z</dcterms:created>
  <dcterms:modified xsi:type="dcterms:W3CDTF">2026-09-24T03:46:34Z</dcterms:modified>
  <cp:category/>
  <cp:contentStatus/>
</cp:coreProperties>
</file>