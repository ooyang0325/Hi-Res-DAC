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xr:revisionPtr revIDLastSave="9595" documentId="11_C0AD03C342DF8CC5C72C0E7F8CF50AF967CFF049" xr6:coauthVersionLast="47" xr6:coauthVersionMax="47" xr10:uidLastSave="{89863750-39D6-41BC-9225-8AFFAE300655}"/>
  <bookViews>
    <workbookView xWindow="0" yWindow="0" windowWidth="0" windowHeight="0" xr2:uid="{00000000-000D-0000-FFFF-FFFF00000000}"/>
  </bookViews>
  <sheets>
    <sheet name="Summary" sheetId="7" r:id="rId1"/>
    <sheet name="Parts list" sheetId="8" r:id="rId2"/>
    <sheet name="Purchasing list" sheetId="9" r:id="rId3"/>
    <sheet name="Cost" sheetId="12" r:id="rId4"/>
    <sheet name="Notes &amp; open items" sheetId="13" r:id="rId5"/>
    <sheet name="Checks" sheetId="14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9" i="9" l="1"/>
  <c r="P59" i="9"/>
  <c r="K59" i="9"/>
  <c r="J59" i="9"/>
  <c r="Q57" i="9"/>
  <c r="P57" i="9"/>
  <c r="K57" i="9"/>
  <c r="Q56" i="9"/>
  <c r="P56" i="9"/>
  <c r="K56" i="9"/>
  <c r="Q55" i="9"/>
  <c r="P55" i="9"/>
  <c r="K55" i="9"/>
  <c r="Q54" i="9"/>
  <c r="P54" i="9"/>
  <c r="K54" i="9"/>
  <c r="Q53" i="9"/>
  <c r="P53" i="9"/>
  <c r="K53" i="9"/>
  <c r="Q52" i="9"/>
  <c r="P52" i="9"/>
  <c r="K52" i="9"/>
  <c r="Q51" i="9"/>
  <c r="P51" i="9"/>
  <c r="K51" i="9"/>
  <c r="Q50" i="9"/>
  <c r="P50" i="9"/>
  <c r="K50" i="9"/>
  <c r="Q49" i="9"/>
  <c r="P49" i="9"/>
  <c r="K49" i="9"/>
  <c r="Q48" i="9"/>
  <c r="P48" i="9"/>
  <c r="K48" i="9"/>
  <c r="Q47" i="9"/>
  <c r="P47" i="9"/>
  <c r="K47" i="9"/>
  <c r="Q46" i="9"/>
  <c r="P46" i="9"/>
  <c r="K46" i="9"/>
  <c r="Q45" i="9"/>
  <c r="P45" i="9"/>
  <c r="K45" i="9"/>
  <c r="Q44" i="9"/>
  <c r="P44" i="9"/>
  <c r="K44" i="9"/>
  <c r="Q43" i="9"/>
  <c r="P43" i="9"/>
  <c r="K43" i="9"/>
  <c r="Q42" i="9"/>
  <c r="P42" i="9"/>
  <c r="K42" i="9"/>
  <c r="Q41" i="9"/>
  <c r="P41" i="9"/>
  <c r="K41" i="9"/>
  <c r="Q40" i="9"/>
  <c r="P40" i="9"/>
  <c r="K40" i="9"/>
  <c r="Q39" i="9"/>
  <c r="P39" i="9"/>
  <c r="K39" i="9"/>
  <c r="Q38" i="9"/>
  <c r="P38" i="9"/>
  <c r="K38" i="9"/>
  <c r="Q37" i="9"/>
  <c r="P37" i="9"/>
  <c r="K37" i="9"/>
  <c r="Q36" i="9"/>
  <c r="P36" i="9"/>
  <c r="K36" i="9"/>
  <c r="Q35" i="9"/>
  <c r="P35" i="9"/>
  <c r="K35" i="9"/>
  <c r="Q34" i="9"/>
  <c r="P34" i="9"/>
  <c r="K34" i="9"/>
  <c r="Q33" i="9"/>
  <c r="P33" i="9"/>
  <c r="K33" i="9"/>
  <c r="Q32" i="9"/>
  <c r="P32" i="9"/>
  <c r="K32" i="9"/>
  <c r="Q31" i="9"/>
  <c r="P31" i="9"/>
  <c r="K31" i="9"/>
  <c r="Q30" i="9"/>
  <c r="P30" i="9"/>
  <c r="K30" i="9"/>
  <c r="Q29" i="9"/>
  <c r="P29" i="9"/>
  <c r="K29" i="9"/>
  <c r="Q28" i="9"/>
  <c r="P28" i="9"/>
  <c r="K28" i="9"/>
  <c r="Q27" i="9"/>
  <c r="P27" i="9"/>
  <c r="K27" i="9"/>
  <c r="Q26" i="9"/>
  <c r="P26" i="9"/>
  <c r="K26" i="9"/>
  <c r="Q25" i="9"/>
  <c r="P25" i="9"/>
  <c r="K25" i="9"/>
  <c r="Q24" i="9"/>
  <c r="P24" i="9"/>
  <c r="K24" i="9"/>
  <c r="Q23" i="9"/>
  <c r="P23" i="9"/>
  <c r="K23" i="9"/>
  <c r="Q22" i="9"/>
  <c r="P22" i="9"/>
  <c r="K22" i="9"/>
  <c r="Q21" i="9"/>
  <c r="P21" i="9"/>
  <c r="K21" i="9"/>
  <c r="Q20" i="9"/>
  <c r="P20" i="9"/>
  <c r="K20" i="9"/>
  <c r="Q19" i="9"/>
  <c r="P19" i="9"/>
  <c r="K19" i="9"/>
  <c r="Q18" i="9"/>
  <c r="P18" i="9"/>
  <c r="K18" i="9"/>
  <c r="Q17" i="9"/>
  <c r="P17" i="9"/>
  <c r="K17" i="9"/>
  <c r="Q16" i="9"/>
  <c r="P16" i="9"/>
  <c r="K16" i="9"/>
  <c r="Q15" i="9"/>
  <c r="P15" i="9"/>
  <c r="K15" i="9"/>
  <c r="Q14" i="9"/>
  <c r="P14" i="9"/>
  <c r="K14" i="9"/>
  <c r="Q13" i="9"/>
  <c r="P13" i="9"/>
  <c r="K13" i="9"/>
  <c r="Q12" i="9"/>
  <c r="P12" i="9"/>
  <c r="K12" i="9"/>
  <c r="Q11" i="9"/>
  <c r="P11" i="9"/>
  <c r="K11" i="9"/>
  <c r="Q10" i="9"/>
  <c r="P10" i="9"/>
  <c r="K10" i="9"/>
  <c r="Q9" i="9"/>
  <c r="P9" i="9"/>
  <c r="K9" i="9"/>
  <c r="Q8" i="9"/>
  <c r="P8" i="9"/>
  <c r="K8" i="9"/>
  <c r="Q7" i="9"/>
  <c r="P7" i="9"/>
  <c r="K7" i="9"/>
  <c r="Q6" i="9"/>
  <c r="P6" i="9"/>
  <c r="K6" i="9"/>
  <c r="Q5" i="9"/>
  <c r="P5" i="9"/>
  <c r="K5" i="9"/>
  <c r="Q4" i="9"/>
  <c r="P4" i="9"/>
  <c r="K4" i="9"/>
  <c r="S87" i="8"/>
  <c r="R87" i="8"/>
  <c r="S86" i="8"/>
  <c r="R86" i="8"/>
  <c r="Q86" i="8"/>
  <c r="V84" i="8"/>
  <c r="U84" i="8"/>
  <c r="S84" i="8"/>
  <c r="R84" i="8"/>
  <c r="Q84" i="8"/>
  <c r="V83" i="8"/>
  <c r="U83" i="8"/>
  <c r="S83" i="8"/>
  <c r="R83" i="8"/>
  <c r="Q83" i="8"/>
  <c r="V82" i="8"/>
  <c r="U82" i="8"/>
  <c r="S82" i="8"/>
  <c r="R82" i="8"/>
  <c r="Q82" i="8"/>
  <c r="V81" i="8"/>
  <c r="U81" i="8"/>
  <c r="S81" i="8"/>
  <c r="R81" i="8"/>
  <c r="Q81" i="8"/>
  <c r="V80" i="8"/>
  <c r="U80" i="8"/>
  <c r="S80" i="8"/>
  <c r="R80" i="8"/>
  <c r="Q80" i="8"/>
  <c r="V79" i="8"/>
  <c r="U79" i="8"/>
  <c r="S79" i="8"/>
  <c r="R79" i="8"/>
  <c r="Q79" i="8"/>
  <c r="V78" i="8"/>
  <c r="U78" i="8"/>
  <c r="S78" i="8"/>
  <c r="R78" i="8"/>
  <c r="Q78" i="8"/>
  <c r="V77" i="8"/>
  <c r="U77" i="8"/>
  <c r="S77" i="8"/>
  <c r="R77" i="8"/>
  <c r="Q77" i="8"/>
  <c r="V76" i="8"/>
  <c r="U76" i="8"/>
  <c r="S76" i="8"/>
  <c r="R76" i="8"/>
  <c r="Q76" i="8"/>
  <c r="V75" i="8"/>
  <c r="U75" i="8"/>
  <c r="S75" i="8"/>
  <c r="R75" i="8"/>
  <c r="Q75" i="8"/>
  <c r="V74" i="8"/>
  <c r="U74" i="8"/>
  <c r="S74" i="8"/>
  <c r="R74" i="8"/>
  <c r="Q74" i="8"/>
  <c r="V73" i="8"/>
  <c r="U73" i="8"/>
  <c r="S73" i="8"/>
  <c r="R73" i="8"/>
  <c r="Q73" i="8"/>
  <c r="V72" i="8"/>
  <c r="U72" i="8"/>
  <c r="S72" i="8"/>
  <c r="R72" i="8"/>
  <c r="Q72" i="8"/>
  <c r="V71" i="8"/>
  <c r="U71" i="8"/>
  <c r="S71" i="8"/>
  <c r="R71" i="8"/>
  <c r="Q71" i="8"/>
  <c r="V70" i="8"/>
  <c r="U70" i="8"/>
  <c r="S70" i="8"/>
  <c r="R70" i="8"/>
  <c r="Q70" i="8"/>
  <c r="V69" i="8"/>
  <c r="U69" i="8"/>
  <c r="S69" i="8"/>
  <c r="R69" i="8"/>
  <c r="Q69" i="8"/>
  <c r="V68" i="8"/>
  <c r="U68" i="8"/>
  <c r="S68" i="8"/>
  <c r="R68" i="8"/>
  <c r="Q68" i="8"/>
  <c r="V67" i="8"/>
  <c r="U67" i="8"/>
  <c r="S67" i="8"/>
  <c r="R67" i="8"/>
  <c r="Q67" i="8"/>
  <c r="V66" i="8"/>
  <c r="U66" i="8"/>
  <c r="S66" i="8"/>
  <c r="R66" i="8"/>
  <c r="Q66" i="8"/>
  <c r="V65" i="8"/>
  <c r="U65" i="8"/>
  <c r="S65" i="8"/>
  <c r="R65" i="8"/>
  <c r="Q65" i="8"/>
  <c r="V64" i="8"/>
  <c r="U64" i="8"/>
  <c r="S64" i="8"/>
  <c r="R64" i="8"/>
  <c r="Q64" i="8"/>
  <c r="V63" i="8"/>
  <c r="U63" i="8"/>
  <c r="S63" i="8"/>
  <c r="R63" i="8"/>
  <c r="Q63" i="8"/>
  <c r="V62" i="8"/>
  <c r="U62" i="8"/>
  <c r="S62" i="8"/>
  <c r="R62" i="8"/>
  <c r="Q62" i="8"/>
  <c r="V61" i="8"/>
  <c r="U61" i="8"/>
  <c r="S61" i="8"/>
  <c r="R61" i="8"/>
  <c r="Q61" i="8"/>
  <c r="V60" i="8"/>
  <c r="U60" i="8"/>
  <c r="S60" i="8"/>
  <c r="R60" i="8"/>
  <c r="Q60" i="8"/>
  <c r="V59" i="8"/>
  <c r="U59" i="8"/>
  <c r="S59" i="8"/>
  <c r="R59" i="8"/>
  <c r="Q59" i="8"/>
  <c r="V58" i="8"/>
  <c r="U58" i="8"/>
  <c r="S58" i="8"/>
  <c r="R58" i="8"/>
  <c r="Q58" i="8"/>
  <c r="V57" i="8"/>
  <c r="U57" i="8"/>
  <c r="S57" i="8"/>
  <c r="R57" i="8"/>
  <c r="Q57" i="8"/>
  <c r="V56" i="8"/>
  <c r="U56" i="8"/>
  <c r="S56" i="8"/>
  <c r="R56" i="8"/>
  <c r="Q56" i="8"/>
  <c r="V55" i="8"/>
  <c r="U55" i="8"/>
  <c r="S55" i="8"/>
  <c r="R55" i="8"/>
  <c r="Q55" i="8"/>
  <c r="V54" i="8"/>
  <c r="U54" i="8"/>
  <c r="S54" i="8"/>
  <c r="R54" i="8"/>
  <c r="Q54" i="8"/>
  <c r="V53" i="8"/>
  <c r="U53" i="8"/>
  <c r="S53" i="8"/>
  <c r="R53" i="8"/>
  <c r="Q53" i="8"/>
  <c r="V52" i="8"/>
  <c r="U52" i="8"/>
  <c r="S52" i="8"/>
  <c r="R52" i="8"/>
  <c r="Q52" i="8"/>
  <c r="V51" i="8"/>
  <c r="U51" i="8"/>
  <c r="S51" i="8"/>
  <c r="R51" i="8"/>
  <c r="Q51" i="8"/>
  <c r="V50" i="8"/>
  <c r="U50" i="8"/>
  <c r="S50" i="8"/>
  <c r="R50" i="8"/>
  <c r="Q50" i="8"/>
  <c r="V49" i="8"/>
  <c r="U49" i="8"/>
  <c r="S49" i="8"/>
  <c r="R49" i="8"/>
  <c r="Q49" i="8"/>
  <c r="V48" i="8"/>
  <c r="U48" i="8"/>
  <c r="S48" i="8"/>
  <c r="R48" i="8"/>
  <c r="Q48" i="8"/>
  <c r="V47" i="8"/>
  <c r="U47" i="8"/>
  <c r="S47" i="8"/>
  <c r="R47" i="8"/>
  <c r="Q47" i="8"/>
  <c r="V46" i="8"/>
  <c r="U46" i="8"/>
  <c r="S46" i="8"/>
  <c r="R46" i="8"/>
  <c r="Q46" i="8"/>
  <c r="V45" i="8"/>
  <c r="U45" i="8"/>
  <c r="S45" i="8"/>
  <c r="R45" i="8"/>
  <c r="Q45" i="8"/>
  <c r="V44" i="8"/>
  <c r="U44" i="8"/>
  <c r="S44" i="8"/>
  <c r="R44" i="8"/>
  <c r="Q44" i="8"/>
  <c r="V43" i="8"/>
  <c r="U43" i="8"/>
  <c r="S43" i="8"/>
  <c r="R43" i="8"/>
  <c r="Q43" i="8"/>
  <c r="V42" i="8"/>
  <c r="U42" i="8"/>
  <c r="S42" i="8"/>
  <c r="R42" i="8"/>
  <c r="Q42" i="8"/>
  <c r="V41" i="8"/>
  <c r="U41" i="8"/>
  <c r="S41" i="8"/>
  <c r="R41" i="8"/>
  <c r="Q41" i="8"/>
  <c r="V40" i="8"/>
  <c r="U40" i="8"/>
  <c r="S40" i="8"/>
  <c r="R40" i="8"/>
  <c r="Q40" i="8"/>
  <c r="V39" i="8"/>
  <c r="U39" i="8"/>
  <c r="S39" i="8"/>
  <c r="R39" i="8"/>
  <c r="Q39" i="8"/>
  <c r="V38" i="8"/>
  <c r="U38" i="8"/>
  <c r="S38" i="8"/>
  <c r="R38" i="8"/>
  <c r="Q38" i="8"/>
  <c r="V37" i="8"/>
  <c r="U37" i="8"/>
  <c r="S37" i="8"/>
  <c r="R37" i="8"/>
  <c r="Q37" i="8"/>
  <c r="V36" i="8"/>
  <c r="U36" i="8"/>
  <c r="S36" i="8"/>
  <c r="R36" i="8"/>
  <c r="Q36" i="8"/>
  <c r="V35" i="8"/>
  <c r="U35" i="8"/>
  <c r="S35" i="8"/>
  <c r="R35" i="8"/>
  <c r="Q35" i="8"/>
  <c r="V34" i="8"/>
  <c r="U34" i="8"/>
  <c r="S34" i="8"/>
  <c r="R34" i="8"/>
  <c r="Q34" i="8"/>
  <c r="V33" i="8"/>
  <c r="U33" i="8"/>
  <c r="S33" i="8"/>
  <c r="R33" i="8"/>
  <c r="Q33" i="8"/>
  <c r="V32" i="8"/>
  <c r="U32" i="8"/>
  <c r="S32" i="8"/>
  <c r="R32" i="8"/>
  <c r="Q32" i="8"/>
  <c r="V31" i="8"/>
  <c r="U31" i="8"/>
  <c r="S31" i="8"/>
  <c r="R31" i="8"/>
  <c r="Q31" i="8"/>
  <c r="V30" i="8"/>
  <c r="U30" i="8"/>
  <c r="S30" i="8"/>
  <c r="R30" i="8"/>
  <c r="Q30" i="8"/>
  <c r="V29" i="8"/>
  <c r="U29" i="8"/>
  <c r="S29" i="8"/>
  <c r="R29" i="8"/>
  <c r="Q29" i="8"/>
  <c r="V28" i="8"/>
  <c r="U28" i="8"/>
  <c r="S28" i="8"/>
  <c r="R28" i="8"/>
  <c r="Q28" i="8"/>
  <c r="V27" i="8"/>
  <c r="U27" i="8"/>
  <c r="S27" i="8"/>
  <c r="R27" i="8"/>
  <c r="Q27" i="8"/>
  <c r="V26" i="8"/>
  <c r="U26" i="8"/>
  <c r="S26" i="8"/>
  <c r="R26" i="8"/>
  <c r="Q26" i="8"/>
  <c r="V25" i="8"/>
  <c r="U25" i="8"/>
  <c r="S25" i="8"/>
  <c r="R25" i="8"/>
  <c r="Q25" i="8"/>
  <c r="V24" i="8"/>
  <c r="U24" i="8"/>
  <c r="S24" i="8"/>
  <c r="R24" i="8"/>
  <c r="Q24" i="8"/>
  <c r="V23" i="8"/>
  <c r="U23" i="8"/>
  <c r="S23" i="8"/>
  <c r="R23" i="8"/>
  <c r="Q23" i="8"/>
  <c r="V22" i="8"/>
  <c r="U22" i="8"/>
  <c r="S22" i="8"/>
  <c r="R22" i="8"/>
  <c r="Q22" i="8"/>
  <c r="V21" i="8"/>
  <c r="U21" i="8"/>
  <c r="S21" i="8"/>
  <c r="R21" i="8"/>
  <c r="Q21" i="8"/>
  <c r="V20" i="8"/>
  <c r="U20" i="8"/>
  <c r="S20" i="8"/>
  <c r="R20" i="8"/>
  <c r="Q20" i="8"/>
  <c r="V19" i="8"/>
  <c r="U19" i="8"/>
  <c r="S19" i="8"/>
  <c r="R19" i="8"/>
  <c r="Q19" i="8"/>
  <c r="V18" i="8"/>
  <c r="U18" i="8"/>
  <c r="S18" i="8"/>
  <c r="R18" i="8"/>
  <c r="Q18" i="8"/>
  <c r="V17" i="8"/>
  <c r="U17" i="8"/>
  <c r="S17" i="8"/>
  <c r="R17" i="8"/>
  <c r="Q17" i="8"/>
  <c r="V16" i="8"/>
  <c r="U16" i="8"/>
  <c r="S16" i="8"/>
  <c r="R16" i="8"/>
  <c r="Q16" i="8"/>
  <c r="V15" i="8"/>
  <c r="U15" i="8"/>
  <c r="S15" i="8"/>
  <c r="R15" i="8"/>
  <c r="Q15" i="8"/>
  <c r="V14" i="8"/>
  <c r="U14" i="8"/>
  <c r="S14" i="8"/>
  <c r="R14" i="8"/>
  <c r="Q14" i="8"/>
  <c r="V13" i="8"/>
  <c r="U13" i="8"/>
  <c r="S13" i="8"/>
  <c r="R13" i="8"/>
  <c r="Q13" i="8"/>
  <c r="V12" i="8"/>
  <c r="U12" i="8"/>
  <c r="S12" i="8"/>
  <c r="R12" i="8"/>
  <c r="Q12" i="8"/>
  <c r="V11" i="8"/>
  <c r="U11" i="8"/>
  <c r="S11" i="8"/>
  <c r="R11" i="8"/>
  <c r="Q11" i="8"/>
  <c r="V10" i="8"/>
  <c r="U10" i="8"/>
  <c r="S10" i="8"/>
  <c r="R10" i="8"/>
  <c r="Q10" i="8"/>
  <c r="V9" i="8"/>
  <c r="U9" i="8"/>
  <c r="S9" i="8"/>
  <c r="R9" i="8"/>
  <c r="Q9" i="8"/>
  <c r="V8" i="8"/>
  <c r="U8" i="8"/>
  <c r="S8" i="8"/>
  <c r="R8" i="8"/>
  <c r="Q8" i="8"/>
  <c r="V7" i="8"/>
  <c r="U7" i="8"/>
  <c r="S7" i="8"/>
  <c r="R7" i="8"/>
  <c r="Q7" i="8"/>
  <c r="V6" i="8"/>
  <c r="U6" i="8"/>
  <c r="S6" i="8"/>
  <c r="R6" i="8"/>
  <c r="Q6" i="8"/>
  <c r="V5" i="8"/>
  <c r="U5" i="8"/>
  <c r="S5" i="8"/>
  <c r="R5" i="8"/>
  <c r="Q5" i="8"/>
  <c r="V4" i="8"/>
  <c r="U4" i="8"/>
  <c r="S4" i="8"/>
  <c r="R4" i="8"/>
  <c r="Q4" i="8"/>
  <c r="D43" i="7"/>
  <c r="D42" i="7"/>
  <c r="D41" i="7"/>
  <c r="C41" i="7"/>
  <c r="B41" i="7" a="1"/>
  <c r="B41" i="7"/>
  <c r="C40" i="7"/>
  <c r="B40" i="7" a="1"/>
  <c r="B40" i="7"/>
  <c r="C39" i="7"/>
  <c r="B39" i="7" a="1"/>
  <c r="B39" i="7"/>
  <c r="C38" i="7"/>
  <c r="B38" i="7" a="1"/>
  <c r="B38" i="7"/>
  <c r="C37" i="7"/>
  <c r="B37" i="7" a="1"/>
  <c r="B37" i="7"/>
  <c r="C36" i="7"/>
  <c r="B36" i="7" a="1"/>
  <c r="B36" i="7"/>
  <c r="C35" i="7"/>
  <c r="B35" i="7" a="1"/>
  <c r="B35" i="7"/>
  <c r="B27" i="7"/>
  <c r="B26" i="7"/>
  <c r="B25" i="7"/>
  <c r="D23" i="7"/>
  <c r="D22" i="7"/>
  <c r="B22" i="7"/>
  <c r="B21" i="7"/>
  <c r="B20" i="7"/>
  <c r="D15" i="7"/>
  <c r="B12" i="7"/>
  <c r="D11" i="7"/>
  <c r="B11" i="7"/>
  <c r="B24" i="13"/>
  <c r="B21" i="13"/>
  <c r="B5" i="13"/>
  <c r="B23" i="14"/>
  <c r="B22" i="14"/>
  <c r="C15" i="14"/>
  <c r="F13" i="14"/>
  <c r="D13" i="14"/>
  <c r="C13" i="14"/>
  <c r="B13" i="14"/>
  <c r="F12" i="14"/>
  <c r="D12" i="14"/>
  <c r="C12" i="14"/>
  <c r="F11" i="14"/>
  <c r="D11" i="14"/>
  <c r="C11" i="14"/>
  <c r="F10" i="14"/>
  <c r="D10" i="14"/>
  <c r="C10" i="14"/>
  <c r="F7" i="14"/>
  <c r="D7" i="14"/>
  <c r="C7" i="14"/>
  <c r="F6" i="14"/>
  <c r="D6" i="14"/>
  <c r="C6" i="14"/>
  <c r="F5" i="14"/>
  <c r="D5" i="14"/>
  <c r="C5" i="14"/>
  <c r="G76" i="12"/>
  <c r="F70" i="12"/>
  <c r="E70" i="12"/>
  <c r="G69" i="12"/>
  <c r="F69" i="12"/>
  <c r="E69" i="12"/>
  <c r="B69" i="12"/>
  <c r="G68" i="12"/>
  <c r="F68" i="12"/>
  <c r="E68" i="12"/>
  <c r="B68" i="12"/>
  <c r="G67" i="12"/>
  <c r="F67" i="12"/>
  <c r="E67" i="12"/>
  <c r="B67" i="12"/>
  <c r="F65" i="12"/>
  <c r="E65" i="12"/>
  <c r="F64" i="12"/>
  <c r="E64" i="12"/>
  <c r="F63" i="12"/>
  <c r="E63" i="12"/>
  <c r="A61" i="12"/>
  <c r="G59" i="12"/>
  <c r="D58" i="12"/>
  <c r="E58" i="12" s="1"/>
  <c r="F58" i="12" s="1"/>
  <c r="D57" i="12"/>
  <c r="E57" i="12" s="1"/>
  <c r="F57" i="12" s="1"/>
  <c r="D56" i="12"/>
  <c r="E56" i="12" s="1"/>
  <c r="F56" i="12" s="1"/>
  <c r="G55" i="12"/>
  <c r="C55" i="12"/>
  <c r="B55" i="12"/>
  <c r="D55" i="12" s="1"/>
  <c r="F55" i="12" s="1"/>
  <c r="F54" i="12"/>
  <c r="E54" i="12"/>
  <c r="C54" i="12"/>
  <c r="B54" i="12"/>
  <c r="G50" i="12"/>
  <c r="F47" i="12"/>
  <c r="G46" i="12"/>
  <c r="F46" i="12"/>
  <c r="G44" i="12"/>
  <c r="G42" i="12"/>
  <c r="F37" i="12"/>
  <c r="E37" i="12"/>
  <c r="G36" i="12"/>
  <c r="F36" i="12"/>
  <c r="E36" i="12"/>
  <c r="B36" i="12"/>
  <c r="G35" i="12"/>
  <c r="F35" i="12"/>
  <c r="E35" i="12"/>
  <c r="B35" i="12"/>
  <c r="G34" i="12"/>
  <c r="F34" i="12"/>
  <c r="E34" i="12"/>
  <c r="B34" i="12"/>
  <c r="F32" i="12"/>
  <c r="E32" i="12"/>
  <c r="F31" i="12"/>
  <c r="E31" i="12"/>
  <c r="A29" i="12"/>
  <c r="B27" i="12"/>
  <c r="E75" i="12" s="1"/>
  <c r="F75" i="12" s="1"/>
  <c r="B26" i="12"/>
  <c r="B25" i="12"/>
  <c r="B23" i="12"/>
  <c r="B22" i="12"/>
  <c r="B21" i="12"/>
  <c r="B20" i="12" a="1"/>
  <c r="B20" i="12"/>
  <c r="B16" i="12"/>
  <c r="B15" i="12"/>
  <c r="B14" i="12"/>
  <c r="B17" i="12" l="1"/>
  <c r="B18" i="12"/>
  <c r="B15" i="14"/>
  <c r="D15" i="14" s="1"/>
  <c r="F15" i="14" s="1"/>
  <c r="E74" i="12"/>
  <c r="E41" i="12"/>
  <c r="B24" i="12" a="1"/>
  <c r="B24" i="12" s="1"/>
  <c r="B22" i="13"/>
  <c r="E42" i="12"/>
  <c r="C20" i="14"/>
  <c r="D20" i="14" s="1"/>
  <c r="F20" i="14" s="1"/>
  <c r="C14" i="14" l="1"/>
  <c r="B24" i="7"/>
  <c r="C9" i="14"/>
  <c r="D9" i="14" s="1"/>
  <c r="F9" i="14" s="1"/>
  <c r="B23" i="7"/>
  <c r="C8" i="14"/>
  <c r="D8" i="14" s="1"/>
  <c r="F8" i="14" s="1"/>
  <c r="B33" i="12"/>
  <c r="B19" i="12"/>
  <c r="B66" i="12" s="1"/>
  <c r="F74" i="12"/>
  <c r="D7" i="7"/>
  <c r="F42" i="12"/>
  <c r="B7" i="7" s="1"/>
  <c r="B42" i="7"/>
  <c r="B20" i="13"/>
  <c r="B14" i="14"/>
  <c r="D14" i="14" s="1"/>
  <c r="F14" i="14" s="1"/>
  <c r="D6" i="7"/>
  <c r="F41" i="12"/>
  <c r="B6" i="7" s="1"/>
  <c r="G66" i="12" l="1"/>
  <c r="E66" i="12"/>
  <c r="G33" i="12"/>
  <c r="E33" i="12"/>
  <c r="B43" i="7"/>
  <c r="C43" i="7" s="1"/>
  <c r="C42" i="7"/>
  <c r="C16" i="14" l="1"/>
  <c r="E38" i="12"/>
  <c r="F33" i="12"/>
  <c r="E71" i="12"/>
  <c r="F66" i="12"/>
  <c r="E76" i="12" l="1"/>
  <c r="F71" i="12"/>
  <c r="E43" i="12"/>
  <c r="F38" i="12"/>
  <c r="D8" i="7" l="1"/>
  <c r="F43" i="12"/>
  <c r="B8" i="7" s="1"/>
  <c r="E44" i="12"/>
  <c r="F76" i="12"/>
  <c r="E77" i="12"/>
  <c r="D31" i="7" l="1"/>
  <c r="F77" i="12"/>
  <c r="D9" i="7"/>
  <c r="C18" i="14"/>
  <c r="D18" i="14" s="1"/>
  <c r="F18" i="14" s="1"/>
  <c r="B16" i="14"/>
  <c r="D16" i="14" s="1"/>
  <c r="F16" i="14" s="1"/>
  <c r="E45" i="12"/>
  <c r="F44" i="12"/>
  <c r="B9" i="7" l="1"/>
  <c r="B17" i="14"/>
  <c r="D10" i="7"/>
  <c r="F45" i="12"/>
  <c r="B31" i="7"/>
  <c r="C21" i="14"/>
  <c r="D21" i="14" s="1"/>
  <c r="F21" i="14" s="1"/>
  <c r="B10" i="7" l="1"/>
  <c r="C23" i="14"/>
  <c r="D23" i="14" s="1"/>
  <c r="C22" i="14"/>
  <c r="D22" i="14" s="1"/>
  <c r="F22" i="14" s="1"/>
  <c r="C19" i="14"/>
  <c r="D19" i="14" s="1"/>
  <c r="F19" i="14" s="1"/>
  <c r="F59" i="12"/>
  <c r="E59" i="12" s="1"/>
  <c r="G54" i="12"/>
  <c r="F50" i="12"/>
  <c r="F49" i="12"/>
  <c r="F48" i="12"/>
  <c r="B38" i="13"/>
  <c r="C17" i="14"/>
  <c r="D17" i="14" s="1"/>
  <c r="F17" i="14" s="1"/>
  <c r="B13" i="7" l="1"/>
  <c r="G48" i="12"/>
  <c r="D13" i="7" s="1"/>
  <c r="B14" i="7"/>
  <c r="G49" i="12"/>
  <c r="D14" i="7" s="1"/>
  <c r="B15" i="7"/>
  <c r="B37" i="13"/>
  <c r="C24" i="14"/>
  <c r="F24" i="14" s="1"/>
  <c r="G23" i="14"/>
  <c r="F23" i="14"/>
  <c r="G26" i="14" l="1"/>
  <c r="F26" i="14"/>
  <c r="B16" i="7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<sst xmlns="http://schemas.openxmlformats.org/spreadsheetml/2006/main" count="1801" uniqueCount="626">
  <si>
    <t>USB DAC + Balanced Headphone Amplifier — Parts List v0.2</t>
  </si>
  <si>
    <t>Diego Yang · 23 Sep 2026, revised 24 Sep 2026 (DAC current-mode output, option B) · cost-driven redesign (v0.4 architecture) · companion to Design Specification v0.4 and Schematic Design Notes v0.3 · supersedes Parts List v0.1</t>
  </si>
  <si>
    <t>5-board sample run — cost gate</t>
  </si>
  <si>
    <t>Key figure</t>
  </si>
  <si>
    <t>Value</t>
  </si>
  <si>
    <t>Unit</t>
  </si>
  <si>
    <t>Basis</t>
  </si>
  <si>
    <t>Parts (LCSC 1–9-piece prices)</t>
  </si>
  <si>
    <t>NTD</t>
  </si>
  <si>
    <t>Bare 4-layer PCBs (estimate)</t>
  </si>
  <si>
    <t>JLCPCB Economic PCBA fees</t>
  </si>
  <si>
    <t>Total, 5-board run</t>
  </si>
  <si>
    <t>Per board</t>
  </si>
  <si>
    <t>Target per board</t>
  </si>
  <si>
    <t>Approved ceiling per board</t>
  </si>
  <si>
    <t>owner decision 24 Sep 2026 ("a little bit off-budget is acceptable"); FAIL above</t>
  </si>
  <si>
    <t>Margin to the target</t>
  </si>
  <si>
    <t>NTD per board</t>
  </si>
  <si>
    <t>Margin to the approved ceiling</t>
  </si>
  <si>
    <t>Cost-gate status</t>
  </si>
  <si>
    <t>Self-checks</t>
  </si>
  <si>
    <t>Checks sheet: counts, cross-sheet totals, the 1,536 NTD result and the gate rule</t>
  </si>
  <si>
    <t>Counts</t>
  </si>
  <si>
    <t>Count</t>
  </si>
  <si>
    <t>BOM lines</t>
  </si>
  <si>
    <t>lines</t>
  </si>
  <si>
    <t>every component of every circuit</t>
  </si>
  <si>
    <t>Fitted lines</t>
  </si>
  <si>
    <t>Fit = Yes, including the bare-PCB row</t>
  </si>
  <si>
    <t>SMT-placed parts per board</t>
  </si>
  <si>
    <t>parts</t>
  </si>
  <si>
    <t>Extended part types</t>
  </si>
  <si>
    <t>types</t>
  </si>
  <si>
    <t>Basic part types</t>
  </si>
  <si>
    <t>no per-type fee; "Basic (likely)" parts still to confirm</t>
  </si>
  <si>
    <t>Leadless (X-ray) parts per board</t>
  </si>
  <si>
    <t>CPLD, ES9018K2M, 2 × OPA1622, LM27762, 2 oscillators</t>
  </si>
  <si>
    <t>SMT joints per board</t>
  </si>
  <si>
    <t>joints</t>
  </si>
  <si>
    <t>Qty × SMT joints per part, fitted lines</t>
  </si>
  <si>
    <t>Purchase lines</t>
  </si>
  <si>
    <t>fitted parts merged by part number / specification</t>
  </si>
  <si>
    <t>Reference only — 100-unit build</t>
  </si>
  <si>
    <t>Total per board, 100-unit build</t>
  </si>
  <si>
    <t>Parts cost per board by block (1–9-piece prices)</t>
  </si>
  <si>
    <t>Block</t>
  </si>
  <si>
    <t>US$ per board</t>
  </si>
  <si>
    <t>Main cost items</t>
  </si>
  <si>
    <t>1 USB-C input and protection</t>
  </si>
  <si>
    <t>USB-C receptacle, USBLC6-2SC6 ESD array</t>
  </si>
  <si>
    <t>2 USB audio bridge (CH32V307 + CPLD)</t>
  </si>
  <si>
    <t>CH32V307RCT6, AGRV2KQ32 CPLD, 8 MHz crystal, 2 audio oscillators</t>
  </si>
  <si>
    <t>3 DAC (ES9018K2M)</t>
  </si>
  <si>
    <t>ES9018K2M, LP5907-3.3 and AMS1117-ADJ LDOs</t>
  </si>
  <si>
    <t>4 I/V converters and output legs (2 × OPA1678 + 2 × OPA1622)</t>
  </si>
  <si>
    <t>2 × OPA1678 I/V converters, 2 × OPA1622, 16 × 2.00 kΩ 0.1 % resistors</t>
  </si>
  <si>
    <t>5 Power (digital 3.3 V and analog ±4.5 V)</t>
  </si>
  <si>
    <t>LM27762, ME6211C33</t>
  </si>
  <si>
    <t>6 Protection and control</t>
  </si>
  <si>
    <t>LM393, fault-latch transistors</t>
  </si>
  <si>
    <t>7 Outputs, indicators, test, board</t>
  </si>
  <si>
    <t>Minimum-spend allowance (estimated passive lines)</t>
  </si>
  <si>
    <t>Parts per board</t>
  </si>
  <si>
    <t>What changed from v0.1</t>
  </si>
  <si>
    <t>Area</t>
  </si>
  <si>
    <t>Change</t>
  </si>
  <si>
    <t>Power input</t>
  </si>
  <si>
    <t>Single USB-C 5 V port (data + power), bus-powered within the USB 2.0 500 mA budget.</t>
  </si>
  <si>
    <t>USB bridge</t>
  </si>
  <si>
    <t>WCH CH32V307RCT6 MCU + AGM AGRV2KQ32 CPLD USB-to-I²S bridge, following the open-source USBAudioToI2S project (replaces the XMOS XU316).</t>
  </si>
  <si>
    <t>DAC</t>
  </si>
  <si>
    <t>ESS ES9018K2M (replaces the AKM AK4493).</t>
  </si>
  <si>
    <t>Output stage</t>
  </si>
  <si>
    <t>DAC in current mode (option B, 24 Sep 2026): 2 × TI OPA1678 I/V converters per the ESS application circuit, feeding 2 × TI OPA1622 as four difference amplifiers (U401 = L+ / L−, U402 = R+ / R−); fixed gain.</t>
  </si>
  <si>
    <t>Analog power</t>
  </si>
  <si>
    <t>TI LM27762 charge pump + low-noise LDOs for ±4.5 V.</t>
  </si>
  <si>
    <t>Protection</t>
  </si>
  <si>
    <t>No relays: an LM393 window comparator sets a 3.3 V hardware fault latch that pulls both OPA1622 EN pins and the LM27762 EN+ / EN− low.</t>
  </si>
  <si>
    <t>Removed</t>
  </si>
  <si>
    <t>USB PD power port, CH224A, eFuse, LM317 / LM337, relays, gain switch, XU316, AK4493, OPA1612.</t>
  </si>
  <si>
    <t>Sourcing</t>
  </si>
  <si>
    <t>Every part is now an LCSC / JLCPCB part (some LCSC numbers still to assign — see Notes &amp; open items).</t>
  </si>
  <si>
    <t>Cost basis</t>
  </si>
  <si>
    <t>The cost gate now applies to the 5-board sample run (incl. bare PCBs and assembly fees): target 1,500 NTD per board, approved ceiling 1,550 NTD per board (owner decision 24 Sep 2026); the 100-unit build is a reference line only.</t>
  </si>
  <si>
    <t>Parts list — every BOM line, grouped by block</t>
  </si>
  <si>
    <t>Unit prices in US$ at the LCSC 1–9-piece tier (5-board sample run) and the 100-board tier (reference). Line costs use the inputs on the Cost sheet: boards per run and the minimum spend per estimated passive line. Helper columns U–V count distinct SMT part types.</t>
  </si>
  <si>
    <t>Designators</t>
  </si>
  <si>
    <t>Qty per board</t>
  </si>
  <si>
    <t>Description</t>
  </si>
  <si>
    <t>Package</t>
  </si>
  <si>
    <t>Rating / tolerance</t>
  </si>
  <si>
    <t>Part number (MPN)</t>
  </si>
  <si>
    <t>Source / LCSC no.</t>
  </si>
  <si>
    <t>JLCPCB library type</t>
  </si>
  <si>
    <t>Fit</t>
  </si>
  <si>
    <t>Leadless (X-ray)</t>
  </si>
  <si>
    <t>SMT joints per part</t>
  </si>
  <si>
    <t>Unit price US$ (1–9 pcs, sample run)</t>
  </si>
  <si>
    <t>Unit price US$ (100-board tier)</t>
  </si>
  <si>
    <t>Price basis</t>
  </si>
  <si>
    <t>Qty for 5-board run</t>
  </si>
  <si>
    <t>Line cost US$, 5-board run</t>
  </si>
  <si>
    <t>Line cost US$, 100-board run (reference)</t>
  </si>
  <si>
    <t>Notes</t>
  </si>
  <si>
    <t>Part-type key (helper)</t>
  </si>
  <si>
    <t>New SMT part type (helper)</t>
  </si>
  <si>
    <t>J101</t>
  </si>
  <si>
    <t>USB-C receptacle, 16-pin, USB 2.0 (data + 5 V power)</t>
  </si>
  <si>
    <t>—</t>
  </si>
  <si>
    <t>SMD</t>
  </si>
  <si>
    <t>20 V, 5 A</t>
  </si>
  <si>
    <t>HRO TYPE-C-31-M-12</t>
  </si>
  <si>
    <t>LCSC C165948</t>
  </si>
  <si>
    <t>Extended</t>
  </si>
  <si>
    <t>Yes</t>
  </si>
  <si>
    <t>Quote</t>
  </si>
  <si>
    <t>R101, R102</t>
  </si>
  <si>
    <t>Resistor, CC1/CC2 pull-down (Rd, USB-C sink)</t>
  </si>
  <si>
    <t>5.1 kΩ</t>
  </si>
  <si>
    <t>0402</t>
  </si>
  <si>
    <t>1%</t>
  </si>
  <si>
    <t>Generic (match a JLCPCB Basic part)</t>
  </si>
  <si>
    <t>Assign</t>
  </si>
  <si>
    <t>Basic (likely)</t>
  </si>
  <si>
    <t>Estimate</t>
  </si>
  <si>
    <t>R103</t>
  </si>
  <si>
    <t>Resistor, shield to GND (bleed)</t>
  </si>
  <si>
    <t>1 MΩ</t>
  </si>
  <si>
    <t>0603</t>
  </si>
  <si>
    <t>C101</t>
  </si>
  <si>
    <t>Capacitor, shield to GND (RF)</t>
  </si>
  <si>
    <t>4.7 nF</t>
  </si>
  <si>
    <t>50 V X7R</t>
  </si>
  <si>
    <t>U101</t>
  </si>
  <si>
    <t>ESD array, D+, D−, VBUS</t>
  </si>
  <si>
    <t>SOT-23-6</t>
  </si>
  <si>
    <t>5.25 V</t>
  </si>
  <si>
    <t>ST USBLC6-2SC6</t>
  </si>
  <si>
    <t>LCSC C7519</t>
  </si>
  <si>
    <t>FB101</t>
  </si>
  <si>
    <t>Ferrite bead, VBUS → 5V_SYS (keeps switching noise off the cable)</t>
  </si>
  <si>
    <t>600 Ω</t>
  </si>
  <si>
    <t>1.3 A, 0.15 Ω</t>
  </si>
  <si>
    <t>Sunlord GZ1608D601TF</t>
  </si>
  <si>
    <t>LCSC C1015 (verify Basic)</t>
  </si>
  <si>
    <t>C102</t>
  </si>
  <si>
    <t>Capacitor, VBUS at the connector (total VBUS capacitance budget ≤ 10 µF, see notes)</t>
  </si>
  <si>
    <t>1 µF</t>
  </si>
  <si>
    <t>10 V X5R</t>
  </si>
  <si>
    <t>U201</t>
  </si>
  <si>
    <t>MCU, RISC-V, USB 2.0 High-Speed with built-in PHY; runs the open-source UAC2 firmware</t>
  </si>
  <si>
    <t>LQFP-64 10 × 10 mm</t>
  </si>
  <si>
    <t>144 MHz, 3.3 V</t>
  </si>
  <si>
    <t>WCH CH32V307RCT6</t>
  </si>
  <si>
    <t>LCSC C2988083</t>
  </si>
  <si>
    <t>Y201</t>
  </si>
  <si>
    <t>Crystal, CH32V307 HSE (USB HS PHY reference; frequency per WCH EVT / reference schematic)</t>
  </si>
  <si>
    <t>8 MHz</t>
  </si>
  <si>
    <t>3.2 × 2.5 mm</t>
  </si>
  <si>
    <t>±20 ppm</t>
  </si>
  <si>
    <t>C201, C202</t>
  </si>
  <si>
    <t>Capacitor, crystal load</t>
  </si>
  <si>
    <t>20 pF</t>
  </si>
  <si>
    <t>50 V C0G</t>
  </si>
  <si>
    <t>C203–C210</t>
  </si>
  <si>
    <t>Capacitor, CH32V307 VDD/VDDA/VIO decoupling (one per supply pin)</t>
  </si>
  <si>
    <t>100 nF</t>
  </si>
  <si>
    <t>16 V X7R</t>
  </si>
  <si>
    <t>C211</t>
  </si>
  <si>
    <t>Capacitor, CH32V307 3V3 bulk</t>
  </si>
  <si>
    <t>10 µF</t>
  </si>
  <si>
    <t>0805</t>
  </si>
  <si>
    <t>R201, C212</t>
  </si>
  <si>
    <t>Reset RC (NRST) 10 kΩ / 100 nF</t>
  </si>
  <si>
    <t>10 kΩ / 100 nF</t>
  </si>
  <si>
    <t>R202</t>
  </si>
  <si>
    <t>Resistor, BOOT0 pull-down</t>
  </si>
  <si>
    <t>10 kΩ</t>
  </si>
  <si>
    <t>U202</t>
  </si>
  <si>
    <t>CPLD, 2K LUT with PLL: generates I²S BCLK/LRCLK and the DAC MCLK from the two audio oscillators (firmware from the same open-source project)</t>
  </si>
  <si>
    <t>QFN-32 4 × 4 mm</t>
  </si>
  <si>
    <t>3.3 V</t>
  </si>
  <si>
    <t>AGM AGRV2KQ32</t>
  </si>
  <si>
    <t>LCSC C18208899</t>
  </si>
  <si>
    <t>C213–C216</t>
  </si>
  <si>
    <t>Capacitor, CPLD decoupling</t>
  </si>
  <si>
    <t>X201</t>
  </si>
  <si>
    <t>Oscillator, 44.1 kHz family, 3.3 V CMOS</t>
  </si>
  <si>
    <t>22.5792 MHz</t>
  </si>
  <si>
    <t>±25 ppm</t>
  </si>
  <si>
    <t>Generic (Extended part expected)</t>
  </si>
  <si>
    <t>X202</t>
  </si>
  <si>
    <t>Oscillator, 48 kHz family, 3.3 V CMOS</t>
  </si>
  <si>
    <t>24.576 MHz</t>
  </si>
  <si>
    <t>C217, C218</t>
  </si>
  <si>
    <t>Capacitor, oscillator VDD</t>
  </si>
  <si>
    <t>R203–R206</t>
  </si>
  <si>
    <t>Resistor, series on MCLK/BCLK/LRCLK/SDATA toward the DAC (source termination)</t>
  </si>
  <si>
    <t>33 Ω</t>
  </si>
  <si>
    <t>R207, R208</t>
  </si>
  <si>
    <t>Resistor, I²C SCL/SDA pull-ups to 3V3</t>
  </si>
  <si>
    <t>2.2 kΩ</t>
  </si>
  <si>
    <t>J201</t>
  </si>
  <si>
    <t>Pads, CH32V307 2-wire debug (WCH-LinkE): 3V3, SWDIO, SWCLK, GND</t>
  </si>
  <si>
    <t>Pads</t>
  </si>
  <si>
    <t>No part</t>
  </si>
  <si>
    <t>J202</t>
  </si>
  <si>
    <t>Pads, CPLD JTAG: 3V3, TCK, TMS, TDI, TDO, GND</t>
  </si>
  <si>
    <t>U301</t>
  </si>
  <si>
    <t>DAC, 32-bit, PCM to 384 kHz, I²C control, voltage-mode differential outputs</t>
  </si>
  <si>
    <t>QFN-28 5 × 5 mm</t>
  </si>
  <si>
    <t>DNR 127 dB, THD+N −120 dB (datasheet)</t>
  </si>
  <si>
    <t>ESS ES9018K2M</t>
  </si>
  <si>
    <t>LCSC C2688377</t>
  </si>
  <si>
    <t>U302</t>
  </si>
  <si>
    <t>LDO, quiet 3.3 V for AVCC_L, AVCC_R and VCCA (from 5V_SYS)</t>
  </si>
  <si>
    <t>3.3 V, 250 mA</t>
  </si>
  <si>
    <t>SOT-23-5</t>
  </si>
  <si>
    <t>6.5 µVrms</t>
  </si>
  <si>
    <t>TI LP5907MFX-3.3/NOPB</t>
  </si>
  <si>
    <t>Assign LCSC no.</t>
  </si>
  <si>
    <t>C301, C302</t>
  </si>
  <si>
    <t>Capacitor, LP5907 input and output (keep total output capacitance ≤ 10 µF)</t>
  </si>
  <si>
    <t>R301, R302</t>
  </si>
  <si>
    <t>Resistor, AVCC_L and AVCC_R feed (separate branches from the LDO)</t>
  </si>
  <si>
    <t>1 Ω</t>
  </si>
  <si>
    <t>C303, C304</t>
  </si>
  <si>
    <t>Capacitor, AVCC_L and AVCC_R (2.2 µF keeps the LP5907 total at 5.7 µF, under its 10 µF limit)</t>
  </si>
  <si>
    <t>2.2 µF</t>
  </si>
  <si>
    <t>6.3 V X5R</t>
  </si>
  <si>
    <t>C305–C309</t>
  </si>
  <si>
    <t>Capacitor, AVCC_L, AVCC_R, VCCA, DVCC, DVDD HF decoupling</t>
  </si>
  <si>
    <t>C310</t>
  </si>
  <si>
    <t>Capacitor, DVDD (datasheet: ≥ 1 µF effective at 1.2 V; 2.2 µF X5R recommended)</t>
  </si>
  <si>
    <t>U303</t>
  </si>
  <si>
    <t>LDO, external DVDD 1.3 V (datasheet: required for FSR &gt; 192 kHz), from 3V3</t>
  </si>
  <si>
    <t>1.3 V, ≥ 50 mA</t>
  </si>
  <si>
    <t>SOT-223</t>
  </si>
  <si>
    <t>Adjustable, 1.25 V ref</t>
  </si>
  <si>
    <t>AMS1117-ADJ</t>
  </si>
  <si>
    <t>R303, R304</t>
  </si>
  <si>
    <t>Resistor, 1.3 V divider 240 Ω / 10 Ω (5.2 mA also meets the minimum load)</t>
  </si>
  <si>
    <t>240 Ω / 10 Ω</t>
  </si>
  <si>
    <t>C311, C312</t>
  </si>
  <si>
    <t>Capacitor, 1.3 V LDO input and output</t>
  </si>
  <si>
    <t>R305</t>
  </si>
  <si>
    <t>Resistor, RESETB pull-down (DAC held in reset at power-up)</t>
  </si>
  <si>
    <t>100 kΩ</t>
  </si>
  <si>
    <t>R306</t>
  </si>
  <si>
    <t>Resistor, ADDR strap (I²C address 0x90)</t>
  </si>
  <si>
    <t>FB301</t>
  </si>
  <si>
    <t>Ferrite bead, 3V3 → DVCC</t>
  </si>
  <si>
    <t>1.3 A</t>
  </si>
  <si>
    <t>U401, U402</t>
  </si>
  <si>
    <t>Op-amp, dual; U401 = L+ and L−, U402 = R+ and R− (one amplifier per leg, no paralleling)</t>
  </si>
  <si>
    <t>VSON-10 3 × 3 mm</t>
  </si>
  <si>
    <t>Isc +145/−130 mA typ; thermal pad to V−</t>
  </si>
  <si>
    <t>TI OPA1622IDRCR</t>
  </si>
  <si>
    <t>LCSC C2876559</t>
  </si>
  <si>
    <t>R401–R416</t>
  </si>
  <si>
    <t>Resistor, 4-resistor difference amplifier per leg, fed by the I/V outputs (leg+ = I/V(DAC−) − I/V(DAC+), leg− the swap); matching sets common-mode rejection</t>
  </si>
  <si>
    <t>2.00 kΩ</t>
  </si>
  <si>
    <t>0.1% 25 ppm thin film</t>
  </si>
  <si>
    <t>C401–C408</t>
  </si>
  <si>
    <t>Capacitor, across each feedback and ground-leg resistor (≈ 170 kHz low-pass with 2 kΩ)</t>
  </si>
  <si>
    <t>470 pF</t>
  </si>
  <si>
    <t>U403, U404</t>
  </si>
  <si>
    <t>Op-amp, dual, current-to-voltage (I/V) converters, one amplifier per DAC pin (U403 = DACL, DACLB; U404 = DACR, DACRB), as in the ESS application circuit</t>
  </si>
  <si>
    <t>SOIC-8</t>
  </si>
  <si>
    <t>4.5 nV/√Hz, rail-to-rail output, ±2.25 to ±18 V</t>
  </si>
  <si>
    <t>TI OPA1678IDR</t>
  </si>
  <si>
    <t>LCSC C192421</t>
  </si>
  <si>
    <t>R423–R426</t>
  </si>
  <si>
    <t>Resistor, I/V feedback (sets 2.0 Vrms per leg: 2 × 750/806 × 1.078 Vrms)</t>
  </si>
  <si>
    <t>750 Ω</t>
  </si>
  <si>
    <t>R427–R430</t>
  </si>
  <si>
    <t>Resistor, in series with each I/V feedback capacitor (ESS application circuit)</t>
  </si>
  <si>
    <t>10 Ω</t>
  </si>
  <si>
    <t>C417–C420</t>
  </si>
  <si>
    <t>Capacitor, I/V feedback (≈ 141 kHz with 750 Ω)</t>
  </si>
  <si>
    <t>1.5 nF</t>
  </si>
  <si>
    <t>R431, R432</t>
  </si>
  <si>
    <t>Resistor, VREF divider from 3V3A (10.0 kΩ / 10.7 kΩ → 1.706 V, the DAC zero-DC-current point ≈ 1.70 V)</t>
  </si>
  <si>
    <t>10.0 kΩ / 10.7 kΩ</t>
  </si>
  <si>
    <t>C421</t>
  </si>
  <si>
    <t>Capacitor, VREF filter (≈ 3 Hz with the divider)</t>
  </si>
  <si>
    <t>C422</t>
  </si>
  <si>
    <t>Capacitor, VREF HF decoupling</t>
  </si>
  <si>
    <t>C423–C426</t>
  </si>
  <si>
    <t>Capacitor, OPA1678 V+ and V−</t>
  </si>
  <si>
    <t>R417–R420</t>
  </si>
  <si>
    <t>Link, output series per leg (fit 0.47 Ω only if the capacitive-load test needs it)</t>
  </si>
  <si>
    <t>0 Ω</t>
  </si>
  <si>
    <t>R421, R422</t>
  </si>
  <si>
    <t>Resistor, EN pull-downs (amplifiers off at power-up)</t>
  </si>
  <si>
    <t>C409–C412</t>
  </si>
  <si>
    <t>Capacitor, OPA1622 V+ and V−</t>
  </si>
  <si>
    <t>C413–C416</t>
  </si>
  <si>
    <t>Capacitor, OPA1622 local bulk V+ and V−</t>
  </si>
  <si>
    <t>U501</t>
  </si>
  <si>
    <t>Charge pump + low-noise LDOs, ±4.5 V at up to ±250 mA from 5 V, separate EN±, power-good</t>
  </si>
  <si>
    <t>±4.5 V</t>
  </si>
  <si>
    <t>WSON-12 2 × 3 mm</t>
  </si>
  <si>
    <t>2.7–5.5 V in, 2 MHz</t>
  </si>
  <si>
    <t>TI LM27762DSSR</t>
  </si>
  <si>
    <t>LCSC C473398</t>
  </si>
  <si>
    <t>C501</t>
  </si>
  <si>
    <t>Capacitor, LM27762 input (part of the ≤ 10 µF VBUS budget)</t>
  </si>
  <si>
    <t>4.7 µF</t>
  </si>
  <si>
    <t>C502</t>
  </si>
  <si>
    <t>Capacitor, LM27762 flying capacitor</t>
  </si>
  <si>
    <t>10 V X7R</t>
  </si>
  <si>
    <t>C503, C504</t>
  </si>
  <si>
    <t>Capacitor, LM27762 charge-pump output (CPOUT) and LDO outputs (per datasheet)</t>
  </si>
  <si>
    <t>C505</t>
  </si>
  <si>
    <t>Capacitor, LM27762 negative LDO output</t>
  </si>
  <si>
    <t>R501–R504</t>
  </si>
  <si>
    <t>Resistor, LM27762 feedback dividers for +4.5 V and −4.5 V (values per datasheet equations)</t>
  </si>
  <si>
    <t>[per datasheet]</t>
  </si>
  <si>
    <t>R505</t>
  </si>
  <si>
    <t>Resistor, LM27762 PG pull-up to 3V3 (RAILS_OK_N → MCU)</t>
  </si>
  <si>
    <t>U502</t>
  </si>
  <si>
    <t>LDO, digital 3V3 for MCU, CPLD, oscillators and DAC DVCC (low dropout)</t>
  </si>
  <si>
    <t>3.3 V, 500 mA</t>
  </si>
  <si>
    <t>≈ 100 mV dropout at 100 mA</t>
  </si>
  <si>
    <t>Microne ME6211C33M5G-N</t>
  </si>
  <si>
    <t>C506, C507</t>
  </si>
  <si>
    <t>Capacitor, 3V3 LDO input and output</t>
  </si>
  <si>
    <t>U601</t>
  </si>
  <si>
    <t>Comparator, dual, open collector, on ±4.5 V: window detector for DC on any leg</t>
  </si>
  <si>
    <t>2–36 V</t>
  </si>
  <si>
    <t>LM393DR (any Basic source)</t>
  </si>
  <si>
    <t>R601–R604</t>
  </si>
  <si>
    <t>Resistor, DC-detect filter, one per leg</t>
  </si>
  <si>
    <t>C601–C604</t>
  </si>
  <si>
    <t>Capacitor, DC-detect filter (τ = 100 ms)</t>
  </si>
  <si>
    <t>D601–D604</t>
  </si>
  <si>
    <t>Diode pair, diode-OR of each leg into MAX and MIN nodes</t>
  </si>
  <si>
    <t>BAV99</t>
  </si>
  <si>
    <t>SOT-23</t>
  </si>
  <si>
    <t>R605–R610</t>
  </si>
  <si>
    <t>Resistor, MAX/MIN node loads and ±threshold dividers from ±4.5 V</t>
  </si>
  <si>
    <t>1 MΩ / 100 kΩ / 12 kΩ</t>
  </si>
  <si>
    <t>R611</t>
  </si>
  <si>
    <t>Resistor, comparator output pull-up to +4.5 V (FAULT_N)</t>
  </si>
  <si>
    <t>47 kΩ</t>
  </si>
  <si>
    <t>Q601</t>
  </si>
  <si>
    <t>PNP, fault level shifter from the ±4.5 V domain into the 3.3 V latch</t>
  </si>
  <si>
    <t>MMBT3906</t>
  </si>
  <si>
    <t>40 V</t>
  </si>
  <si>
    <t>Q602, Q603</t>
  </si>
  <si>
    <t>NPN + PNP pair forming the 3.3 V fault latch (powered from 3V3, survives the rails turning off)</t>
  </si>
  <si>
    <t>MMBT3904 / MMBT3906</t>
  </si>
  <si>
    <t>Q604</t>
  </si>
  <si>
    <t>NPN, latch clear from MCU FLT_CLR</t>
  </si>
  <si>
    <t>MMBT3904</t>
  </si>
  <si>
    <t>Q605, Q606</t>
  </si>
  <si>
    <t>N-MOSFET, latch output pulls AMP_EN and RAIL_EN (LM27762 EN+/EN−) to 0 V</t>
  </si>
  <si>
    <t>2N7002</t>
  </si>
  <si>
    <t>60 V</t>
  </si>
  <si>
    <t>R612–R619</t>
  </si>
  <si>
    <t>Resistor, latch and driver network (base resistors, pull-downs)</t>
  </si>
  <si>
    <t>10–100 kΩ</t>
  </si>
  <si>
    <t>C605</t>
  </si>
  <si>
    <t>Capacitor, latch power-up set (latch starts in the fault state until firmware clears it)</t>
  </si>
  <si>
    <t>J701</t>
  </si>
  <si>
    <t>Jack, 4.4 mm 5-pole balanced (L+, L−, R+, R−, GND)</t>
  </si>
  <si>
    <t>Through-hole</t>
  </si>
  <si>
    <t>Gold-plated</t>
  </si>
  <si>
    <t>G-Switch GT-3321667P-01</t>
  </si>
  <si>
    <t>LCSC C2762984</t>
  </si>
  <si>
    <t>THT: ≈ 7 hand-soldered joints</t>
  </si>
  <si>
    <t>J702</t>
  </si>
  <si>
    <t>Jack, 3.5 mm (TRRS body used with TRS plugs; ring 2 tied to GND)</t>
  </si>
  <si>
    <t>Gold-plated, 1 A</t>
  </si>
  <si>
    <t>HRO PJ-332A-6A</t>
  </si>
  <si>
    <t>LCSC C2848643</t>
  </si>
  <si>
    <t>D701–D704</t>
  </si>
  <si>
    <t>ESD diode, bidirectional, one per jack leg</t>
  </si>
  <si>
    <t>PESD15VL1BA</t>
  </si>
  <si>
    <t>SOD-323</t>
  </si>
  <si>
    <t>15 V standoff, 16 pF typ</t>
  </si>
  <si>
    <t>Nexperia PESD15VL1BA,115</t>
  </si>
  <si>
    <t>LCSC C85378</t>
  </si>
  <si>
    <t>D705, D706</t>
  </si>
  <si>
    <t>LED, status (green) and fault (red), driven directly by 3.3 V GPIO</t>
  </si>
  <si>
    <t>R701, R702</t>
  </si>
  <si>
    <t>Resistor, LED series</t>
  </si>
  <si>
    <t>1 kΩ</t>
  </si>
  <si>
    <t>J703</t>
  </si>
  <si>
    <t>Header, 3.3 V I²S test port (MCLK, BCLK, LRCLK, SDATA, GND, 3V3 ref)</t>
  </si>
  <si>
    <t>1 × 6</t>
  </si>
  <si>
    <t>2.54 mm</t>
  </si>
  <si>
    <t>DNF</t>
  </si>
  <si>
    <t>TP701–TP724</t>
  </si>
  <si>
    <t>Test pads: rails, clocks, I²S, EN/PG/fault nodes, 4 GND (copper only)</t>
  </si>
  <si>
    <t>Pad</t>
  </si>
  <si>
    <t>MH, FID</t>
  </si>
  <si>
    <t>M3 mounting holes (4) and fiducials (3)</t>
  </si>
  <si>
    <t>PCB</t>
  </si>
  <si>
    <t>Bare board, 4 layers, ≤ 80 × 60 mm, 90 Ω USB pair</t>
  </si>
  <si>
    <t>JLCPCB</t>
  </si>
  <si>
    <t>Totals, fitted lines (line-cost columns include the bare-PCB row)</t>
  </si>
  <si>
    <t>Parts only (bare PCB excluded)</t>
  </si>
  <si>
    <t>Purchasing list — fitted parts merged by part number / specification</t>
  </si>
  <si>
    <t>One row per distinct part; generic parts are merged by value, package and rating. Ext. cost = quantity × unit price; the US$0.10 minimum spend per estimated passive line is applied on the Parts list and in the Cost sheet, not here. The bare PCBs are costed on the Cost sheet.</t>
  </si>
  <si>
    <t>Item</t>
  </si>
  <si>
    <t>Part type</t>
  </si>
  <si>
    <t>Unit price US$ (1–9 pcs)</t>
  </si>
  <si>
    <t>Ext. cost US$, 5-board run</t>
  </si>
  <si>
    <t>Ext. per board US$ (100-board tier)</t>
  </si>
  <si>
    <t>Jack</t>
  </si>
  <si>
    <t>Op-amp</t>
  </si>
  <si>
    <t>MCU</t>
  </si>
  <si>
    <t>CPLD</t>
  </si>
  <si>
    <t>Charge pump + low-noise LDOs</t>
  </si>
  <si>
    <t>ESD diode</t>
  </si>
  <si>
    <t>USB-C receptacle</t>
  </si>
  <si>
    <t>ESD array</t>
  </si>
  <si>
    <t>LDO</t>
  </si>
  <si>
    <t>Comparator</t>
  </si>
  <si>
    <t>Ferrite bead</t>
  </si>
  <si>
    <t>FB101; FB301</t>
  </si>
  <si>
    <t>Resistor</t>
  </si>
  <si>
    <t>Oscillator</t>
  </si>
  <si>
    <t>Capacitor</t>
  </si>
  <si>
    <t>C211; C311, C312; C421; C413–C416; C503, C504; C505</t>
  </si>
  <si>
    <t>C203–C210; C213–C216; C217, C218; C305–C309; C422; C423–C426; C409–C412; C605</t>
  </si>
  <si>
    <t>Crystal</t>
  </si>
  <si>
    <t>C502; C601–C604</t>
  </si>
  <si>
    <t>Diode pair</t>
  </si>
  <si>
    <t>C102; C301, C302; C506, C507</t>
  </si>
  <si>
    <t>NPN + PNP pair forming the 3.3 V fault latch (powered from 3V3</t>
  </si>
  <si>
    <t>N-MOSFET</t>
  </si>
  <si>
    <t>C303, C304; C310</t>
  </si>
  <si>
    <t>R305; R421, R422; R505; R601–R604</t>
  </si>
  <si>
    <t>LED</t>
  </si>
  <si>
    <t>PNP</t>
  </si>
  <si>
    <t>NPN</t>
  </si>
  <si>
    <t>Link</t>
  </si>
  <si>
    <t>R202; R306</t>
  </si>
  <si>
    <t>Total, all purchase lines</t>
  </si>
  <si>
    <t>Cost — 5-board sample run (JLCPCB Economic PCBA) and 100-unit reference</t>
  </si>
  <si>
    <t>Revised 24 Sep 2026 (DAC current-mode output, option B) · parts at LCSC 1–9-piece prices (100-board tier for the reference) · JLCPCB PCBA fee schedules · blue on yellow = input · every NTD figure uses the exchange rate in B5</t>
  </si>
  <si>
    <t>Inputs</t>
  </si>
  <si>
    <t>Note</t>
  </si>
  <si>
    <t>Exchange rate</t>
  </si>
  <si>
    <t>NTD per US$</t>
  </si>
  <si>
    <t>fixed for the cost gate; applies to every NTD figure</t>
  </si>
  <si>
    <t>Boards in the sample run</t>
  </si>
  <si>
    <t>boards</t>
  </si>
  <si>
    <t>JLCPCB Economic PCBA (one side, 2–50 boards)</t>
  </si>
  <si>
    <t>Boards in the reference build</t>
  </si>
  <si>
    <t>JLCPCB Standard PCBA — reference only, not the budget basis</t>
  </si>
  <si>
    <t>Minimum spend per estimated passive line</t>
  </si>
  <si>
    <t>US$</t>
  </si>
  <si>
    <t>5-board run: line = MAX(qty × boards × 1–9-piece price, this value) when Price basis = Estimate and price &gt; 0</t>
  </si>
  <si>
    <t>Through-hole joints per board</t>
  </si>
  <si>
    <t>J701 4.4 mm jack, hand-soldered</t>
  </si>
  <si>
    <t>Cost target per board, 5-board run</t>
  </si>
  <si>
    <t>WARNING above; = 7,500 NTD for 5 boards incl. bare PCBs and assembly fees; excl. shipping, import tax, programmers, enclosure</t>
  </si>
  <si>
    <t>Approved ceiling per board, 5-board run</t>
  </si>
  <si>
    <t>Board data (linked from the Parts list)</t>
  </si>
  <si>
    <t>Source</t>
  </si>
  <si>
    <t>Fitted BOM lines</t>
  </si>
  <si>
    <t>Parts list: Fit = Yes (includes the bare-PCB row)</t>
  </si>
  <si>
    <t>Parts list: Qty where Fit = Yes and SMT joints per part &gt; 0</t>
  </si>
  <si>
    <t>Through-hole parts per board</t>
  </si>
  <si>
    <t>Parts list: Package = Through-hole (4.4 mm jack J701)</t>
  </si>
  <si>
    <t>Extended SMT part types</t>
  </si>
  <si>
    <t>Parts list helper V: distinct MPN, or value + package + rating for generic parts; library type not Basic</t>
  </si>
  <si>
    <t>Basic SMT part types</t>
  </si>
  <si>
    <t>Parts list helper V: library type Basic or Basic (likely)</t>
  </si>
  <si>
    <t>All SMT part types</t>
  </si>
  <si>
    <t>Extended + Basic (feeder loading on the 100-unit reference)</t>
  </si>
  <si>
    <t>Parts list: Qty × SMT joints per part where Fit = Yes</t>
  </si>
  <si>
    <t>Leadless parts per board (X-ray)</t>
  </si>
  <si>
    <t>Parts list: Leadless (X-ray) = Yes — CPLD, ES9018K2M, 2 × OPA1622, LM27762, 2 oscillators</t>
  </si>
  <si>
    <t>of which oscillators</t>
  </si>
  <si>
    <t>X201, X202 — JLCPCB may not X-ray them</t>
  </si>
  <si>
    <t>Parts, 5-board run (bare PCB excluded)</t>
  </si>
  <si>
    <t>Parts list: Line cost 5-board run, all lines except the PCB row (includes the minimum spend)</t>
  </si>
  <si>
    <t>of which minimum-spend uplift</t>
  </si>
  <si>
    <t>line costs above plain qty × boards × 1–9-piece price</t>
  </si>
  <si>
    <t>Bare 4-layer PCBs, 5-board run (estimate)</t>
  </si>
  <si>
    <t>Parts list: PCB row, qty × boards × unit price</t>
  </si>
  <si>
    <t>Parts per board, 100-board tier (bare PCB excluded)</t>
  </si>
  <si>
    <t>Parts list: Line cost 100-board run ÷ boards</t>
  </si>
  <si>
    <t>Bare PCB per board, 100-board tier (estimate)</t>
  </si>
  <si>
    <t>Parts list: PCB row</t>
  </si>
  <si>
    <t>PCBA fee (per order)</t>
  </si>
  <si>
    <t>Quantity</t>
  </si>
  <si>
    <t>Rate US$</t>
  </si>
  <si>
    <t>Fixed US$</t>
  </si>
  <si>
    <t>Setup</t>
  </si>
  <si>
    <t>fixed fee per order</t>
  </si>
  <si>
    <t>Stencil</t>
  </si>
  <si>
    <t>SMT joints</t>
  </si>
  <si>
    <t>X-ray (leadless parts)</t>
  </si>
  <si>
    <t>Through-hole joints</t>
  </si>
  <si>
    <t>Confirm Parts Placement</t>
  </si>
  <si>
    <t>PCBA fees, total per order</t>
  </si>
  <si>
    <t>5-board run total</t>
  </si>
  <si>
    <t>Parts list: fitted lines except the PCB row, incl. the minimum spend per estimated passive line</t>
  </si>
  <si>
    <t>JLCPCB PCBA fees</t>
  </si>
  <si>
    <t>Economic PCBA, itemised above</t>
  </si>
  <si>
    <t>cost-gate figure</t>
  </si>
  <si>
    <t>input B11 (owner decision 24 Sep 2026); FAIL above</t>
  </si>
  <si>
    <t>Margin to the target per board</t>
  </si>
  <si>
    <t>Margin to the approved ceiling per board</t>
  </si>
  <si>
    <t>Levers — effect on the 5-board run</t>
  </si>
  <si>
    <t>Lever</t>
  </si>
  <si>
    <t>Current US$</t>
  </si>
  <si>
    <t>Change US$ (run)</t>
  </si>
  <si>
    <t>Oscillators not X-rayed</t>
  </si>
  <si>
    <t>Cheaper 4.4 mm jack — current J701 cost</t>
  </si>
  <si>
    <t>Buy 10 CH32V307RCT6 (10+ tier)</t>
  </si>
  <si>
    <t>LCSC 10+ price (brief §2); positive = the order costs more — buying 10 saves only if the 10+ price is below half the 1–9-piece price (the 5 extra parts are spares)</t>
  </si>
  <si>
    <t>Buy 10 AGRV2KQ32 (10+ tier)</t>
  </si>
  <si>
    <t>Buy 10 LM27762DSSR (10+ tier)</t>
  </si>
  <si>
    <t>Reduction needed to reach PASS (target)</t>
  </si>
  <si>
    <t>Setup (single side)</t>
  </si>
  <si>
    <t>Fixtures</t>
  </si>
  <si>
    <t>fixed fee, 100–199-board tier</t>
  </si>
  <si>
    <t>Feeder loading (all SMT part types)</t>
  </si>
  <si>
    <t>Cost per board, 100-unit reference</t>
  </si>
  <si>
    <t>Parts (100-board tier)</t>
  </si>
  <si>
    <t>Parts list: fitted lines except the PCB row</t>
  </si>
  <si>
    <t>Bare PCB (estimate)</t>
  </si>
  <si>
    <t>PCBA fees per board</t>
  </si>
  <si>
    <t>Total per board, 100-unit reference</t>
  </si>
  <si>
    <t>reference line only</t>
  </si>
  <si>
    <t>Excludes shipping, import tax, the WCH-LinkE and CPLD programming cable, and the enclosure.</t>
  </si>
  <si>
    <t>Notes &amp; open items</t>
  </si>
  <si>
    <t>Parts List v0.2 · Diego Yang · 23 Sep 2026, revised 24 Sep 2026 (option B: DAC current-mode output) · companion to Design Specification v0.4 and Schematic Design Notes v0.3</t>
  </si>
  <si>
    <t>About this list</t>
  </si>
  <si>
    <t>Designators are grouped by block: 1xx USB-C input and protection, 2xx USB audio bridge, 3xx DAC, 4xx output legs, 5xx power, 6xx protection and control, 7xx outputs, indicators, test and board.</t>
  </si>
  <si>
    <t>Fit: Yes = placed on every board; DNF = footprint only, part not placed (J703 I²S test header); No part = copper only (J201 / J202 debug pads, TP701–TP724 test pads, 4 mounting holes and 3 fiducials).</t>
  </si>
  <si>
    <t>Generic passives and small discretes get LCSC numbers at the KiCad BOM step, value-matched to JLCPCB Basic parts; the Purchasing list merges them by value, package and rating (one part type each).</t>
  </si>
  <si>
    <t>Legend: Quote = LCSC listing price; Estimate = planning price (generic parts and parts without an LCSC number yet); blue on yellow = input on the Cost sheet; Parts list columns U–V are helpers that count distinct SMT part types.</t>
  </si>
  <si>
    <t>Why v0.2 — cost-driven redesign (brief §1)</t>
  </si>
  <si>
    <t>Three independent reviews of Spec v0.3 / Notes v0.2 / Parts List v0.1 found blockers. With every fix applied, the v0.3 architecture (XMOS XU316 + AKM AK4493SEQ + 4 × OPA1622 + 15 V USB PD power) was estimated at ≈ 17,100 NTD for 5 boards (≈ 3,400 NTD per board).</t>
  </si>
  <si>
    <t>The owner clarified the budget: ≤ 1,500 NTD per board refers to the 5-board sample run (≈ 7,500 NTD for five assembled boards, including the bare PCBs and JLCPCB assembly fees, excluding shipping, import tax, programmers and enclosure). It is not a 100-unit average.</t>
  </si>
  <si>
    <t>The owner chose a redesign to 1,500 NTD per board with a cheaper USB bridge, DAC and amplifier, accepting lower drive than K1000 / Susvara-class headphones.</t>
  </si>
  <si>
    <t>v0.4 architecture: CH32V307RCT6 + AGRV2KQ32 CPLD USB bridge (open-source USBAudioToI2S, Apache-2.0) with 22.5792 / 24.576 MHz oscillators; ES9018K2M DAC, in current mode since 24 Sep 2026 (option B): 2 × OPA1678 I/V converters feed 2 × OPA1622 used as four difference amplifiers; single USB-C port, bus-powered within 500 mA; LM27762 ±4.5 V; ME6211C33 (digital 3.3 V), LP5907-3.3 (DAC analog) and AMS1117-ADJ (1.30 V DVDD); LM393 window comparator + 3.3 V hardware fault latch instead of relays; fixed gain with DAC digital volume.</t>
  </si>
  <si>
    <t>Dropped: 15 V USB PD power port, CH224A, eFuse, inverting buck-boost, LM317 / LM337, relays, gain switch, DC servo, paralleled halves, K1000 1 W target. Kept: 3.5 mm unbalanced + 4.4 mm balanced jacks, ≥ 384 kHz, JLCPCB PCBA, CI / AI review / measurement automation.</t>
  </si>
  <si>
    <t>Assumptions</t>
  </si>
  <si>
    <t>Prices: LCSC 1–9-piece tier for the 5-board sample run (Quote = LCSC listing; Estimate = planning price). The 100-board tier is used only for the 100-unit reference.</t>
  </si>
  <si>
    <t>JLCPCB Economic PCBA for the sample run (one side only, 2–50 boards): setup, stencil, US$3.07 per Extended part type, SMT joints, X-ray per leadless part, through-hole joints for the 4.4 mm jack and Confirm Parts Placement — itemised on the Cost sheet.</t>
  </si>
  <si>
    <t>Part types: Extended types carry the per-type fee; "Basic (likely)" parts are counted as Basic (no fee) until confirmed in the JLCPCB library — each one that turns out Extended adds US$3.07 to the run.</t>
  </si>
  <si>
    <t>100-unit reference: JLCPCB Standard PCBA with parts at the 100-board tier — for information only, not the budget basis.</t>
  </si>
  <si>
    <t>Exclusions</t>
  </si>
  <si>
    <t>Not in the cost: shipping, import tax, the WCH-LinkE and CPLD programming cable, and the enclosure.</t>
  </si>
  <si>
    <t>The DNF I²S test header (J703) and the copper-only items (debug pads, test pads, mounting holes, fiducials) carry no part cost.</t>
  </si>
  <si>
    <t>Open items — parts and cost (close before ordering)</t>
  </si>
  <si>
    <t>Assign LCSC numbers: oscillators X201 / X202 (3225, 3.3 V, 22.5792 / 24.576 MHz), LP5907-3.3 (U302), ME6211C33 (U502), AMS1117-ADJ (U303), LM393 (U601) and the 8 MHz crystal (Y201); then every generic passive at the KiCad BOM step.</t>
  </si>
  <si>
    <t>Confirm the "Basic (likely)" parts in the JLCPCB library: ME6211C33, AMS1117-ADJ, LM393, Sunlord GZ1608D601TF ferrite (LCSC C1015), 8 MHz crystal, and the generic passives, diodes and transistors.</t>
  </si>
  <si>
    <t>Confirm whether JLCPCB X-rays the two oscillators (lever on the Cost sheet).</t>
  </si>
  <si>
    <t>CI BOM rule: every fitted part has an LCSC number and stock ≥ the 5-board quantity (Purchasing list, Qty for 5-board run).</t>
  </si>
  <si>
    <t>Open items — design (brief §8, updated 24 Sep 2026; may change parts)</t>
  </si>
  <si>
    <t>Firmware from a small open-source project (top risk): build USBAudioToI2S before layout; keep the reference pin map; fallback is an XMOS-based v2 (budget permitting).</t>
  </si>
  <si>
    <t>CLOSED 24 Sep 2026 — ES9018K2M output loading: the datasheet gives 806 Ω ±11 % per DAC pin (p.31), so the direct 2 kΩ difference-amplifier load cost 5.1 dB of level; resolved by the move to current mode with OPA1678 I/V converters (ESS application circuit, p.27).</t>
  </si>
  <si>
    <t>Confirm the VREF ≈ 1.70 V null point at bring-up: DC at the I/V outputs ≈ VREF at idle (DAC zero-DC-current point; VREF = 1.706 V from R431 / R432).</t>
  </si>
  <si>
    <t>OPA1678 stability with the DAC pin capacitance (10 Ω + 1.5 nF C0G feedback network, R427–R430 / C417–C420) — SPICE check.</t>
  </si>
  <si>
    <t>USB current estimate 0.49 A worst case vs the 0.5 A USB 2.0 limit (was 0.47 A; OPA1678 quiescent and I/V output currents added); idle ≈ 0.25 A — measure at bring-up.</t>
  </si>
  <si>
    <t>DAC differential DC offset at idle (assumption: DAC pin-to-pin mismatch ≤ 1 mV); worst-case balanced output offset ≤ 14.7 mV against the ±15 mV target — close to its limit.</t>
  </si>
  <si>
    <t>The datasheet says an external DVDD should be shut down in standby; the AMS1117-ADJ (U303) has no enable — confirm the behaviour or add an enable-capable LDO.</t>
  </si>
  <si>
    <t>CH32V307 HSE frequency (Y201) and USB High-Speed layout per the WCH reference.</t>
  </si>
  <si>
    <t>OPA1622 swing at 100 mA on ±4.5 V (datasheet Fig. 38 / 39).</t>
  </si>
  <si>
    <t>Both jacks are live; one headphone at a time; a 4.4 mm-to-3.5 mm adapter shorts leg− (current limit, one amplifier per package) — warn in the manual.</t>
  </si>
  <si>
    <t>Thermal and 2 MHz charge-pump noise coupling into the analog area — layout separation.</t>
  </si>
  <si>
    <t>DFA / DFT / CI (brief §10)</t>
  </si>
  <si>
    <t>Economic PCBA, one side only, 2–50 boards; prefer JLCPCB Basic parts (no per-type fee): all passives, transistors, LM393, ME6211, AMS1117, ferrite, crystal.</t>
  </si>
  <si>
    <t>Leadless parts (X-ray): CPLD, ES9018K2M, 2 × OPA1622, LM27762, 2 oscillators (the OPA1678 is SOIC-8, leaded).</t>
  </si>
  <si>
    <t>DFT: test pad on every rail (5V_SYS, 3V3, 3V3A, 1V3, +4.5 V, −4.5 V), clocks, I²S, EN / PG / fault; debug pads for the MCU and CPLD; DNF I²S header.</t>
  </si>
  <si>
    <t>CI cost gate for the 5-board run: fixed 31.7 NTD per US$; WARN &gt; 1,500 NTD per board (target), FAIL &gt; 1,550 (approved ceiling, owner decision 24 Sep 2026; previously FAIL &gt; 1,500, WARN &gt; 1,425), plus a 100-unit reference line — the same rule as the Cost sheet.</t>
  </si>
  <si>
    <t>External links: every formula references only this workbook's own sheets; links appear when sheets are copied into another workbook — the Checks sheet records the file check.</t>
  </si>
  <si>
    <t>Change log</t>
  </si>
  <si>
    <t>23 Sep 2026 — C303, C304 (AVCC_L, AVCC_R) changed from 4.7 µF 0603 10 V X5R to 2.2 µF 0603 6.3 V X5R: the LP5907 output capacitance was over its 10 µF limit; 2.2 µF keeps the LP5907 total at 5.7 µF. Price basis unchanged (Estimate: US$0.012 at 1–9 pcs, US$0.005 at 100).</t>
  </si>
  <si>
    <t>23 Sep 2026 — Purchasing list: the 4.7 µF 0603 10 V X5R line covers C501 only; the 2.2 µF 0603 6.3 V X5R line covers C303, C304 and C310. Counts, totals and the 1,447 NTD per board result were unchanged.</t>
  </si>
  <si>
    <t>24 Sep 2026 — DAC outputs changed to current mode per ESS application circuit (datasheet p.27); reason: each DAC pin is 806 Ω ±11 % (datasheet p.31), the 2 kΩ direct load cost 5.1 dB of level.</t>
  </si>
  <si>
    <t>24 Sep 2026 — BOM: block 4 is now "I/V converters and output legs (2 × OPA1678 + 2 × OPA1622)" with 8 new lines: U403 / U404 OPA1678IDR (LCSC C192421, Extended), R423–R426 750 Ω 1 %, R427–R430 10 Ω, C417–C420 1.5 nF C0G, R431 / R432 10.0 kΩ / 10.7 kΩ VREF divider, C421 10 µF, C422 100 nF, C423–C426 100 nF. Now 81 BOM lines (76 fitted), 181 placed parts, 14 Extended + 39 Basic types, 579 SMT joints, 54 purchase lines.</t>
  </si>
  <si>
    <t>24 Sep 2026 — Cost: 5-board run 1,447 → 1,536 NTD per board (US$242.30 = 7,681 NTD). Cost gate changed by the owner ("a little bit off-budget is acceptable"): target 1,500 NTD per board (WARNING above), approved ceiling 1,550 NTD per board (FAIL above) → WARNING, 36 NTD over the target and 14 NTD under the ceiling.</t>
  </si>
  <si>
    <t>Checks — formula-based self-checks</t>
  </si>
  <si>
    <t>Each check recomputes a figure from the lists or the Cost sheet and compares it with the expected value. Two-sided checks: OK when |Difference| ≤ Tolerance. One-sided gate checks: OK / WARNING when Difference ≤ 0. Expected counts and totals are the calc results of 24 Sep 2026 (option B) — update them when the BOM changes.</t>
  </si>
  <si>
    <t>Check</t>
  </si>
  <si>
    <t>Expected</t>
  </si>
  <si>
    <t>Actual</t>
  </si>
  <si>
    <t>Difference</t>
  </si>
  <si>
    <t>Tolerance</t>
  </si>
  <si>
    <t>Result</t>
  </si>
  <si>
    <t>BOM lines in the Parts list</t>
  </si>
  <si>
    <t>Parts list rows 4–84</t>
  </si>
  <si>
    <t>Cost sheet (Fit = Yes)</t>
  </si>
  <si>
    <t>Cost sheet (Fit = Yes, SMT joints &gt; 0)</t>
  </si>
  <si>
    <t>Cost sheet (drives the US$3.07-per-type fee)</t>
  </si>
  <si>
    <t>Cost sheet</t>
  </si>
  <si>
    <t>Cost sheet (drives the X-ray fee)</t>
  </si>
  <si>
    <t>Cost sheet (drives the SMT joint fee)</t>
  </si>
  <si>
    <t>Purchasing list rows 4–57</t>
  </si>
  <si>
    <t>Purchasing qty per board = SMT-placed + through-hole parts</t>
  </si>
  <si>
    <t>every fitted placed part appears once in the Purchasing list</t>
  </si>
  <si>
    <t>Purchasing ext. cost = Parts list before the minimum spend (US$, 5-board run)</t>
  </si>
  <si>
    <t>grouping keeps quantities and prices</t>
  </si>
  <si>
    <t>Purchasing per-board cost = Cost sheet (US$, 100-board tier)</t>
  </si>
  <si>
    <t>Total, 5-board run: Cost sheet = Parts list lines + fee lines (US$)</t>
  </si>
  <si>
    <t>recomputed from the Parts list line costs (incl. PCB row) and the seven fee lines</t>
  </si>
  <si>
    <t>Summary total = Cost sheet total (NTD)</t>
  </si>
  <si>
    <t>Summary links to the Cost sheet</t>
  </si>
  <si>
    <t>Total, 5-board run (US$)</t>
  </si>
  <si>
    <t>calc result 24 Sep 2026</t>
  </si>
  <si>
    <t>Per-board total, 5-board run (NTD)</t>
  </si>
  <si>
    <t>calc result 24 Sep 2026 (±1 NTD)</t>
  </si>
  <si>
    <t>Block 4 parts per board: I/V converters and output legs (NTD)</t>
  </si>
  <si>
    <t>calc result 24 Sep 2026 (1–9-piece prices, before the minimum spend)</t>
  </si>
  <si>
    <t>100-unit reference per board (NTD)</t>
  </si>
  <si>
    <t>Per-board total within the approved ceiling (NTD)</t>
  </si>
  <si>
    <t>one-sided: OK at or under the 1,550 NTD approved ceiling (owner decision 24 Sep 2026); above it the gate is FAIL</t>
  </si>
  <si>
    <t>Per-board total within the target (NTD)</t>
  </si>
  <si>
    <t>Cost-gate status (target 1,500 WARN / ceiling 1,550 FAIL)</t>
  </si>
  <si>
    <t>WARNING</t>
  </si>
  <si>
    <t>owner decision 24 Sep 2026; expected WARNING at 1,536 NTD per board</t>
  </si>
  <si>
    <t>All checks</t>
  </si>
  <si>
    <t>External links</t>
  </si>
  <si>
    <t>Every formula in this workbook references only its own sheets (Summary, Parts list, Purchasing list, Cost, Notes &amp; open items, Checks); there are no external workbook links. Copying a sheet into another workbook can create links — repeat the file check after any copy.</t>
  </si>
  <si>
    <t>File check at save (24 Sep 2026 revision): the saved .xlsx opened as a zip has no xl/externalLinks part and no externalReferences entry; none of its 823 cell formulas (nor any table-column or conditional-format formula) contains "["; recalculation shows no formula errors.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</si>
</sst>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0.0000;\-0.0000;&quot;—&quot;"/>
    <numFmt numFmtId="165" formatCode="#,##0;\-#,##0;&quot;—&quot;"/>
    <numFmt numFmtId="166" formatCode="#,##0.00;\-#,##0.00;&quot;—&quot;"/>
    <numFmt numFmtId="167" formatCode="0.0000"/>
    <numFmt numFmtId="168" formatCode="0.0"/>
    <numFmt numFmtId="170" formatCode="\+#,##0.00;\-#,##0.00;0.00"/>
    <numFmt numFmtId="171" formatCode="\+#,##0;\-#,##0;0"/>
    <numFmt numFmtId="172" formatCode="#,##0.0"/>
    <numFmt numFmtId="173" formatCode="#,##0.0000"/>
    <numFmt numFmtId="174" formatCode="0.###"/>
    <numFmt numFmtId="175" formatCode="0&quot;.&quot;"/>
    <numFmt numFmtId="176" formatCode="\+#,##0.0;\-#,##0.0;0"/>
    <numFmt numFmtId="177" formatCode="#,##0;\-#,##0;0"/>
  </numFmts>
  <fonts count="16">
    <font>
      <sz val="11"/>
      <color theme="1"/>
      <name val="Calibri"/>
      <family val="2"/>
      <scheme val="minor"/>
    </font>
    <font>
      <sz val="10"/>
      <color theme="1"/>
      <name val="Calibri"/>
    </font>
    <font>
      <b/>
      <sz val="10"/>
      <color theme="1"/>
      <name val="Calibri"/>
    </font>
    <font>
      <b/>
      <sz val="14"/>
      <color rgb="FF1F4E5F"/>
      <name val="Calibri"/>
    </font>
    <font>
      <sz val="10"/>
      <color rgb="FF6B7780"/>
      <name val="Calibri"/>
    </font>
    <font>
      <b/>
      <sz val="10"/>
      <color rgb="FFFFFFFF"/>
      <name val="Calibri"/>
    </font>
    <font>
      <sz val="9"/>
      <color rgb="FF8A969D"/>
      <name val="Calibri"/>
    </font>
    <font>
      <b/>
      <sz val="10"/>
      <color rgb="FF1A1A1A"/>
      <name val="Calibri"/>
    </font>
    <font>
      <i/>
      <sz val="10"/>
      <color theme="1"/>
      <name val="Calibri"/>
    </font>
    <font>
      <i/>
      <sz val="10"/>
      <color rgb="FF6B7780"/>
      <name val="Calibri"/>
    </font>
    <font>
      <sz val="10"/>
      <color rgb="FF0000FF"/>
      <name val="Calibri"/>
    </font>
    <font>
      <b/>
      <sz val="16"/>
      <color rgb="FF1F4E5F"/>
      <name val="Calibri"/>
    </font>
    <font>
      <b/>
      <sz val="12"/>
      <color rgb="FF1F4E5F"/>
      <name val="Calibri"/>
    </font>
    <font>
      <b/>
      <sz val="10"/>
      <color rgb="FF6B7780"/>
      <name val="Calibri"/>
    </font>
    <font>
      <b/>
      <sz val="11"/>
      <color rgb="FFFFFFFF"/>
      <name val="Calibri"/>
    </font>
    <font>
      <sz val="10"/>
      <color rgb="FF8A969D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5F"/>
        <bgColor indexed="64"/>
      </patternFill>
    </fill>
    <fill>
      <patternFill patternType="solid">
        <fgColor rgb="FFF8ECDF"/>
        <bgColor indexed="64"/>
      </patternFill>
    </fill>
    <fill>
      <patternFill patternType="solid">
        <fgColor rgb="FFD5E4E9"/>
        <bgColor indexed="64"/>
      </patternFill>
    </fill>
    <fill>
      <patternFill patternType="solid">
        <fgColor rgb="FFEAF1F3"/>
        <bgColor indexed="64"/>
      </patternFill>
    </fill>
    <fill>
      <patternFill patternType="solid">
        <fgColor rgb="FFFFF2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8">
    <xf numFmtId="0" fontId="0" fillId="0" borderId="0" xfId="0"/>
    <xf numFmtId="0" fontId="1" fillId="0" borderId="0" xfId="0" applyFont="1"/>
    <xf numFmtId="0" fontId="4" fillId="0" borderId="0" xfId="0" applyFont="1" applyAlignment="1">
      <alignment vertical="top" wrapText="1"/>
    </xf>
    <xf numFmtId="0" fontId="5" fillId="2" borderId="0" xfId="0" applyFont="1" applyFill="1"/>
    <xf numFmtId="0" fontId="5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 vertical="center" wrapText="1"/>
    </xf>
    <xf numFmtId="49" fontId="1" fillId="0" borderId="0" xfId="0" applyNumberFormat="1" applyFont="1" applyAlignment="1">
      <alignment vertical="top" wrapText="1"/>
    </xf>
    <xf numFmtId="0" fontId="1" fillId="0" borderId="0" xfId="0" applyFont="1" applyAlignment="1">
      <alignment vertical="top" wrapText="1"/>
    </xf>
    <xf numFmtId="1" fontId="1" fillId="0" borderId="0" xfId="0" applyNumberFormat="1" applyFont="1" applyAlignment="1">
      <alignment horizontal="center" vertical="top" wrapText="1"/>
    </xf>
    <xf numFmtId="49" fontId="1" fillId="0" borderId="0" xfId="0" applyNumberFormat="1" applyFont="1" applyAlignment="1">
      <alignment horizontal="center" vertical="top" wrapText="1"/>
    </xf>
    <xf numFmtId="164" fontId="1" fillId="0" borderId="0" xfId="0" applyNumberFormat="1" applyFont="1" applyAlignment="1">
      <alignment vertical="top" wrapText="1"/>
    </xf>
    <xf numFmtId="165" fontId="1" fillId="0" borderId="0" xfId="0" applyNumberFormat="1" applyFont="1" applyAlignment="1">
      <alignment horizontal="center" vertical="top" wrapText="1"/>
    </xf>
    <xf numFmtId="166" fontId="1" fillId="0" borderId="0" xfId="0" applyNumberFormat="1" applyFont="1" applyAlignment="1">
      <alignment vertical="top" wrapText="1"/>
    </xf>
    <xf numFmtId="0" fontId="6" fillId="0" borderId="0" xfId="0" applyFont="1" applyAlignment="1">
      <alignment vertical="top" wrapText="1"/>
    </xf>
    <xf numFmtId="1" fontId="6" fillId="0" borderId="0" xfId="0" applyNumberFormat="1" applyFont="1" applyAlignment="1">
      <alignment horizontal="center" vertical="top" wrapText="1"/>
    </xf>
    <xf numFmtId="0" fontId="2" fillId="3" borderId="0" xfId="0" applyFont="1" applyFill="1"/>
    <xf numFmtId="3" fontId="2" fillId="3" borderId="0" xfId="0" applyNumberFormat="1" applyFont="1" applyFill="1" applyAlignment="1">
      <alignment horizontal="center"/>
    </xf>
    <xf numFmtId="4" fontId="2" fillId="3" borderId="0" xfId="0" applyNumberFormat="1" applyFont="1" applyFill="1"/>
    <xf numFmtId="3" fontId="1" fillId="0" borderId="0" xfId="0" applyNumberFormat="1" applyFont="1" applyAlignment="1">
      <alignment vertical="top" wrapText="1"/>
    </xf>
    <xf numFmtId="3" fontId="1" fillId="0" borderId="0" xfId="0" applyNumberFormat="1" applyFont="1" applyAlignment="1">
      <alignment horizontal="center" vertical="top" wrapText="1"/>
    </xf>
    <xf numFmtId="167" fontId="1" fillId="0" borderId="0" xfId="0" applyNumberFormat="1" applyFont="1" applyAlignment="1">
      <alignment vertical="top" wrapText="1"/>
    </xf>
    <xf numFmtId="4" fontId="1" fillId="0" borderId="0" xfId="0" applyNumberFormat="1" applyFont="1" applyAlignment="1">
      <alignment vertical="top" wrapText="1"/>
    </xf>
    <xf numFmtId="167" fontId="2" fillId="3" borderId="0" xfId="0" applyNumberFormat="1" applyFont="1" applyFill="1"/>
    <xf numFmtId="0" fontId="5" fillId="2" borderId="0" xfId="0" applyFont="1" applyFill="1" applyAlignment="1">
      <alignment horizontal="left"/>
    </xf>
    <xf numFmtId="0" fontId="1" fillId="5" borderId="0" xfId="0" applyFont="1" applyFill="1" applyAlignment="1">
      <alignment vertical="top" wrapText="1"/>
    </xf>
    <xf numFmtId="0" fontId="5" fillId="2" borderId="0" xfId="0" applyFont="1" applyFill="1" applyAlignment="1">
      <alignment vertical="top" wrapText="1"/>
    </xf>
    <xf numFmtId="0" fontId="7" fillId="4" borderId="0" xfId="0" applyFont="1" applyFill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  <xf numFmtId="0" fontId="12" fillId="0" borderId="0" xfId="0" applyFont="1"/>
    <xf numFmtId="0" fontId="5" fillId="2" borderId="0" xfId="0" applyFont="1" applyFill="1" applyAlignment="1">
      <alignment horizontal="right"/>
    </xf>
    <xf numFmtId="0" fontId="4" fillId="0" borderId="0" xfId="0" applyFont="1"/>
    <xf numFmtId="0" fontId="13" fillId="2" borderId="0" xfId="0" applyFont="1" applyFill="1"/>
    <xf numFmtId="4" fontId="1" fillId="5" borderId="0" xfId="0" applyNumberFormat="1" applyFont="1" applyFill="1" applyAlignment="1">
      <alignment vertical="top" wrapText="1"/>
    </xf>
    <xf numFmtId="3" fontId="1" fillId="5" borderId="0" xfId="0" applyNumberFormat="1" applyFont="1" applyFill="1" applyAlignment="1">
      <alignment vertical="top" wrapText="1"/>
    </xf>
    <xf numFmtId="0" fontId="4" fillId="5" borderId="0" xfId="0" applyFont="1" applyFill="1" applyAlignment="1">
      <alignment vertical="top" wrapText="1"/>
    </xf>
    <xf numFmtId="4" fontId="2" fillId="3" borderId="0" xfId="0" applyNumberFormat="1" applyFont="1" applyFill="1" applyAlignment="1">
      <alignment vertical="top" wrapText="1"/>
    </xf>
    <xf numFmtId="3" fontId="2" fillId="3" borderId="0" xfId="0" applyNumberFormat="1" applyFont="1" applyFill="1" applyAlignment="1">
      <alignment vertical="top" wrapText="1"/>
    </xf>
    <xf numFmtId="0" fontId="13" fillId="3" borderId="0" xfId="0" applyFont="1" applyFill="1" applyAlignment="1">
      <alignment vertical="top" wrapText="1"/>
    </xf>
    <xf numFmtId="0" fontId="12" fillId="0" borderId="0" xfId="0" applyFont="1" applyAlignment="1">
      <alignment vertical="top" wrapText="1"/>
    </xf>
    <xf numFmtId="0" fontId="2" fillId="5" borderId="0" xfId="0" applyFont="1" applyFill="1" applyAlignment="1">
      <alignment vertical="top" wrapText="1"/>
    </xf>
    <xf numFmtId="173" fontId="1" fillId="0" borderId="0" xfId="0" applyNumberFormat="1" applyFont="1" applyAlignment="1">
      <alignment vertical="top" wrapText="1"/>
    </xf>
    <xf numFmtId="174" fontId="1" fillId="0" borderId="0" xfId="0" applyNumberFormat="1" applyFont="1" applyAlignment="1">
      <alignment vertical="top" wrapText="1"/>
    </xf>
    <xf numFmtId="174" fontId="1" fillId="5" borderId="0" xfId="0" applyNumberFormat="1" applyFont="1" applyFill="1" applyAlignment="1">
      <alignment vertical="top" wrapText="1"/>
    </xf>
    <xf numFmtId="0" fontId="2" fillId="0" borderId="0" xfId="0" applyFont="1" applyAlignment="1">
      <alignment horizontal="center" vertical="top" wrapText="1"/>
    </xf>
    <xf numFmtId="0" fontId="2" fillId="5" borderId="0" xfId="0" applyFont="1" applyFill="1" applyAlignment="1">
      <alignment horizontal="center" vertical="top" wrapText="1"/>
    </xf>
    <xf numFmtId="175" fontId="1" fillId="0" borderId="0" xfId="0" applyNumberFormat="1" applyFont="1" applyAlignment="1">
      <alignment horizontal="right" vertical="top"/>
    </xf>
    <xf numFmtId="3" fontId="2" fillId="0" borderId="0" xfId="0" applyNumberFormat="1" applyFont="1" applyAlignment="1">
      <alignment vertical="top" wrapText="1"/>
    </xf>
    <xf numFmtId="3" fontId="2" fillId="5" borderId="0" xfId="0" applyNumberFormat="1" applyFont="1" applyFill="1" applyAlignment="1">
      <alignment vertical="top" wrapText="1"/>
    </xf>
    <xf numFmtId="0" fontId="13" fillId="5" borderId="0" xfId="0" applyFont="1" applyFill="1" applyAlignment="1">
      <alignment vertical="top" wrapText="1"/>
    </xf>
    <xf numFmtId="0" fontId="5" fillId="2" borderId="0" xfId="0" applyFont="1" applyFill="1" applyAlignment="1">
      <alignment horizontal="right" vertical="top" wrapText="1"/>
    </xf>
    <xf numFmtId="0" fontId="13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1" fillId="5" borderId="0" xfId="0" applyFont="1" applyFill="1" applyAlignment="1">
      <alignment vertical="top" wrapText="1"/>
    </xf>
    <xf numFmtId="0" fontId="1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top" wrapText="1"/>
    </xf>
    <xf numFmtId="175" fontId="14" fillId="2" borderId="0" xfId="0" applyNumberFormat="1" applyFont="1" applyFill="1" applyAlignment="1">
      <alignment horizontal="right" vertical="top"/>
    </xf>
    <xf numFmtId="0" fontId="14" fillId="2" borderId="0" xfId="0" applyFont="1" applyFill="1" applyAlignment="1">
      <alignment vertical="top" wrapText="1"/>
    </xf>
    <xf numFmtId="0" fontId="2" fillId="0" borderId="0" xfId="0" applyFont="1"/>
    <xf numFmtId="3" fontId="2" fillId="3" borderId="0" xfId="0" applyNumberFormat="1" applyFont="1" applyFill="1"/>
    <xf numFmtId="49" fontId="15" fillId="0" borderId="0" xfId="0" applyNumberFormat="1" applyFont="1" applyAlignment="1">
      <alignment vertical="top" wrapText="1"/>
    </xf>
    <xf numFmtId="49" fontId="7" fillId="0" borderId="0" xfId="0" applyNumberFormat="1" applyFont="1" applyAlignment="1">
      <alignment vertical="top" wrapText="1"/>
    </xf>
    <xf numFmtId="3" fontId="1" fillId="0" borderId="0" xfId="0" applyNumberFormat="1" applyFont="1"/>
    <xf numFmtId="0" fontId="1" fillId="5" borderId="0" xfId="0" applyFont="1" applyFill="1"/>
    <xf numFmtId="3" fontId="1" fillId="5" borderId="0" xfId="0" applyNumberFormat="1" applyFont="1" applyFill="1"/>
    <xf numFmtId="0" fontId="2" fillId="0" borderId="0" xfId="0" applyFont="1" applyAlignment="1">
      <alignment horizontal="center"/>
    </xf>
    <xf numFmtId="4" fontId="1" fillId="0" borderId="0" xfId="0" applyNumberFormat="1" applyFont="1"/>
    <xf numFmtId="4" fontId="1" fillId="5" borderId="0" xfId="0" applyNumberFormat="1" applyFont="1" applyFill="1"/>
    <xf numFmtId="171" fontId="2" fillId="5" borderId="0" xfId="0" applyNumberFormat="1" applyFont="1" applyFill="1" applyAlignment="1">
      <alignment vertical="top" wrapText="1"/>
    </xf>
    <xf numFmtId="171" fontId="2" fillId="0" borderId="0" xfId="0" applyNumberFormat="1" applyFont="1" applyAlignment="1">
      <alignment vertical="top" wrapText="1"/>
    </xf>
    <xf numFmtId="172" fontId="1" fillId="5" borderId="0" xfId="0" applyNumberFormat="1" applyFont="1" applyFill="1"/>
    <xf numFmtId="172" fontId="1" fillId="5" borderId="0" xfId="0" applyNumberFormat="1" applyFont="1" applyFill="1" applyAlignment="1">
      <alignment vertical="top" wrapText="1"/>
    </xf>
    <xf numFmtId="177" fontId="1" fillId="5" borderId="0" xfId="0" applyNumberFormat="1" applyFont="1" applyFill="1" applyAlignment="1">
      <alignment vertical="top" wrapText="1"/>
    </xf>
    <xf numFmtId="177" fontId="1" fillId="0" borderId="0" xfId="0" applyNumberFormat="1" applyFont="1" applyAlignment="1">
      <alignment vertical="top" wrapText="1"/>
    </xf>
    <xf numFmtId="0" fontId="1" fillId="5" borderId="0" xfId="0" applyFont="1" applyFill="1" applyAlignment="1">
      <alignment horizontal="center" vertical="top" wrapText="1"/>
    </xf>
    <xf numFmtId="0" fontId="2" fillId="3" borderId="0" xfId="0" applyFont="1" applyFill="1" applyAlignment="1">
      <alignment horizontal="center" vertical="top" wrapText="1"/>
    </xf>
    <xf numFmtId="0" fontId="7" fillId="4" borderId="0" xfId="0" applyFont="1" applyFill="1"/>
    <xf numFmtId="0" fontId="7" fillId="4" borderId="0" xfId="0" applyFont="1" applyFill="1" applyAlignment="1">
      <alignment horizontal="right"/>
    </xf>
    <xf numFmtId="0" fontId="8" fillId="0" borderId="0" xfId="0" applyFont="1" applyAlignment="1">
      <alignment horizontal="left"/>
    </xf>
    <xf numFmtId="0" fontId="8" fillId="0" borderId="0" xfId="0" applyFont="1"/>
    <xf numFmtId="167" fontId="1" fillId="0" borderId="0" xfId="0" applyNumberFormat="1" applyFont="1"/>
    <xf numFmtId="167" fontId="1" fillId="5" borderId="0" xfId="0" applyNumberFormat="1" applyFont="1" applyFill="1"/>
    <xf numFmtId="176" fontId="1" fillId="0" borderId="0" xfId="0" applyNumberFormat="1" applyFont="1"/>
    <xf numFmtId="176" fontId="1" fillId="5" borderId="0" xfId="0" applyNumberFormat="1" applyFont="1" applyFill="1"/>
    <xf numFmtId="170" fontId="1" fillId="0" borderId="0" xfId="0" applyNumberFormat="1" applyFont="1"/>
    <xf numFmtId="170" fontId="1" fillId="5" borderId="0" xfId="0" applyNumberFormat="1" applyFont="1" applyFill="1"/>
    <xf numFmtId="171" fontId="1" fillId="0" borderId="0" xfId="0" applyNumberFormat="1" applyFont="1"/>
    <xf numFmtId="171" fontId="1" fillId="5" borderId="0" xfId="0" applyNumberFormat="1" applyFont="1" applyFill="1"/>
    <xf numFmtId="168" fontId="10" fillId="6" borderId="0" xfId="0" applyNumberFormat="1" applyFont="1" applyFill="1"/>
    <xf numFmtId="3" fontId="10" fillId="6" borderId="0" xfId="0" applyNumberFormat="1" applyFont="1" applyFill="1"/>
    <xf numFmtId="2" fontId="10" fillId="6" borderId="0" xfId="0" applyNumberFormat="1" applyFont="1" applyFill="1"/>
    <xf numFmtId="4" fontId="10" fillId="6" borderId="0" xfId="0" applyNumberFormat="1" applyFont="1" applyFill="1"/>
    <xf numFmtId="167" fontId="10" fillId="6" borderId="0" xfId="0" applyNumberFormat="1" applyFont="1" applyFill="1"/>
    <xf numFmtId="0" fontId="1" fillId="0" borderId="0" xfId="0" applyFont="1" applyAlignment="1"/>
    <xf numFmtId="0" fontId="4" fillId="0" borderId="0" xfId="0" applyFont="1" applyAlignment="1"/>
    <xf numFmtId="0" fontId="9" fillId="0" borderId="0" xfId="0" applyFont="1" applyAlignment="1"/>
    <xf numFmtId="0" fontId="14" fillId="2" borderId="0" xfId="0" applyFont="1" applyFill="1" applyAlignment="1"/>
  </cellXfs>
  <cellStyles count="1">
    <cellStyle name="Normal" xfId="0" builtinId="0"/>
  </cellStyles>
  <dxfs count="56">
    <dxf>
      <font>
        <b/>
        <i val="0"/>
        <color rgb="FF006100"/>
      </font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C00000"/>
      </font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7" formatCode="0.0000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4" formatCode="#,##0.00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30" formatCode="@"/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30" formatCode="@"/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7" formatCode="0.0000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7" formatCode="0.0000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3" formatCode="#,##0"/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3" formatCode="#,##0"/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" formatCode="0"/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scheme val="none"/>
      </font>
      <fill>
        <patternFill patternType="solid">
          <fgColor indexed="64"/>
          <bgColor rgb="FF1F4E5F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8A969D"/>
        <name val="Calibri"/>
        <scheme val="none"/>
      </font>
      <numFmt numFmtId="1" formatCode="0"/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8A969D"/>
        <name val="Calibri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6" formatCode="#,##0.00;\-#,##0.00;&quot;—&quot;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6" formatCode="#,##0.00;\-#,##0.00;&quot;—&quot;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5" formatCode="#,##0;\-#,##0;&quot;—&quot;"/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0.0000;\-0.0000;&quot;—&quot;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0.0000;\-0.0000;&quot;—&quot;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" formatCode="0"/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30" formatCode="@"/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30" formatCode="@"/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" formatCode="0"/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8A969D"/>
        <name val="Calibri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scheme val="none"/>
      </font>
      <fill>
        <patternFill patternType="solid">
          <fgColor indexed="64"/>
          <bgColor rgb="FF1F4E5F"/>
        </patternFill>
      </fill>
      <alignment horizontal="center" vertical="center" textRotation="0" wrapText="1" indent="0" justifyLastLine="0" shrinkToFit="0" readingOrder="0"/>
    </dxf>
    <dxf>
      <font>
        <b/>
        <i val="0"/>
        <color rgb="FFC00000"/>
      </font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764A8A-4215-4D39-9D8C-5E4C2FF92259}" name="PartsList" displayName="PartsList" ref="A3:V84" totalsRowShown="0" headerRowDxfId="49" dataDxfId="48">
  <autoFilter ref="A3:V84" xr:uid="{21764A8A-4215-4D39-9D8C-5E4C2FF92259}"/>
  <tableColumns count="22">
    <tableColumn id="1" xr3:uid="{9569F60B-7464-4C1E-93B4-DBED9D4F63DC}" name="Block" dataDxfId="47"/>
    <tableColumn id="2" xr3:uid="{A99512F4-F33D-42D2-977A-D71223129ECC}" name="Designators" dataDxfId="46"/>
    <tableColumn id="3" xr3:uid="{4FAA38DF-72DF-4AAE-9D13-B5B0BA10E6D4}" name="Qty per board" dataDxfId="45"/>
    <tableColumn id="4" xr3:uid="{7C9CFEBF-3D05-4608-A1AD-7368B43F379F}" name="Description" dataDxfId="44"/>
    <tableColumn id="5" xr3:uid="{AAC4EA9E-411E-4A23-97C4-65D4CE6FBBBC}" name="Value" dataDxfId="43"/>
    <tableColumn id="6" xr3:uid="{402E283E-F818-4F3A-826A-738513D2FB38}" name="Package" dataDxfId="42"/>
    <tableColumn id="7" xr3:uid="{57013CEE-7B89-4F73-9754-D607BDB6E48F}" name="Rating / tolerance" dataDxfId="41"/>
    <tableColumn id="8" xr3:uid="{8F009407-D6BF-42A7-8E3B-E285F9F31091}" name="Part number (MPN)" dataDxfId="40"/>
    <tableColumn id="9" xr3:uid="{A42DACD4-1EA4-4BEB-8BB9-2A8C7CA4F313}" name="Source / LCSC no." dataDxfId="39"/>
    <tableColumn id="10" xr3:uid="{BF9CBDC4-0983-440E-B2C9-B0D9A2CAC392}" name="JLCPCB library type" dataDxfId="38"/>
    <tableColumn id="11" xr3:uid="{3CB47FA8-7FC4-4FDB-96AB-834DD51C99F3}" name="Fit" dataDxfId="37"/>
    <tableColumn id="12" xr3:uid="{A0A12704-77F9-4EC7-9690-524A534F6944}" name="Leadless (X-ray)" dataDxfId="36"/>
    <tableColumn id="13" xr3:uid="{179ED52B-9250-4307-B819-F2B143FB5787}" name="SMT joints per part" dataDxfId="35"/>
    <tableColumn id="14" xr3:uid="{CDD62EE2-E647-462A-B2F0-6AF12CDD1F82}" name="Unit price US$ (1–9 pcs, sample run)" dataDxfId="34"/>
    <tableColumn id="15" xr3:uid="{AA0569F0-C2C9-4A67-BF2A-DE1C7BB3ED44}" name="Unit price US$ (100-board tier)" dataDxfId="33"/>
    <tableColumn id="16" xr3:uid="{C18F7F12-93C2-4FF1-9BA6-F25B8F1542AA}" name="Price basis" dataDxfId="32"/>
    <tableColumn id="17" xr3:uid="{D34A195F-4F3F-401E-85D5-10849AAC57CB}" name="Qty for 5-board run" dataDxfId="31">
      <calculatedColumnFormula>IF($K4="Yes",$C4*Cost!$B$6,0)</calculatedColumnFormula>
    </tableColumn>
    <tableColumn id="18" xr3:uid="{71EA1484-77D6-4D29-9DEC-445B2B66AE26}" name="Line cost US$, 5-board run" dataDxfId="30">
      <calculatedColumnFormula>IF($K4&lt;&gt;"Yes",0,IF(AND($P4="Estimate",$N4&gt;0,$B4&lt;&gt;"PCB"),MAX($C4*Cost!$B$6*$N4,Cost!$B$8),$C4*Cost!$B$6*$N4))</calculatedColumnFormula>
    </tableColumn>
    <tableColumn id="19" xr3:uid="{B1880BFC-3561-44BF-8FB6-6AC148B4FB3F}" name="Line cost US$, 100-board run (reference)" dataDxfId="29">
      <calculatedColumnFormula>IF($K4="Yes",$C4*Cost!$B$7*$O4,0)</calculatedColumnFormula>
    </tableColumn>
    <tableColumn id="20" xr3:uid="{F78096AC-1407-4669-AEFB-4F6DAA7B8A58}" name="Notes" dataDxfId="28"/>
    <tableColumn id="21" xr3:uid="{3C446CE9-5BD0-4CF3-8687-8C29941AC025}" name="Part-type key (helper)" dataDxfId="27">
      <calculatedColumnFormula>IF(AND($K4="Yes",$M4&gt;0,$B4&lt;&gt;"PCB"),IF(LEFT($H4,7)="Generic","G|"&amp;$E4&amp;"|"&amp;$F4&amp;"|"&amp;$G4,"M|"&amp;$H4),"")</calculatedColumnFormula>
    </tableColumn>
    <tableColumn id="22" xr3:uid="{FC725947-C5FF-4E3C-9EC4-D649249E14B1}" name="New SMT part type (helper)" dataDxfId="26">
      <calculatedColumnFormula>IF($U4="",0,IF(COUNTIF($U$4:$U4,$U4)=1,1,0))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872055B-881C-4014-8081-95C56F940F9C}" name="PurchasingList" displayName="PurchasingList" ref="A3:Q57" totalsRowShown="0" headerRowDxfId="25" dataDxfId="24">
  <autoFilter ref="A3:Q57" xr:uid="{9872055B-881C-4014-8081-95C56F940F9C}"/>
  <tableColumns count="17">
    <tableColumn id="1" xr3:uid="{7C8B4183-A3A7-4D83-AEFD-1B4B7FFF5DAF}" name="Item" dataDxfId="23"/>
    <tableColumn id="2" xr3:uid="{574A6AFB-F419-4467-ABCA-56C897D9044F}" name="Part type" dataDxfId="22"/>
    <tableColumn id="3" xr3:uid="{F3C2D50F-23A8-4A19-8D82-7522C5C8D78E}" name="Part number (MPN)" dataDxfId="21"/>
    <tableColumn id="4" xr3:uid="{DD5B2112-4063-4A84-B9A6-F69D1F40565D}" name="Value" dataDxfId="20"/>
    <tableColumn id="5" xr3:uid="{FF6446D2-73AB-4E8C-AF68-19BA2C49D28E}" name="Package" dataDxfId="19"/>
    <tableColumn id="6" xr3:uid="{AA6CCD28-B4C2-47A7-929C-61D467072BDA}" name="Rating / tolerance" dataDxfId="18"/>
    <tableColumn id="7" xr3:uid="{0B892E91-4DE4-4023-9005-14C8ABA4178F}" name="Source / LCSC no." dataDxfId="17"/>
    <tableColumn id="8" xr3:uid="{BCA31BB6-4A7E-4CD2-BCFE-835A01F65493}" name="JLCPCB library type" dataDxfId="16"/>
    <tableColumn id="9" xr3:uid="{BA452579-4017-48BF-80DD-115FDCBDC78B}" name="Designators" dataDxfId="15"/>
    <tableColumn id="10" xr3:uid="{52CFE851-8EF6-49BE-A893-D7641450B262}" name="Qty per board" dataDxfId="14"/>
    <tableColumn id="11" xr3:uid="{54259ABE-00E5-4AED-B15D-C0B3A608082E}" name="Qty for 5-board run" dataDxfId="13">
      <calculatedColumnFormula>$J4*Cost!$B$6</calculatedColumnFormula>
    </tableColumn>
    <tableColumn id="12" xr3:uid="{BDD9CBF3-9CF9-4F37-A033-E26BD5FBA45E}" name="Unit price US$ (1–9 pcs)" dataDxfId="12"/>
    <tableColumn id="13" xr3:uid="{322B005E-164D-4FAB-85AF-AE3F98DA55A9}" name="Unit price US$ (100-board tier)" dataDxfId="11"/>
    <tableColumn id="14" xr3:uid="{4F8EDEDD-01F2-4C2F-86D7-8B9538E69857}" name="Price basis" dataDxfId="10"/>
    <tableColumn id="15" xr3:uid="{88DF664C-D0C9-41FE-A50E-02B95F2128C3}" name="Leadless (X-ray)" dataDxfId="9"/>
    <tableColumn id="16" xr3:uid="{3C358255-C2E9-44F1-80AA-5112222F8E75}" name="Ext. cost US$, 5-board run" dataDxfId="8">
      <calculatedColumnFormula>$K4*$L4</calculatedColumnFormula>
    </tableColumn>
    <tableColumn id="17" xr3:uid="{410EC907-ADF8-4EEE-B77B-50E5145F2276}" name="Ext. per board US$ (100-board tier)" dataDxfId="7">
      <calculatedColumnFormula>$J4*$M4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D1ADF-41A3-411B-97FB-1443B7D6994F}">
  <dimension ref="A1:D55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1" width="47.42578125" customWidth="1"/>
    <col min="2" max="3" width="14.42578125" customWidth="1"/>
    <col min="4" max="4" width="79.42578125" customWidth="1"/>
  </cols>
  <sheetData>
    <row r="1" spans="1:4" ht="24" customHeight="1">
      <c r="A1" s="54" t="s">
        <v>0</v>
      </c>
      <c r="B1" s="94"/>
      <c r="C1" s="94"/>
      <c r="D1" s="94"/>
    </row>
    <row r="2" spans="1:4" ht="15" customHeight="1">
      <c r="A2" s="95" t="s">
        <v>1</v>
      </c>
      <c r="B2" s="94"/>
      <c r="C2" s="94"/>
      <c r="D2" s="94"/>
    </row>
    <row r="3" spans="1:4">
      <c r="A3" s="1"/>
      <c r="B3" s="1"/>
      <c r="C3" s="1"/>
      <c r="D3" s="1"/>
    </row>
    <row r="4" spans="1:4">
      <c r="A4" s="29" t="s">
        <v>2</v>
      </c>
      <c r="B4" s="1"/>
      <c r="C4" s="1"/>
      <c r="D4" s="1"/>
    </row>
    <row r="5" spans="1:4">
      <c r="A5" s="3" t="s">
        <v>3</v>
      </c>
      <c r="B5" s="30" t="s">
        <v>4</v>
      </c>
      <c r="C5" s="30" t="s">
        <v>5</v>
      </c>
      <c r="D5" s="3" t="s">
        <v>6</v>
      </c>
    </row>
    <row r="6" spans="1:4">
      <c r="A6" s="7" t="s">
        <v>7</v>
      </c>
      <c r="B6" s="47">
        <f>Cost!F41</f>
        <v>4491.1450499999974</v>
      </c>
      <c r="C6" s="7" t="s">
        <v>8</v>
      </c>
      <c r="D6" s="2" t="str">
        <f>"US$ "&amp;TEXT(Cost!E41,"#,##0.00")&amp;"; includes the US$"&amp;TEXT(Cost!B8,"0.00")&amp;" minimum per estimated passive line"</f>
        <v>US$ 141.68; includes the US$0.10 minimum per estimated passive line</v>
      </c>
    </row>
    <row r="7" spans="1:4">
      <c r="A7" s="24" t="s">
        <v>9</v>
      </c>
      <c r="B7" s="48">
        <f>Cost!F42</f>
        <v>317</v>
      </c>
      <c r="C7" s="24" t="s">
        <v>8</v>
      </c>
      <c r="D7" s="35" t="str">
        <f>"US$ "&amp;TEXT(Cost!E42,"#,##0.00")&amp;" for "&amp;TEXT(Cost!B6,"0")&amp;" boards"</f>
        <v>US$ 10.00 for 5 boards</v>
      </c>
    </row>
    <row r="8" spans="1:4">
      <c r="A8" s="7" t="s">
        <v>10</v>
      </c>
      <c r="B8" s="47">
        <f>Cost!F43</f>
        <v>2872.8441999999995</v>
      </c>
      <c r="C8" s="7" t="s">
        <v>8</v>
      </c>
      <c r="D8" s="2" t="str">
        <f>"US$ "&amp;TEXT(Cost!E43,"#,##0.00")&amp;"; itemised on the Cost sheet"</f>
        <v>US$ 90.63; itemised on the Cost sheet</v>
      </c>
    </row>
    <row r="9" spans="1:4">
      <c r="A9" s="27" t="s">
        <v>11</v>
      </c>
      <c r="B9" s="37">
        <f>Cost!F44</f>
        <v>7680.9892499999969</v>
      </c>
      <c r="C9" s="27" t="s">
        <v>8</v>
      </c>
      <c r="D9" s="38" t="str">
        <f>"US$ "&amp;TEXT(Cost!E44,"#,##0.00")&amp;" at "&amp;TEXT(Cost!B5,"0.0")&amp;" NTD per US$"</f>
        <v>US$ 242.30 at 31.7 NTD per US$</v>
      </c>
    </row>
    <row r="10" spans="1:4">
      <c r="A10" s="27" t="s">
        <v>12</v>
      </c>
      <c r="B10" s="37">
        <f>Cost!F45</f>
        <v>1536.1978499999993</v>
      </c>
      <c r="C10" s="27" t="s">
        <v>8</v>
      </c>
      <c r="D10" s="38" t="str">
        <f>"US$ "&amp;TEXT(Cost!E45,"#,##0.00")&amp;" per board — the cost-gate figure"</f>
        <v>US$ 48.46 per board — the cost-gate figure</v>
      </c>
    </row>
    <row r="11" spans="1:4" ht="27" customHeight="1">
      <c r="A11" s="24" t="s">
        <v>13</v>
      </c>
      <c r="B11" s="48">
        <f>Cost!F46</f>
        <v>1500</v>
      </c>
      <c r="C11" s="24" t="s">
        <v>8</v>
      </c>
      <c r="D11" s="35" t="str">
        <f>TEXT(Cost!B10*Cost!B6,"#,##0")&amp;" NTD for "&amp;TEXT(Cost!B6,"0")&amp;" boards; WARNING above; incl. bare PCBs and assembly fees; excl. shipping, import tax, programmers, enclosure"</f>
        <v>7,500 NTD for 5 boards; WARNING above; incl. bare PCBs and assembly fees; excl. shipping, import tax, programmers, enclosure</v>
      </c>
    </row>
    <row r="12" spans="1:4" ht="27" customHeight="1">
      <c r="A12" s="7" t="s">
        <v>14</v>
      </c>
      <c r="B12" s="47">
        <f>Cost!F47</f>
        <v>1550</v>
      </c>
      <c r="C12" s="7" t="s">
        <v>8</v>
      </c>
      <c r="D12" s="2" t="s">
        <v>15</v>
      </c>
    </row>
    <row r="13" spans="1:4">
      <c r="A13" s="24" t="s">
        <v>16</v>
      </c>
      <c r="B13" s="69">
        <f>Cost!F48</f>
        <v>-36.197849999999335</v>
      </c>
      <c r="C13" s="24" t="s">
        <v>17</v>
      </c>
      <c r="D13" s="35" t="str">
        <f>Cost!G48</f>
        <v>36 NTD over the target (2.4%)</v>
      </c>
    </row>
    <row r="14" spans="1:4">
      <c r="A14" s="7" t="s">
        <v>18</v>
      </c>
      <c r="B14" s="70">
        <f>Cost!F49</f>
        <v>13.802150000000665</v>
      </c>
      <c r="C14" s="7" t="s">
        <v>17</v>
      </c>
      <c r="D14" s="2" t="str">
        <f>Cost!G49</f>
        <v>14 NTD under the approved ceiling</v>
      </c>
    </row>
    <row r="15" spans="1:4">
      <c r="A15" s="40" t="s">
        <v>19</v>
      </c>
      <c r="B15" s="45" t="str">
        <f>Cost!F50</f>
        <v>WARNING</v>
      </c>
      <c r="C15" s="40"/>
      <c r="D15" s="49" t="str">
        <f>Cost!G50</f>
        <v>PASS ≤ 1,500 NTD per board (target); WARNING ≤ 1,550 (approved ceiling); FAIL &gt; 1,550</v>
      </c>
    </row>
    <row r="16" spans="1:4">
      <c r="A16" s="7" t="s">
        <v>20</v>
      </c>
      <c r="B16" s="44" t="str">
        <f>Checks!F26</f>
        <v>ALL OK — target WARNING</v>
      </c>
      <c r="C16" s="7"/>
      <c r="D16" s="2" t="s">
        <v>21</v>
      </c>
    </row>
    <row r="17" spans="1:4">
      <c r="A17" s="7"/>
      <c r="B17" s="7"/>
      <c r="C17" s="7"/>
      <c r="D17" s="2"/>
    </row>
    <row r="18" spans="1:4">
      <c r="A18" s="39" t="s">
        <v>22</v>
      </c>
      <c r="B18" s="7"/>
      <c r="C18" s="7"/>
      <c r="D18" s="2"/>
    </row>
    <row r="19" spans="1:4">
      <c r="A19" s="25" t="s">
        <v>23</v>
      </c>
      <c r="B19" s="50" t="s">
        <v>4</v>
      </c>
      <c r="C19" s="50" t="s">
        <v>5</v>
      </c>
      <c r="D19" s="51" t="s">
        <v>6</v>
      </c>
    </row>
    <row r="20" spans="1:4">
      <c r="A20" s="7" t="s">
        <v>24</v>
      </c>
      <c r="B20" s="47">
        <f>COUNTA('Parts list'!$B$4:$B$84)</f>
        <v>81</v>
      </c>
      <c r="C20" s="7" t="s">
        <v>25</v>
      </c>
      <c r="D20" s="2" t="s">
        <v>26</v>
      </c>
    </row>
    <row r="21" spans="1:4">
      <c r="A21" s="24" t="s">
        <v>27</v>
      </c>
      <c r="B21" s="48">
        <f>Cost!B14</f>
        <v>76</v>
      </c>
      <c r="C21" s="24" t="s">
        <v>25</v>
      </c>
      <c r="D21" s="35" t="s">
        <v>28</v>
      </c>
    </row>
    <row r="22" spans="1:4">
      <c r="A22" s="7" t="s">
        <v>29</v>
      </c>
      <c r="B22" s="47">
        <f>Cost!B15</f>
        <v>181</v>
      </c>
      <c r="C22" s="7" t="s">
        <v>30</v>
      </c>
      <c r="D22" s="2" t="str">
        <f>"plus "&amp;TEXT(Cost!B16,"0")&amp;" through-hole part (4.4 mm jack J701)"</f>
        <v>plus 1 through-hole part (4.4 mm jack J701)</v>
      </c>
    </row>
    <row r="23" spans="1:4">
      <c r="A23" s="24" t="s">
        <v>31</v>
      </c>
      <c r="B23" s="48">
        <f>Cost!B17</f>
        <v>14</v>
      </c>
      <c r="C23" s="24" t="s">
        <v>32</v>
      </c>
      <c r="D23" s="35" t="str">
        <f>"US$"&amp;TEXT(Cost!C33,"0.00")&amp;" each on the sample run"</f>
        <v>US$3.07 each on the sample run</v>
      </c>
    </row>
    <row r="24" spans="1:4">
      <c r="A24" s="7" t="s">
        <v>33</v>
      </c>
      <c r="B24" s="47">
        <f>Cost!B18</f>
        <v>39</v>
      </c>
      <c r="C24" s="7" t="s">
        <v>32</v>
      </c>
      <c r="D24" s="2" t="s">
        <v>34</v>
      </c>
    </row>
    <row r="25" spans="1:4">
      <c r="A25" s="24" t="s">
        <v>35</v>
      </c>
      <c r="B25" s="48">
        <f>Cost!B21</f>
        <v>7</v>
      </c>
      <c r="C25" s="24" t="s">
        <v>30</v>
      </c>
      <c r="D25" s="35" t="s">
        <v>36</v>
      </c>
    </row>
    <row r="26" spans="1:4">
      <c r="A26" s="7" t="s">
        <v>37</v>
      </c>
      <c r="B26" s="47">
        <f>Cost!B20</f>
        <v>579</v>
      </c>
      <c r="C26" s="7" t="s">
        <v>38</v>
      </c>
      <c r="D26" s="2" t="s">
        <v>39</v>
      </c>
    </row>
    <row r="27" spans="1:4">
      <c r="A27" s="24" t="s">
        <v>40</v>
      </c>
      <c r="B27" s="48">
        <f>COUNTA('Purchasing list'!$C$4:$C$57)</f>
        <v>54</v>
      </c>
      <c r="C27" s="24" t="s">
        <v>25</v>
      </c>
      <c r="D27" s="35" t="s">
        <v>41</v>
      </c>
    </row>
    <row r="28" spans="1:4">
      <c r="A28" s="7"/>
      <c r="B28" s="7"/>
      <c r="C28" s="7"/>
      <c r="D28" s="2"/>
    </row>
    <row r="29" spans="1:4">
      <c r="A29" s="39" t="s">
        <v>42</v>
      </c>
      <c r="B29" s="7"/>
      <c r="C29" s="7"/>
      <c r="D29" s="2"/>
    </row>
    <row r="30" spans="1:4">
      <c r="A30" s="25" t="s">
        <v>3</v>
      </c>
      <c r="B30" s="50" t="s">
        <v>4</v>
      </c>
      <c r="C30" s="50" t="s">
        <v>5</v>
      </c>
      <c r="D30" s="51" t="s">
        <v>6</v>
      </c>
    </row>
    <row r="31" spans="1:4" ht="27" customHeight="1">
      <c r="A31" s="7" t="s">
        <v>43</v>
      </c>
      <c r="B31" s="47">
        <f>Cost!F77</f>
        <v>772.29124999999988</v>
      </c>
      <c r="C31" s="7" t="s">
        <v>8</v>
      </c>
      <c r="D31" s="2" t="str">
        <f>"JLCPCB Standard PCBA, parts at the 100-board tier; US$ "&amp;TEXT(Cost!E77,"#,##0.00")&amp;" per board — not the budget basis"</f>
        <v>JLCPCB Standard PCBA, parts at the 100-board tier; US$ 24.36 per board — not the budget basis</v>
      </c>
    </row>
    <row r="32" spans="1:4">
      <c r="A32" s="1"/>
      <c r="B32" s="1"/>
      <c r="C32" s="1"/>
      <c r="D32" s="31"/>
    </row>
    <row r="33" spans="1:4">
      <c r="A33" s="29" t="s">
        <v>44</v>
      </c>
      <c r="B33" s="1"/>
      <c r="C33" s="1"/>
      <c r="D33" s="31"/>
    </row>
    <row r="34" spans="1:4">
      <c r="A34" s="3" t="s">
        <v>45</v>
      </c>
      <c r="B34" s="30" t="s">
        <v>46</v>
      </c>
      <c r="C34" s="30" t="s">
        <v>17</v>
      </c>
      <c r="D34" s="32" t="s">
        <v>47</v>
      </c>
    </row>
    <row r="35" spans="1:4">
      <c r="A35" s="7" t="s">
        <v>48</v>
      </c>
      <c r="B35" s="21" cm="1">
        <f t="array" ref="B35">SUMPRODUCT(('Parts list'!$A$4:$A$84=$A35)*('Parts list'!$K$4:$K$84="Yes")*('Parts list'!$B$4:$B$84&lt;&gt;"PCB")*'Parts list'!$C$4:$C$84*'Parts list'!$N$4:$N$84)</f>
        <v>0.40730000000000005</v>
      </c>
      <c r="C35" s="18">
        <f>B35*Cost!$B$5</f>
        <v>12.911410000000002</v>
      </c>
      <c r="D35" s="2" t="s">
        <v>49</v>
      </c>
    </row>
    <row r="36" spans="1:4">
      <c r="A36" s="24" t="s">
        <v>50</v>
      </c>
      <c r="B36" s="33" cm="1">
        <f t="array" ref="B36">SUMPRODUCT(('Parts list'!$A$4:$A$84=$A36)*('Parts list'!$K$4:$K$84="Yes")*('Parts list'!$B$4:$B$84&lt;&gt;"PCB")*'Parts list'!$C$4:$C$84*'Parts list'!$N$4:$N$84)</f>
        <v>6.3362999999999996</v>
      </c>
      <c r="C36" s="34">
        <f>B36*Cost!$B$5</f>
        <v>200.86070999999998</v>
      </c>
      <c r="D36" s="35" t="s">
        <v>51</v>
      </c>
    </row>
    <row r="37" spans="1:4">
      <c r="A37" s="7" t="s">
        <v>52</v>
      </c>
      <c r="B37" s="21" cm="1">
        <f t="array" ref="B37">SUMPRODUCT(('Parts list'!$A$4:$A$84=$A37)*('Parts list'!$K$4:$K$84="Yes")*('Parts list'!$B$4:$B$84&lt;&gt;"PCB")*'Parts list'!$C$4:$C$84*'Parts list'!$N$4:$N$84)</f>
        <v>3.8733999999999997</v>
      </c>
      <c r="C37" s="18">
        <f>B37*Cost!$B$5</f>
        <v>122.78677999999999</v>
      </c>
      <c r="D37" s="2" t="s">
        <v>53</v>
      </c>
    </row>
    <row r="38" spans="1:4" ht="27.75" customHeight="1">
      <c r="A38" s="24" t="s">
        <v>54</v>
      </c>
      <c r="B38" s="33" cm="1">
        <f t="array" ref="B38">SUMPRODUCT(('Parts list'!$A$4:$A$84=$A38)*('Parts list'!$K$4:$K$84="Yes")*('Parts list'!$B$4:$B$84&lt;&gt;"PCB")*'Parts list'!$C$4:$C$84*'Parts list'!$N$4:$N$84)</f>
        <v>8.3231999999999964</v>
      </c>
      <c r="C38" s="34">
        <f>B38*Cost!$B$5</f>
        <v>263.84543999999988</v>
      </c>
      <c r="D38" s="35" t="s">
        <v>55</v>
      </c>
    </row>
    <row r="39" spans="1:4" ht="27.75" customHeight="1">
      <c r="A39" s="7" t="s">
        <v>56</v>
      </c>
      <c r="B39" s="21" cm="1">
        <f t="array" ref="B39">SUMPRODUCT(('Parts list'!$A$4:$A$84=$A39)*('Parts list'!$K$4:$K$84="Yes")*('Parts list'!$B$4:$B$84&lt;&gt;"PCB")*'Parts list'!$C$4:$C$84*'Parts list'!$N$4:$N$84)</f>
        <v>1.2794000000000001</v>
      </c>
      <c r="C39" s="18">
        <f>B39*Cost!$B$5</f>
        <v>40.556980000000003</v>
      </c>
      <c r="D39" s="2" t="s">
        <v>57</v>
      </c>
    </row>
    <row r="40" spans="1:4">
      <c r="A40" s="24" t="s">
        <v>58</v>
      </c>
      <c r="B40" s="33" cm="1">
        <f t="array" ref="B40">SUMPRODUCT(('Parts list'!$A$4:$A$84=$A40)*('Parts list'!$K$4:$K$84="Yes")*('Parts list'!$B$4:$B$84&lt;&gt;"PCB")*'Parts list'!$C$4:$C$84*'Parts list'!$N$4:$N$84)</f>
        <v>0.33899999999999997</v>
      </c>
      <c r="C40" s="34">
        <f>B40*Cost!$B$5</f>
        <v>10.746299999999998</v>
      </c>
      <c r="D40" s="35" t="s">
        <v>59</v>
      </c>
    </row>
    <row r="41" spans="1:4">
      <c r="A41" s="7" t="s">
        <v>60</v>
      </c>
      <c r="B41" s="21" cm="1">
        <f t="array" ref="B41">SUMPRODUCT(('Parts list'!$A$4:$A$84=$A41)*('Parts list'!$K$4:$K$84="Yes")*('Parts list'!$B$4:$B$84&lt;&gt;"PCB")*'Parts list'!$C$4:$C$84*'Parts list'!$N$4:$N$84)</f>
        <v>7.4297000000000004</v>
      </c>
      <c r="C41" s="18">
        <f>B41*Cost!$B$5</f>
        <v>235.52149</v>
      </c>
      <c r="D41" s="2" t="str">
        <f>"4.4 mm jack J701 ("&amp;TEXT(SUMIFS('Parts list'!$N$4:$N$84,'Parts list'!$B$4:$B$84,"J701")*Cost!$B$5,"#,##0")&amp;" NTD), 3.5 mm jack, ESD diodes, LEDs"</f>
        <v>4.4 mm jack J701 (218 NTD), 3.5 mm jack, ESD diodes, LEDs</v>
      </c>
    </row>
    <row r="42" spans="1:4">
      <c r="A42" s="24" t="s">
        <v>61</v>
      </c>
      <c r="B42" s="33">
        <f>Cost!B24/Cost!B6</f>
        <v>0.34700000000000841</v>
      </c>
      <c r="C42" s="34">
        <f>B42*Cost!$B$5</f>
        <v>10.999900000000267</v>
      </c>
      <c r="D42" s="35" t="str">
        <f>"US$"&amp;TEXT(Cost!B8,"0.00")&amp;" minimum per estimated passive line, spread over "&amp;TEXT(Cost!B6,"0")&amp;" boards"</f>
        <v>US$0.10 minimum per estimated passive line, spread over 5 boards</v>
      </c>
    </row>
    <row r="43" spans="1:4">
      <c r="A43" s="27" t="s">
        <v>62</v>
      </c>
      <c r="B43" s="36">
        <f>SUM(B35:B42)</f>
        <v>28.335300000000004</v>
      </c>
      <c r="C43" s="37">
        <f>B43*Cost!$B$5</f>
        <v>898.22901000000013</v>
      </c>
      <c r="D43" s="38" t="str">
        <f>"= Cost sheet parts ÷ "&amp;TEXT(Cost!B6,"0")&amp;" boards (bare PCB excluded)"</f>
        <v>= Cost sheet parts ÷ 5 boards (bare PCB excluded)</v>
      </c>
    </row>
    <row r="44" spans="1:4">
      <c r="A44" s="7"/>
      <c r="B44" s="7"/>
      <c r="C44" s="7"/>
      <c r="D44" s="7"/>
    </row>
    <row r="45" spans="1:4">
      <c r="A45" s="39" t="s">
        <v>63</v>
      </c>
      <c r="B45" s="7"/>
      <c r="C45" s="7"/>
      <c r="D45" s="7"/>
    </row>
    <row r="46" spans="1:4">
      <c r="A46" s="25" t="s">
        <v>64</v>
      </c>
      <c r="B46" s="25" t="s">
        <v>65</v>
      </c>
      <c r="C46" s="25"/>
      <c r="D46" s="25"/>
    </row>
    <row r="47" spans="1:4" ht="15.75" customHeight="1">
      <c r="A47" s="28" t="s">
        <v>66</v>
      </c>
      <c r="B47" s="52" t="s">
        <v>67</v>
      </c>
      <c r="C47" s="52"/>
      <c r="D47" s="52"/>
    </row>
    <row r="48" spans="1:4" ht="29.25" customHeight="1">
      <c r="A48" s="40" t="s">
        <v>68</v>
      </c>
      <c r="B48" s="53" t="s">
        <v>69</v>
      </c>
      <c r="C48" s="53"/>
      <c r="D48" s="53"/>
    </row>
    <row r="49" spans="1:4" ht="15.75" customHeight="1">
      <c r="A49" s="28" t="s">
        <v>70</v>
      </c>
      <c r="B49" s="52" t="s">
        <v>71</v>
      </c>
      <c r="C49" s="52"/>
      <c r="D49" s="52"/>
    </row>
    <row r="50" spans="1:4" ht="29.25" customHeight="1">
      <c r="A50" s="40" t="s">
        <v>72</v>
      </c>
      <c r="B50" s="53" t="s">
        <v>73</v>
      </c>
      <c r="C50" s="53"/>
      <c r="D50" s="53"/>
    </row>
    <row r="51" spans="1:4" ht="15.75" customHeight="1">
      <c r="A51" s="28" t="s">
        <v>74</v>
      </c>
      <c r="B51" s="52" t="s">
        <v>75</v>
      </c>
      <c r="C51" s="52"/>
      <c r="D51" s="52"/>
    </row>
    <row r="52" spans="1:4" ht="29.25" customHeight="1">
      <c r="A52" s="40" t="s">
        <v>76</v>
      </c>
      <c r="B52" s="53" t="s">
        <v>77</v>
      </c>
      <c r="C52" s="53"/>
      <c r="D52" s="53"/>
    </row>
    <row r="53" spans="1:4" ht="15.75" customHeight="1">
      <c r="A53" s="28" t="s">
        <v>78</v>
      </c>
      <c r="B53" s="52" t="s">
        <v>79</v>
      </c>
      <c r="C53" s="52"/>
      <c r="D53" s="52"/>
    </row>
    <row r="54" spans="1:4" ht="15.75" customHeight="1">
      <c r="A54" s="40" t="s">
        <v>80</v>
      </c>
      <c r="B54" s="53" t="s">
        <v>81</v>
      </c>
      <c r="C54" s="53"/>
      <c r="D54" s="53"/>
    </row>
    <row r="55" spans="1:4" ht="29.25" customHeight="1">
      <c r="A55" s="28" t="s">
        <v>82</v>
      </c>
      <c r="B55" s="52" t="s">
        <v>83</v>
      </c>
      <c r="C55" s="52"/>
      <c r="D55" s="52"/>
    </row>
  </sheetData>
  <mergeCells count="11">
    <mergeCell ref="B53:D53"/>
    <mergeCell ref="B54:D54"/>
    <mergeCell ref="B55:D55"/>
    <mergeCell ref="A1:D1"/>
    <mergeCell ref="A2:D2"/>
    <mergeCell ref="B47:D47"/>
    <mergeCell ref="B48:D48"/>
    <mergeCell ref="B49:D49"/>
    <mergeCell ref="B50:D50"/>
    <mergeCell ref="B51:D51"/>
    <mergeCell ref="B52:D52"/>
  </mergeCells>
  <conditionalFormatting sqref="B15">
    <cfRule type="containsText" dxfId="55" priority="1" operator="containsText" text="PASS">
      <formula>NOT(ISERROR(SEARCH("PASS",B15)))</formula>
    </cfRule>
  </conditionalFormatting>
  <conditionalFormatting sqref="B15">
    <cfRule type="containsText" dxfId="54" priority="2" operator="containsText" text="WARNING">
      <formula>NOT(ISERROR(SEARCH("WARNING",B15)))</formula>
    </cfRule>
  </conditionalFormatting>
  <conditionalFormatting sqref="B15">
    <cfRule type="containsText" dxfId="53" priority="3" operator="containsText" text="FAIL">
      <formula>NOT(ISERROR(SEARCH("FAIL",B15)))</formula>
    </cfRule>
  </conditionalFormatting>
  <conditionalFormatting sqref="B16">
    <cfRule type="containsText" dxfId="52" priority="4" operator="containsText" text="to check">
      <formula>NOT(ISERROR(SEARCH("to check",B16)))</formula>
    </cfRule>
  </conditionalFormatting>
  <conditionalFormatting sqref="B16">
    <cfRule type="containsText" dxfId="51" priority="5" operator="containsText" text="ALL OK">
      <formula>NOT(ISERROR(SEARCH("ALL OK",B16)))</formula>
    </cfRule>
  </conditionalFormatting>
  <conditionalFormatting sqref="B13:B14">
    <cfRule type="cellIs" dxfId="50" priority="6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0FB36-9985-40CE-A9C8-2C7842275CDC}">
  <dimension ref="A1:V87"/>
  <sheetViews>
    <sheetView workbookViewId="0">
      <pane xSplit="2" ySplit="3" topLeftCell="C4" activePane="bottomRight" state="frozen"/>
      <selection pane="bottomRight"/>
      <selection pane="bottomLeft"/>
      <selection pane="topRight"/>
    </sheetView>
  </sheetViews>
  <sheetFormatPr defaultRowHeight="15"/>
  <cols>
    <col min="1" max="1" width="23.42578125" customWidth="1"/>
    <col min="2" max="2" width="16.42578125" customWidth="1"/>
    <col min="3" max="3" width="8.42578125" customWidth="1"/>
    <col min="4" max="4" width="49.42578125" customWidth="1"/>
    <col min="5" max="5" width="15.42578125" customWidth="1"/>
    <col min="6" max="6" width="17.42578125" customWidth="1"/>
    <col min="7" max="7" width="19.42578125" customWidth="1"/>
    <col min="8" max="8" width="25.42578125" customWidth="1"/>
    <col min="9" max="9" width="19.42578125" customWidth="1"/>
    <col min="10" max="10" width="14.42578125" customWidth="1"/>
    <col min="11" max="11" width="8.42578125" customWidth="1"/>
    <col min="12" max="13" width="10.42578125" customWidth="1"/>
    <col min="14" max="15" width="12.42578125" customWidth="1"/>
    <col min="16" max="17" width="10.42578125" customWidth="1"/>
    <col min="18" max="18" width="12.42578125" customWidth="1"/>
    <col min="19" max="19" width="13.42578125" customWidth="1"/>
    <col min="20" max="20" width="25.42578125" customWidth="1"/>
    <col min="21" max="21" width="31.42578125" customWidth="1"/>
    <col min="22" max="22" width="11.42578125" customWidth="1"/>
  </cols>
  <sheetData>
    <row r="1" spans="1:22" ht="21.75" customHeight="1">
      <c r="A1" s="55" t="s">
        <v>84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</row>
    <row r="2" spans="1:22" ht="30" customHeight="1">
      <c r="A2" s="56" t="s">
        <v>85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</row>
    <row r="3" spans="1:22" ht="45" customHeight="1">
      <c r="A3" s="5" t="s">
        <v>45</v>
      </c>
      <c r="B3" s="5" t="s">
        <v>86</v>
      </c>
      <c r="C3" s="5" t="s">
        <v>87</v>
      </c>
      <c r="D3" s="5" t="s">
        <v>88</v>
      </c>
      <c r="E3" s="5" t="s">
        <v>4</v>
      </c>
      <c r="F3" s="5" t="s">
        <v>89</v>
      </c>
      <c r="G3" s="5" t="s">
        <v>90</v>
      </c>
      <c r="H3" s="5" t="s">
        <v>91</v>
      </c>
      <c r="I3" s="5" t="s">
        <v>92</v>
      </c>
      <c r="J3" s="5" t="s">
        <v>93</v>
      </c>
      <c r="K3" s="5" t="s">
        <v>94</v>
      </c>
      <c r="L3" s="5" t="s">
        <v>95</v>
      </c>
      <c r="M3" s="5" t="s">
        <v>96</v>
      </c>
      <c r="N3" s="5" t="s">
        <v>97</v>
      </c>
      <c r="O3" s="5" t="s">
        <v>98</v>
      </c>
      <c r="P3" s="5" t="s">
        <v>99</v>
      </c>
      <c r="Q3" s="5" t="s">
        <v>100</v>
      </c>
      <c r="R3" s="5" t="s">
        <v>101</v>
      </c>
      <c r="S3" s="5" t="s">
        <v>102</v>
      </c>
      <c r="T3" s="5" t="s">
        <v>103</v>
      </c>
      <c r="U3" s="5" t="s">
        <v>104</v>
      </c>
      <c r="V3" s="5" t="s">
        <v>105</v>
      </c>
    </row>
    <row r="4" spans="1:22" ht="29.25" customHeight="1">
      <c r="A4" s="62" t="s">
        <v>48</v>
      </c>
      <c r="B4" s="6" t="s">
        <v>106</v>
      </c>
      <c r="C4" s="8">
        <v>1</v>
      </c>
      <c r="D4" s="6" t="s">
        <v>107</v>
      </c>
      <c r="E4" s="6" t="s">
        <v>108</v>
      </c>
      <c r="F4" s="6" t="s">
        <v>109</v>
      </c>
      <c r="G4" s="6" t="s">
        <v>110</v>
      </c>
      <c r="H4" s="6" t="s">
        <v>111</v>
      </c>
      <c r="I4" s="6" t="s">
        <v>112</v>
      </c>
      <c r="J4" s="6" t="s">
        <v>113</v>
      </c>
      <c r="K4" s="9" t="s">
        <v>114</v>
      </c>
      <c r="L4" s="9"/>
      <c r="M4" s="8">
        <v>20</v>
      </c>
      <c r="N4" s="10">
        <v>0.18790000000000001</v>
      </c>
      <c r="O4" s="10">
        <v>0.129</v>
      </c>
      <c r="P4" s="6" t="s">
        <v>115</v>
      </c>
      <c r="Q4" s="11">
        <f>IF($K4="Yes",$C4*Cost!$B$6,0)</f>
        <v>5</v>
      </c>
      <c r="R4" s="12">
        <f>IF($K4&lt;&gt;"Yes",0,IF(AND($P4="Estimate",$N4&gt;0,$B4&lt;&gt;"PCB"),MAX($C4*Cost!$B$6*$N4,Cost!$B$8),$C4*Cost!$B$6*$N4))</f>
        <v>0.9395</v>
      </c>
      <c r="S4" s="12">
        <f>IF($K4="Yes",$C4*Cost!$B$7*$O4,0)</f>
        <v>12.9</v>
      </c>
      <c r="T4" s="6"/>
      <c r="U4" s="13" t="str">
        <f>IF(AND($K4="Yes",$M4&gt;0,$B4&lt;&gt;"PCB"),IF(LEFT($H4,7)="Generic","G|"&amp;$E4&amp;"|"&amp;$F4&amp;"|"&amp;$G4,"M|"&amp;$H4),"")</f>
        <v>M|HRO TYPE-C-31-M-12</v>
      </c>
      <c r="V4" s="14">
        <f>IF($U4="",0,IF(COUNTIF($U$4:$U4,$U4)=1,1,0))</f>
        <v>1</v>
      </c>
    </row>
    <row r="5" spans="1:22" ht="29.25" customHeight="1">
      <c r="A5" s="61" t="s">
        <v>48</v>
      </c>
      <c r="B5" s="6" t="s">
        <v>116</v>
      </c>
      <c r="C5" s="8">
        <v>2</v>
      </c>
      <c r="D5" s="6" t="s">
        <v>117</v>
      </c>
      <c r="E5" s="6" t="s">
        <v>118</v>
      </c>
      <c r="F5" s="6" t="s">
        <v>119</v>
      </c>
      <c r="G5" s="6" t="s">
        <v>120</v>
      </c>
      <c r="H5" s="6" t="s">
        <v>121</v>
      </c>
      <c r="I5" s="6" t="s">
        <v>122</v>
      </c>
      <c r="J5" s="6" t="s">
        <v>123</v>
      </c>
      <c r="K5" s="9" t="s">
        <v>114</v>
      </c>
      <c r="L5" s="9"/>
      <c r="M5" s="8">
        <v>2</v>
      </c>
      <c r="N5" s="10">
        <v>4.0000000000000001E-3</v>
      </c>
      <c r="O5" s="10">
        <v>1E-3</v>
      </c>
      <c r="P5" s="6" t="s">
        <v>124</v>
      </c>
      <c r="Q5" s="11">
        <f>IF($K5="Yes",$C5*Cost!$B$6,0)</f>
        <v>10</v>
      </c>
      <c r="R5" s="12">
        <f>IF($K5&lt;&gt;"Yes",0,IF(AND($P5="Estimate",$N5&gt;0,$B5&lt;&gt;"PCB"),MAX($C5*Cost!$B$6*$N5,Cost!$B$8),$C5*Cost!$B$6*$N5))</f>
        <v>0.1</v>
      </c>
      <c r="S5" s="12">
        <f>IF($K5="Yes",$C5*Cost!$B$7*$O5,0)</f>
        <v>0.2</v>
      </c>
      <c r="T5" s="6"/>
      <c r="U5" s="13" t="str">
        <f>IF(AND($K5="Yes",$M5&gt;0,$B5&lt;&gt;"PCB"),IF(LEFT($H5,7)="Generic","G|"&amp;$E5&amp;"|"&amp;$F5&amp;"|"&amp;$G5,"M|"&amp;$H5),"")</f>
        <v>G|5.1 kΩ|0402|1%</v>
      </c>
      <c r="V5" s="14">
        <f>IF($U5="",0,IF(COUNTIF($U$4:$U5,$U5)=1,1,0))</f>
        <v>1</v>
      </c>
    </row>
    <row r="6" spans="1:22" ht="29.25" customHeight="1">
      <c r="A6" s="61" t="s">
        <v>48</v>
      </c>
      <c r="B6" s="6" t="s">
        <v>125</v>
      </c>
      <c r="C6" s="8">
        <v>1</v>
      </c>
      <c r="D6" s="6" t="s">
        <v>126</v>
      </c>
      <c r="E6" s="6" t="s">
        <v>127</v>
      </c>
      <c r="F6" s="6" t="s">
        <v>128</v>
      </c>
      <c r="G6" s="6" t="s">
        <v>120</v>
      </c>
      <c r="H6" s="6" t="s">
        <v>121</v>
      </c>
      <c r="I6" s="6" t="s">
        <v>122</v>
      </c>
      <c r="J6" s="6" t="s">
        <v>123</v>
      </c>
      <c r="K6" s="9" t="s">
        <v>114</v>
      </c>
      <c r="L6" s="9"/>
      <c r="M6" s="8">
        <v>2</v>
      </c>
      <c r="N6" s="10">
        <v>4.0000000000000001E-3</v>
      </c>
      <c r="O6" s="10">
        <v>1.1999999999999999E-3</v>
      </c>
      <c r="P6" s="6" t="s">
        <v>124</v>
      </c>
      <c r="Q6" s="11">
        <f>IF($K6="Yes",$C6*Cost!$B$6,0)</f>
        <v>5</v>
      </c>
      <c r="R6" s="12">
        <f>IF($K6&lt;&gt;"Yes",0,IF(AND($P6="Estimate",$N6&gt;0,$B6&lt;&gt;"PCB"),MAX($C6*Cost!$B$6*$N6,Cost!$B$8),$C6*Cost!$B$6*$N6))</f>
        <v>0.1</v>
      </c>
      <c r="S6" s="12">
        <f>IF($K6="Yes",$C6*Cost!$B$7*$O6,0)</f>
        <v>0.12</v>
      </c>
      <c r="T6" s="6"/>
      <c r="U6" s="13" t="str">
        <f>IF(AND($K6="Yes",$M6&gt;0,$B6&lt;&gt;"PCB"),IF(LEFT($H6,7)="Generic","G|"&amp;$E6&amp;"|"&amp;$F6&amp;"|"&amp;$G6,"M|"&amp;$H6),"")</f>
        <v>G|1 MΩ|0603|1%</v>
      </c>
      <c r="V6" s="14">
        <f>IF($U6="",0,IF(COUNTIF($U$4:$U6,$U6)=1,1,0))</f>
        <v>1</v>
      </c>
    </row>
    <row r="7" spans="1:22" ht="29.25" customHeight="1">
      <c r="A7" s="61" t="s">
        <v>48</v>
      </c>
      <c r="B7" s="6" t="s">
        <v>129</v>
      </c>
      <c r="C7" s="8">
        <v>1</v>
      </c>
      <c r="D7" s="6" t="s">
        <v>130</v>
      </c>
      <c r="E7" s="6" t="s">
        <v>131</v>
      </c>
      <c r="F7" s="6" t="s">
        <v>119</v>
      </c>
      <c r="G7" s="6" t="s">
        <v>132</v>
      </c>
      <c r="H7" s="6" t="s">
        <v>121</v>
      </c>
      <c r="I7" s="6" t="s">
        <v>122</v>
      </c>
      <c r="J7" s="6" t="s">
        <v>123</v>
      </c>
      <c r="K7" s="9" t="s">
        <v>114</v>
      </c>
      <c r="L7" s="9"/>
      <c r="M7" s="8">
        <v>2</v>
      </c>
      <c r="N7" s="10">
        <v>5.0000000000000001E-3</v>
      </c>
      <c r="O7" s="10">
        <v>1.5E-3</v>
      </c>
      <c r="P7" s="6" t="s">
        <v>124</v>
      </c>
      <c r="Q7" s="11">
        <f>IF($K7="Yes",$C7*Cost!$B$6,0)</f>
        <v>5</v>
      </c>
      <c r="R7" s="12">
        <f>IF($K7&lt;&gt;"Yes",0,IF(AND($P7="Estimate",$N7&gt;0,$B7&lt;&gt;"PCB"),MAX($C7*Cost!$B$6*$N7,Cost!$B$8),$C7*Cost!$B$6*$N7))</f>
        <v>0.1</v>
      </c>
      <c r="S7" s="12">
        <f>IF($K7="Yes",$C7*Cost!$B$7*$O7,0)</f>
        <v>0.15</v>
      </c>
      <c r="T7" s="6"/>
      <c r="U7" s="13" t="str">
        <f>IF(AND($K7="Yes",$M7&gt;0,$B7&lt;&gt;"PCB"),IF(LEFT($H7,7)="Generic","G|"&amp;$E7&amp;"|"&amp;$F7&amp;"|"&amp;$G7,"M|"&amp;$H7),"")</f>
        <v>G|4.7 nF|0402|50 V X7R</v>
      </c>
      <c r="V7" s="14">
        <f>IF($U7="",0,IF(COUNTIF($U$4:$U7,$U7)=1,1,0))</f>
        <v>1</v>
      </c>
    </row>
    <row r="8" spans="1:22" ht="29.25" customHeight="1">
      <c r="A8" s="61" t="s">
        <v>48</v>
      </c>
      <c r="B8" s="6" t="s">
        <v>133</v>
      </c>
      <c r="C8" s="8">
        <v>1</v>
      </c>
      <c r="D8" s="6" t="s">
        <v>134</v>
      </c>
      <c r="E8" s="6" t="s">
        <v>108</v>
      </c>
      <c r="F8" s="6" t="s">
        <v>135</v>
      </c>
      <c r="G8" s="6" t="s">
        <v>136</v>
      </c>
      <c r="H8" s="6" t="s">
        <v>137</v>
      </c>
      <c r="I8" s="6" t="s">
        <v>138</v>
      </c>
      <c r="J8" s="6" t="s">
        <v>113</v>
      </c>
      <c r="K8" s="9" t="s">
        <v>114</v>
      </c>
      <c r="L8" s="9"/>
      <c r="M8" s="8">
        <v>6</v>
      </c>
      <c r="N8" s="10">
        <v>0.18440000000000001</v>
      </c>
      <c r="O8" s="10">
        <v>0.13</v>
      </c>
      <c r="P8" s="6" t="s">
        <v>115</v>
      </c>
      <c r="Q8" s="11">
        <f>IF($K8="Yes",$C8*Cost!$B$6,0)</f>
        <v>5</v>
      </c>
      <c r="R8" s="12">
        <f>IF($K8&lt;&gt;"Yes",0,IF(AND($P8="Estimate",$N8&gt;0,$B8&lt;&gt;"PCB"),MAX($C8*Cost!$B$6*$N8,Cost!$B$8),$C8*Cost!$B$6*$N8))</f>
        <v>0.92200000000000004</v>
      </c>
      <c r="S8" s="12">
        <f>IF($K8="Yes",$C8*Cost!$B$7*$O8,0)</f>
        <v>13</v>
      </c>
      <c r="T8" s="6"/>
      <c r="U8" s="13" t="str">
        <f>IF(AND($K8="Yes",$M8&gt;0,$B8&lt;&gt;"PCB"),IF(LEFT($H8,7)="Generic","G|"&amp;$E8&amp;"|"&amp;$F8&amp;"|"&amp;$G8,"M|"&amp;$H8),"")</f>
        <v>M|ST USBLC6-2SC6</v>
      </c>
      <c r="V8" s="14">
        <f>IF($U8="",0,IF(COUNTIF($U$4:$U8,$U8)=1,1,0))</f>
        <v>1</v>
      </c>
    </row>
    <row r="9" spans="1:22" ht="29.25" customHeight="1">
      <c r="A9" s="61" t="s">
        <v>48</v>
      </c>
      <c r="B9" s="6" t="s">
        <v>139</v>
      </c>
      <c r="C9" s="8">
        <v>1</v>
      </c>
      <c r="D9" s="6" t="s">
        <v>140</v>
      </c>
      <c r="E9" s="6" t="s">
        <v>141</v>
      </c>
      <c r="F9" s="6" t="s">
        <v>128</v>
      </c>
      <c r="G9" s="6" t="s">
        <v>142</v>
      </c>
      <c r="H9" s="6" t="s">
        <v>143</v>
      </c>
      <c r="I9" s="6" t="s">
        <v>144</v>
      </c>
      <c r="J9" s="6" t="s">
        <v>123</v>
      </c>
      <c r="K9" s="9" t="s">
        <v>114</v>
      </c>
      <c r="L9" s="9"/>
      <c r="M9" s="8">
        <v>2</v>
      </c>
      <c r="N9" s="10">
        <v>0.01</v>
      </c>
      <c r="O9" s="10">
        <v>3.0000000000000001E-3</v>
      </c>
      <c r="P9" s="6" t="s">
        <v>124</v>
      </c>
      <c r="Q9" s="11">
        <f>IF($K9="Yes",$C9*Cost!$B$6,0)</f>
        <v>5</v>
      </c>
      <c r="R9" s="12">
        <f>IF($K9&lt;&gt;"Yes",0,IF(AND($P9="Estimate",$N9&gt;0,$B9&lt;&gt;"PCB"),MAX($C9*Cost!$B$6*$N9,Cost!$B$8),$C9*Cost!$B$6*$N9))</f>
        <v>0.1</v>
      </c>
      <c r="S9" s="12">
        <f>IF($K9="Yes",$C9*Cost!$B$7*$O9,0)</f>
        <v>0.3</v>
      </c>
      <c r="T9" s="6"/>
      <c r="U9" s="13" t="str">
        <f>IF(AND($K9="Yes",$M9&gt;0,$B9&lt;&gt;"PCB"),IF(LEFT($H9,7)="Generic","G|"&amp;$E9&amp;"|"&amp;$F9&amp;"|"&amp;$G9,"M|"&amp;$H9),"")</f>
        <v>M|Sunlord GZ1608D601TF</v>
      </c>
      <c r="V9" s="14">
        <f>IF($U9="",0,IF(COUNTIF($U$4:$U9,$U9)=1,1,0))</f>
        <v>1</v>
      </c>
    </row>
    <row r="10" spans="1:22" ht="29.25" customHeight="1">
      <c r="A10" s="61" t="s">
        <v>48</v>
      </c>
      <c r="B10" s="6" t="s">
        <v>145</v>
      </c>
      <c r="C10" s="8">
        <v>1</v>
      </c>
      <c r="D10" s="6" t="s">
        <v>146</v>
      </c>
      <c r="E10" s="6" t="s">
        <v>147</v>
      </c>
      <c r="F10" s="6" t="s">
        <v>119</v>
      </c>
      <c r="G10" s="6" t="s">
        <v>148</v>
      </c>
      <c r="H10" s="6" t="s">
        <v>121</v>
      </c>
      <c r="I10" s="6" t="s">
        <v>122</v>
      </c>
      <c r="J10" s="6" t="s">
        <v>123</v>
      </c>
      <c r="K10" s="9" t="s">
        <v>114</v>
      </c>
      <c r="L10" s="9"/>
      <c r="M10" s="8">
        <v>2</v>
      </c>
      <c r="N10" s="10">
        <v>8.0000000000000002E-3</v>
      </c>
      <c r="O10" s="10">
        <v>3.0000000000000001E-3</v>
      </c>
      <c r="P10" s="6" t="s">
        <v>124</v>
      </c>
      <c r="Q10" s="11">
        <f>IF($K10="Yes",$C10*Cost!$B$6,0)</f>
        <v>5</v>
      </c>
      <c r="R10" s="12">
        <f>IF($K10&lt;&gt;"Yes",0,IF(AND($P10="Estimate",$N10&gt;0,$B10&lt;&gt;"PCB"),MAX($C10*Cost!$B$6*$N10,Cost!$B$8),$C10*Cost!$B$6*$N10))</f>
        <v>0.1</v>
      </c>
      <c r="S10" s="12">
        <f>IF($K10="Yes",$C10*Cost!$B$7*$O10,0)</f>
        <v>0.3</v>
      </c>
      <c r="T10" s="6"/>
      <c r="U10" s="13" t="str">
        <f>IF(AND($K10="Yes",$M10&gt;0,$B10&lt;&gt;"PCB"),IF(LEFT($H10,7)="Generic","G|"&amp;$E10&amp;"|"&amp;$F10&amp;"|"&amp;$G10,"M|"&amp;$H10),"")</f>
        <v>G|1 µF|0402|10 V X5R</v>
      </c>
      <c r="V10" s="14">
        <f>IF($U10="",0,IF(COUNTIF($U$4:$U10,$U10)=1,1,0))</f>
        <v>1</v>
      </c>
    </row>
    <row r="11" spans="1:22" ht="29.25" customHeight="1">
      <c r="A11" s="62" t="s">
        <v>50</v>
      </c>
      <c r="B11" s="6" t="s">
        <v>149</v>
      </c>
      <c r="C11" s="8">
        <v>1</v>
      </c>
      <c r="D11" s="6" t="s">
        <v>150</v>
      </c>
      <c r="E11" s="6" t="s">
        <v>108</v>
      </c>
      <c r="F11" s="6" t="s">
        <v>151</v>
      </c>
      <c r="G11" s="6" t="s">
        <v>152</v>
      </c>
      <c r="H11" s="6" t="s">
        <v>153</v>
      </c>
      <c r="I11" s="6" t="s">
        <v>154</v>
      </c>
      <c r="J11" s="6" t="s">
        <v>113</v>
      </c>
      <c r="K11" s="9" t="s">
        <v>114</v>
      </c>
      <c r="L11" s="9"/>
      <c r="M11" s="8">
        <v>64</v>
      </c>
      <c r="N11" s="10">
        <v>3.45</v>
      </c>
      <c r="O11" s="10">
        <v>2.3304999999999998</v>
      </c>
      <c r="P11" s="6" t="s">
        <v>115</v>
      </c>
      <c r="Q11" s="11">
        <f>IF($K11="Yes",$C11*Cost!$B$6,0)</f>
        <v>5</v>
      </c>
      <c r="R11" s="12">
        <f>IF($K11&lt;&gt;"Yes",0,IF(AND($P11="Estimate",$N11&gt;0,$B11&lt;&gt;"PCB"),MAX($C11*Cost!$B$6*$N11,Cost!$B$8),$C11*Cost!$B$6*$N11))</f>
        <v>17.25</v>
      </c>
      <c r="S11" s="12">
        <f>IF($K11="Yes",$C11*Cost!$B$7*$O11,0)</f>
        <v>233.04999999999998</v>
      </c>
      <c r="T11" s="6"/>
      <c r="U11" s="13" t="str">
        <f>IF(AND($K11="Yes",$M11&gt;0,$B11&lt;&gt;"PCB"),IF(LEFT($H11,7)="Generic","G|"&amp;$E11&amp;"|"&amp;$F11&amp;"|"&amp;$G11,"M|"&amp;$H11),"")</f>
        <v>M|WCH CH32V307RCT6</v>
      </c>
      <c r="V11" s="14">
        <f>IF($U11="",0,IF(COUNTIF($U$4:$U11,$U11)=1,1,0))</f>
        <v>1</v>
      </c>
    </row>
    <row r="12" spans="1:22" ht="29.25" customHeight="1">
      <c r="A12" s="61" t="s">
        <v>50</v>
      </c>
      <c r="B12" s="6" t="s">
        <v>155</v>
      </c>
      <c r="C12" s="8">
        <v>1</v>
      </c>
      <c r="D12" s="6" t="s">
        <v>156</v>
      </c>
      <c r="E12" s="6" t="s">
        <v>157</v>
      </c>
      <c r="F12" s="6" t="s">
        <v>158</v>
      </c>
      <c r="G12" s="6" t="s">
        <v>159</v>
      </c>
      <c r="H12" s="6" t="s">
        <v>121</v>
      </c>
      <c r="I12" s="6" t="s">
        <v>122</v>
      </c>
      <c r="J12" s="6" t="s">
        <v>123</v>
      </c>
      <c r="K12" s="9" t="s">
        <v>114</v>
      </c>
      <c r="L12" s="9"/>
      <c r="M12" s="8">
        <v>4</v>
      </c>
      <c r="N12" s="10">
        <v>0.1</v>
      </c>
      <c r="O12" s="10">
        <v>0.08</v>
      </c>
      <c r="P12" s="6" t="s">
        <v>124</v>
      </c>
      <c r="Q12" s="11">
        <f>IF($K12="Yes",$C12*Cost!$B$6,0)</f>
        <v>5</v>
      </c>
      <c r="R12" s="12">
        <f>IF($K12&lt;&gt;"Yes",0,IF(AND($P12="Estimate",$N12&gt;0,$B12&lt;&gt;"PCB"),MAX($C12*Cost!$B$6*$N12,Cost!$B$8),$C12*Cost!$B$6*$N12))</f>
        <v>0.5</v>
      </c>
      <c r="S12" s="12">
        <f>IF($K12="Yes",$C12*Cost!$B$7*$O12,0)</f>
        <v>8</v>
      </c>
      <c r="T12" s="6"/>
      <c r="U12" s="13" t="str">
        <f>IF(AND($K12="Yes",$M12&gt;0,$B12&lt;&gt;"PCB"),IF(LEFT($H12,7)="Generic","G|"&amp;$E12&amp;"|"&amp;$F12&amp;"|"&amp;$G12,"M|"&amp;$H12),"")</f>
        <v>G|8 MHz|3.2 × 2.5 mm|±20 ppm</v>
      </c>
      <c r="V12" s="14">
        <f>IF($U12="",0,IF(COUNTIF($U$4:$U12,$U12)=1,1,0))</f>
        <v>1</v>
      </c>
    </row>
    <row r="13" spans="1:22" ht="29.25" customHeight="1">
      <c r="A13" s="61" t="s">
        <v>50</v>
      </c>
      <c r="B13" s="6" t="s">
        <v>160</v>
      </c>
      <c r="C13" s="8">
        <v>2</v>
      </c>
      <c r="D13" s="6" t="s">
        <v>161</v>
      </c>
      <c r="E13" s="6" t="s">
        <v>162</v>
      </c>
      <c r="F13" s="6" t="s">
        <v>119</v>
      </c>
      <c r="G13" s="6" t="s">
        <v>163</v>
      </c>
      <c r="H13" s="6" t="s">
        <v>121</v>
      </c>
      <c r="I13" s="6" t="s">
        <v>122</v>
      </c>
      <c r="J13" s="6" t="s">
        <v>123</v>
      </c>
      <c r="K13" s="9" t="s">
        <v>114</v>
      </c>
      <c r="L13" s="9"/>
      <c r="M13" s="8">
        <v>2</v>
      </c>
      <c r="N13" s="10">
        <v>5.0000000000000001E-3</v>
      </c>
      <c r="O13" s="10">
        <v>1.5E-3</v>
      </c>
      <c r="P13" s="6" t="s">
        <v>124</v>
      </c>
      <c r="Q13" s="11">
        <f>IF($K13="Yes",$C13*Cost!$B$6,0)</f>
        <v>10</v>
      </c>
      <c r="R13" s="12">
        <f>IF($K13&lt;&gt;"Yes",0,IF(AND($P13="Estimate",$N13&gt;0,$B13&lt;&gt;"PCB"),MAX($C13*Cost!$B$6*$N13,Cost!$B$8),$C13*Cost!$B$6*$N13))</f>
        <v>0.1</v>
      </c>
      <c r="S13" s="12">
        <f>IF($K13="Yes",$C13*Cost!$B$7*$O13,0)</f>
        <v>0.3</v>
      </c>
      <c r="T13" s="6"/>
      <c r="U13" s="13" t="str">
        <f>IF(AND($K13="Yes",$M13&gt;0,$B13&lt;&gt;"PCB"),IF(LEFT($H13,7)="Generic","G|"&amp;$E13&amp;"|"&amp;$F13&amp;"|"&amp;$G13,"M|"&amp;$H13),"")</f>
        <v>G|20 pF|0402|50 V C0G</v>
      </c>
      <c r="V13" s="14">
        <f>IF($U13="",0,IF(COUNTIF($U$4:$U13,$U13)=1,1,0))</f>
        <v>1</v>
      </c>
    </row>
    <row r="14" spans="1:22" ht="29.25" customHeight="1">
      <c r="A14" s="61" t="s">
        <v>50</v>
      </c>
      <c r="B14" s="6" t="s">
        <v>164</v>
      </c>
      <c r="C14" s="8">
        <v>8</v>
      </c>
      <c r="D14" s="6" t="s">
        <v>165</v>
      </c>
      <c r="E14" s="6" t="s">
        <v>166</v>
      </c>
      <c r="F14" s="6" t="s">
        <v>119</v>
      </c>
      <c r="G14" s="6" t="s">
        <v>167</v>
      </c>
      <c r="H14" s="6" t="s">
        <v>121</v>
      </c>
      <c r="I14" s="6" t="s">
        <v>122</v>
      </c>
      <c r="J14" s="6" t="s">
        <v>123</v>
      </c>
      <c r="K14" s="9" t="s">
        <v>114</v>
      </c>
      <c r="L14" s="9"/>
      <c r="M14" s="8">
        <v>2</v>
      </c>
      <c r="N14" s="10">
        <v>5.0000000000000001E-3</v>
      </c>
      <c r="O14" s="10">
        <v>1.5E-3</v>
      </c>
      <c r="P14" s="6" t="s">
        <v>124</v>
      </c>
      <c r="Q14" s="11">
        <f>IF($K14="Yes",$C14*Cost!$B$6,0)</f>
        <v>40</v>
      </c>
      <c r="R14" s="12">
        <f>IF($K14&lt;&gt;"Yes",0,IF(AND($P14="Estimate",$N14&gt;0,$B14&lt;&gt;"PCB"),MAX($C14*Cost!$B$6*$N14,Cost!$B$8),$C14*Cost!$B$6*$N14))</f>
        <v>0.2</v>
      </c>
      <c r="S14" s="12">
        <f>IF($K14="Yes",$C14*Cost!$B$7*$O14,0)</f>
        <v>1.2</v>
      </c>
      <c r="T14" s="6"/>
      <c r="U14" s="13" t="str">
        <f>IF(AND($K14="Yes",$M14&gt;0,$B14&lt;&gt;"PCB"),IF(LEFT($H14,7)="Generic","G|"&amp;$E14&amp;"|"&amp;$F14&amp;"|"&amp;$G14,"M|"&amp;$H14),"")</f>
        <v>G|100 nF|0402|16 V X7R</v>
      </c>
      <c r="V14" s="14">
        <f>IF($U14="",0,IF(COUNTIF($U$4:$U14,$U14)=1,1,0))</f>
        <v>1</v>
      </c>
    </row>
    <row r="15" spans="1:22" ht="29.25" customHeight="1">
      <c r="A15" s="61" t="s">
        <v>50</v>
      </c>
      <c r="B15" s="6" t="s">
        <v>168</v>
      </c>
      <c r="C15" s="8">
        <v>1</v>
      </c>
      <c r="D15" s="6" t="s">
        <v>169</v>
      </c>
      <c r="E15" s="6" t="s">
        <v>170</v>
      </c>
      <c r="F15" s="6" t="s">
        <v>171</v>
      </c>
      <c r="G15" s="6" t="s">
        <v>148</v>
      </c>
      <c r="H15" s="6" t="s">
        <v>121</v>
      </c>
      <c r="I15" s="6" t="s">
        <v>122</v>
      </c>
      <c r="J15" s="6" t="s">
        <v>123</v>
      </c>
      <c r="K15" s="9" t="s">
        <v>114</v>
      </c>
      <c r="L15" s="9"/>
      <c r="M15" s="8">
        <v>2</v>
      </c>
      <c r="N15" s="10">
        <v>0.02</v>
      </c>
      <c r="O15" s="10">
        <v>0.01</v>
      </c>
      <c r="P15" s="6" t="s">
        <v>124</v>
      </c>
      <c r="Q15" s="11">
        <f>IF($K15="Yes",$C15*Cost!$B$6,0)</f>
        <v>5</v>
      </c>
      <c r="R15" s="12">
        <f>IF($K15&lt;&gt;"Yes",0,IF(AND($P15="Estimate",$N15&gt;0,$B15&lt;&gt;"PCB"),MAX($C15*Cost!$B$6*$N15,Cost!$B$8),$C15*Cost!$B$6*$N15))</f>
        <v>0.1</v>
      </c>
      <c r="S15" s="12">
        <f>IF($K15="Yes",$C15*Cost!$B$7*$O15,0)</f>
        <v>1</v>
      </c>
      <c r="T15" s="6"/>
      <c r="U15" s="13" t="str">
        <f>IF(AND($K15="Yes",$M15&gt;0,$B15&lt;&gt;"PCB"),IF(LEFT($H15,7)="Generic","G|"&amp;$E15&amp;"|"&amp;$F15&amp;"|"&amp;$G15,"M|"&amp;$H15),"")</f>
        <v>G|10 µF|0805|10 V X5R</v>
      </c>
      <c r="V15" s="14">
        <f>IF($U15="",0,IF(COUNTIF($U$4:$U15,$U15)=1,1,0))</f>
        <v>1</v>
      </c>
    </row>
    <row r="16" spans="1:22" ht="29.25" customHeight="1">
      <c r="A16" s="61" t="s">
        <v>50</v>
      </c>
      <c r="B16" s="6" t="s">
        <v>172</v>
      </c>
      <c r="C16" s="8">
        <v>2</v>
      </c>
      <c r="D16" s="6" t="s">
        <v>173</v>
      </c>
      <c r="E16" s="6" t="s">
        <v>174</v>
      </c>
      <c r="F16" s="6" t="s">
        <v>119</v>
      </c>
      <c r="G16" s="6" t="s">
        <v>108</v>
      </c>
      <c r="H16" s="6" t="s">
        <v>121</v>
      </c>
      <c r="I16" s="6" t="s">
        <v>122</v>
      </c>
      <c r="J16" s="6" t="s">
        <v>123</v>
      </c>
      <c r="K16" s="9" t="s">
        <v>114</v>
      </c>
      <c r="L16" s="9"/>
      <c r="M16" s="8">
        <v>2</v>
      </c>
      <c r="N16" s="10">
        <v>4.0000000000000001E-3</v>
      </c>
      <c r="O16" s="10">
        <v>1E-3</v>
      </c>
      <c r="P16" s="6" t="s">
        <v>124</v>
      </c>
      <c r="Q16" s="11">
        <f>IF($K16="Yes",$C16*Cost!$B$6,0)</f>
        <v>10</v>
      </c>
      <c r="R16" s="12">
        <f>IF($K16&lt;&gt;"Yes",0,IF(AND($P16="Estimate",$N16&gt;0,$B16&lt;&gt;"PCB"),MAX($C16*Cost!$B$6*$N16,Cost!$B$8),$C16*Cost!$B$6*$N16))</f>
        <v>0.1</v>
      </c>
      <c r="S16" s="12">
        <f>IF($K16="Yes",$C16*Cost!$B$7*$O16,0)</f>
        <v>0.2</v>
      </c>
      <c r="T16" s="6"/>
      <c r="U16" s="13" t="str">
        <f>IF(AND($K16="Yes",$M16&gt;0,$B16&lt;&gt;"PCB"),IF(LEFT($H16,7)="Generic","G|"&amp;$E16&amp;"|"&amp;$F16&amp;"|"&amp;$G16,"M|"&amp;$H16),"")</f>
        <v>G|10 kΩ / 100 nF|0402|—</v>
      </c>
      <c r="V16" s="14">
        <f>IF($U16="",0,IF(COUNTIF($U$4:$U16,$U16)=1,1,0))</f>
        <v>1</v>
      </c>
    </row>
    <row r="17" spans="1:22" ht="29.25" customHeight="1">
      <c r="A17" s="61" t="s">
        <v>50</v>
      </c>
      <c r="B17" s="6" t="s">
        <v>175</v>
      </c>
      <c r="C17" s="8">
        <v>1</v>
      </c>
      <c r="D17" s="6" t="s">
        <v>176</v>
      </c>
      <c r="E17" s="6" t="s">
        <v>177</v>
      </c>
      <c r="F17" s="6" t="s">
        <v>119</v>
      </c>
      <c r="G17" s="6" t="s">
        <v>120</v>
      </c>
      <c r="H17" s="6" t="s">
        <v>121</v>
      </c>
      <c r="I17" s="6" t="s">
        <v>122</v>
      </c>
      <c r="J17" s="6" t="s">
        <v>123</v>
      </c>
      <c r="K17" s="9" t="s">
        <v>114</v>
      </c>
      <c r="L17" s="9"/>
      <c r="M17" s="8">
        <v>2</v>
      </c>
      <c r="N17" s="10">
        <v>4.0000000000000001E-3</v>
      </c>
      <c r="O17" s="10">
        <v>1E-3</v>
      </c>
      <c r="P17" s="6" t="s">
        <v>124</v>
      </c>
      <c r="Q17" s="11">
        <f>IF($K17="Yes",$C17*Cost!$B$6,0)</f>
        <v>5</v>
      </c>
      <c r="R17" s="12">
        <f>IF($K17&lt;&gt;"Yes",0,IF(AND($P17="Estimate",$N17&gt;0,$B17&lt;&gt;"PCB"),MAX($C17*Cost!$B$6*$N17,Cost!$B$8),$C17*Cost!$B$6*$N17))</f>
        <v>0.1</v>
      </c>
      <c r="S17" s="12">
        <f>IF($K17="Yes",$C17*Cost!$B$7*$O17,0)</f>
        <v>0.1</v>
      </c>
      <c r="T17" s="6"/>
      <c r="U17" s="13" t="str">
        <f>IF(AND($K17="Yes",$M17&gt;0,$B17&lt;&gt;"PCB"),IF(LEFT($H17,7)="Generic","G|"&amp;$E17&amp;"|"&amp;$F17&amp;"|"&amp;$G17,"M|"&amp;$H17),"")</f>
        <v>G|10 kΩ|0402|1%</v>
      </c>
      <c r="V17" s="14">
        <f>IF($U17="",0,IF(COUNTIF($U$4:$U17,$U17)=1,1,0))</f>
        <v>1</v>
      </c>
    </row>
    <row r="18" spans="1:22" ht="42.75" customHeight="1">
      <c r="A18" s="61" t="s">
        <v>50</v>
      </c>
      <c r="B18" s="6" t="s">
        <v>178</v>
      </c>
      <c r="C18" s="8">
        <v>1</v>
      </c>
      <c r="D18" s="6" t="s">
        <v>179</v>
      </c>
      <c r="E18" s="6" t="s">
        <v>108</v>
      </c>
      <c r="F18" s="6" t="s">
        <v>180</v>
      </c>
      <c r="G18" s="6" t="s">
        <v>181</v>
      </c>
      <c r="H18" s="6" t="s">
        <v>182</v>
      </c>
      <c r="I18" s="6" t="s">
        <v>183</v>
      </c>
      <c r="J18" s="6" t="s">
        <v>113</v>
      </c>
      <c r="K18" s="9" t="s">
        <v>114</v>
      </c>
      <c r="L18" s="9" t="s">
        <v>114</v>
      </c>
      <c r="M18" s="8">
        <v>33</v>
      </c>
      <c r="N18" s="10">
        <v>1.6503000000000001</v>
      </c>
      <c r="O18" s="10">
        <v>1.1116999999999999</v>
      </c>
      <c r="P18" s="6" t="s">
        <v>115</v>
      </c>
      <c r="Q18" s="11">
        <f>IF($K18="Yes",$C18*Cost!$B$6,0)</f>
        <v>5</v>
      </c>
      <c r="R18" s="12">
        <f>IF($K18&lt;&gt;"Yes",0,IF(AND($P18="Estimate",$N18&gt;0,$B18&lt;&gt;"PCB"),MAX($C18*Cost!$B$6*$N18,Cost!$B$8),$C18*Cost!$B$6*$N18))</f>
        <v>8.2515000000000001</v>
      </c>
      <c r="S18" s="12">
        <f>IF($K18="Yes",$C18*Cost!$B$7*$O18,0)</f>
        <v>111.16999999999999</v>
      </c>
      <c r="T18" s="6"/>
      <c r="U18" s="13" t="str">
        <f>IF(AND($K18="Yes",$M18&gt;0,$B18&lt;&gt;"PCB"),IF(LEFT($H18,7)="Generic","G|"&amp;$E18&amp;"|"&amp;$F18&amp;"|"&amp;$G18,"M|"&amp;$H18),"")</f>
        <v>M|AGM AGRV2KQ32</v>
      </c>
      <c r="V18" s="14">
        <f>IF($U18="",0,IF(COUNTIF($U$4:$U18,$U18)=1,1,0))</f>
        <v>1</v>
      </c>
    </row>
    <row r="19" spans="1:22" ht="29.25" customHeight="1">
      <c r="A19" s="61" t="s">
        <v>50</v>
      </c>
      <c r="B19" s="6" t="s">
        <v>184</v>
      </c>
      <c r="C19" s="8">
        <v>4</v>
      </c>
      <c r="D19" s="6" t="s">
        <v>185</v>
      </c>
      <c r="E19" s="6" t="s">
        <v>166</v>
      </c>
      <c r="F19" s="6" t="s">
        <v>119</v>
      </c>
      <c r="G19" s="6" t="s">
        <v>167</v>
      </c>
      <c r="H19" s="6" t="s">
        <v>121</v>
      </c>
      <c r="I19" s="6" t="s">
        <v>122</v>
      </c>
      <c r="J19" s="6" t="s">
        <v>123</v>
      </c>
      <c r="K19" s="9" t="s">
        <v>114</v>
      </c>
      <c r="L19" s="9"/>
      <c r="M19" s="8">
        <v>2</v>
      </c>
      <c r="N19" s="10">
        <v>5.0000000000000001E-3</v>
      </c>
      <c r="O19" s="10">
        <v>1.5E-3</v>
      </c>
      <c r="P19" s="6" t="s">
        <v>124</v>
      </c>
      <c r="Q19" s="11">
        <f>IF($K19="Yes",$C19*Cost!$B$6,0)</f>
        <v>20</v>
      </c>
      <c r="R19" s="12">
        <f>IF($K19&lt;&gt;"Yes",0,IF(AND($P19="Estimate",$N19&gt;0,$B19&lt;&gt;"PCB"),MAX($C19*Cost!$B$6*$N19,Cost!$B$8),$C19*Cost!$B$6*$N19))</f>
        <v>0.1</v>
      </c>
      <c r="S19" s="12">
        <f>IF($K19="Yes",$C19*Cost!$B$7*$O19,0)</f>
        <v>0.6</v>
      </c>
      <c r="T19" s="6"/>
      <c r="U19" s="13" t="str">
        <f>IF(AND($K19="Yes",$M19&gt;0,$B19&lt;&gt;"PCB"),IF(LEFT($H19,7)="Generic","G|"&amp;$E19&amp;"|"&amp;$F19&amp;"|"&amp;$G19,"M|"&amp;$H19),"")</f>
        <v>G|100 nF|0402|16 V X7R</v>
      </c>
      <c r="V19" s="14">
        <f>IF($U19="",0,IF(COUNTIF($U$4:$U19,$U19)=1,1,0))</f>
        <v>0</v>
      </c>
    </row>
    <row r="20" spans="1:22" ht="29.25" customHeight="1">
      <c r="A20" s="61" t="s">
        <v>50</v>
      </c>
      <c r="B20" s="6" t="s">
        <v>186</v>
      </c>
      <c r="C20" s="8">
        <v>1</v>
      </c>
      <c r="D20" s="6" t="s">
        <v>187</v>
      </c>
      <c r="E20" s="6" t="s">
        <v>188</v>
      </c>
      <c r="F20" s="6" t="s">
        <v>158</v>
      </c>
      <c r="G20" s="6" t="s">
        <v>189</v>
      </c>
      <c r="H20" s="6" t="s">
        <v>190</v>
      </c>
      <c r="I20" s="6" t="s">
        <v>122</v>
      </c>
      <c r="J20" s="6" t="s">
        <v>113</v>
      </c>
      <c r="K20" s="9" t="s">
        <v>114</v>
      </c>
      <c r="L20" s="9" t="s">
        <v>114</v>
      </c>
      <c r="M20" s="8">
        <v>4</v>
      </c>
      <c r="N20" s="10">
        <v>0.5</v>
      </c>
      <c r="O20" s="10">
        <v>0.35</v>
      </c>
      <c r="P20" s="6" t="s">
        <v>124</v>
      </c>
      <c r="Q20" s="11">
        <f>IF($K20="Yes",$C20*Cost!$B$6,0)</f>
        <v>5</v>
      </c>
      <c r="R20" s="12">
        <f>IF($K20&lt;&gt;"Yes",0,IF(AND($P20="Estimate",$N20&gt;0,$B20&lt;&gt;"PCB"),MAX($C20*Cost!$B$6*$N20,Cost!$B$8),$C20*Cost!$B$6*$N20))</f>
        <v>2.5</v>
      </c>
      <c r="S20" s="12">
        <f>IF($K20="Yes",$C20*Cost!$B$7*$O20,0)</f>
        <v>35</v>
      </c>
      <c r="T20" s="6"/>
      <c r="U20" s="13" t="str">
        <f>IF(AND($K20="Yes",$M20&gt;0,$B20&lt;&gt;"PCB"),IF(LEFT($H20,7)="Generic","G|"&amp;$E20&amp;"|"&amp;$F20&amp;"|"&amp;$G20,"M|"&amp;$H20),"")</f>
        <v>G|22.5792 MHz|3.2 × 2.5 mm|±25 ppm</v>
      </c>
      <c r="V20" s="14">
        <f>IF($U20="",0,IF(COUNTIF($U$4:$U20,$U20)=1,1,0))</f>
        <v>1</v>
      </c>
    </row>
    <row r="21" spans="1:22" ht="29.25" customHeight="1">
      <c r="A21" s="61" t="s">
        <v>50</v>
      </c>
      <c r="B21" s="6" t="s">
        <v>191</v>
      </c>
      <c r="C21" s="8">
        <v>1</v>
      </c>
      <c r="D21" s="6" t="s">
        <v>192</v>
      </c>
      <c r="E21" s="6" t="s">
        <v>193</v>
      </c>
      <c r="F21" s="6" t="s">
        <v>158</v>
      </c>
      <c r="G21" s="6" t="s">
        <v>189</v>
      </c>
      <c r="H21" s="6" t="s">
        <v>190</v>
      </c>
      <c r="I21" s="6" t="s">
        <v>122</v>
      </c>
      <c r="J21" s="6" t="s">
        <v>113</v>
      </c>
      <c r="K21" s="9" t="s">
        <v>114</v>
      </c>
      <c r="L21" s="9" t="s">
        <v>114</v>
      </c>
      <c r="M21" s="8">
        <v>4</v>
      </c>
      <c r="N21" s="10">
        <v>0.5</v>
      </c>
      <c r="O21" s="10">
        <v>0.35</v>
      </c>
      <c r="P21" s="6" t="s">
        <v>124</v>
      </c>
      <c r="Q21" s="11">
        <f>IF($K21="Yes",$C21*Cost!$B$6,0)</f>
        <v>5</v>
      </c>
      <c r="R21" s="12">
        <f>IF($K21&lt;&gt;"Yes",0,IF(AND($P21="Estimate",$N21&gt;0,$B21&lt;&gt;"PCB"),MAX($C21*Cost!$B$6*$N21,Cost!$B$8),$C21*Cost!$B$6*$N21))</f>
        <v>2.5</v>
      </c>
      <c r="S21" s="12">
        <f>IF($K21="Yes",$C21*Cost!$B$7*$O21,0)</f>
        <v>35</v>
      </c>
      <c r="T21" s="6"/>
      <c r="U21" s="13" t="str">
        <f>IF(AND($K21="Yes",$M21&gt;0,$B21&lt;&gt;"PCB"),IF(LEFT($H21,7)="Generic","G|"&amp;$E21&amp;"|"&amp;$F21&amp;"|"&amp;$G21,"M|"&amp;$H21),"")</f>
        <v>G|24.576 MHz|3.2 × 2.5 mm|±25 ppm</v>
      </c>
      <c r="V21" s="14">
        <f>IF($U21="",0,IF(COUNTIF($U$4:$U21,$U21)=1,1,0))</f>
        <v>1</v>
      </c>
    </row>
    <row r="22" spans="1:22" ht="29.25" customHeight="1">
      <c r="A22" s="61" t="s">
        <v>50</v>
      </c>
      <c r="B22" s="6" t="s">
        <v>194</v>
      </c>
      <c r="C22" s="8">
        <v>2</v>
      </c>
      <c r="D22" s="6" t="s">
        <v>195</v>
      </c>
      <c r="E22" s="6" t="s">
        <v>166</v>
      </c>
      <c r="F22" s="6" t="s">
        <v>119</v>
      </c>
      <c r="G22" s="6" t="s">
        <v>167</v>
      </c>
      <c r="H22" s="6" t="s">
        <v>121</v>
      </c>
      <c r="I22" s="6" t="s">
        <v>122</v>
      </c>
      <c r="J22" s="6" t="s">
        <v>123</v>
      </c>
      <c r="K22" s="9" t="s">
        <v>114</v>
      </c>
      <c r="L22" s="9"/>
      <c r="M22" s="8">
        <v>2</v>
      </c>
      <c r="N22" s="10">
        <v>5.0000000000000001E-3</v>
      </c>
      <c r="O22" s="10">
        <v>1.5E-3</v>
      </c>
      <c r="P22" s="6" t="s">
        <v>124</v>
      </c>
      <c r="Q22" s="11">
        <f>IF($K22="Yes",$C22*Cost!$B$6,0)</f>
        <v>10</v>
      </c>
      <c r="R22" s="12">
        <f>IF($K22&lt;&gt;"Yes",0,IF(AND($P22="Estimate",$N22&gt;0,$B22&lt;&gt;"PCB"),MAX($C22*Cost!$B$6*$N22,Cost!$B$8),$C22*Cost!$B$6*$N22))</f>
        <v>0.1</v>
      </c>
      <c r="S22" s="12">
        <f>IF($K22="Yes",$C22*Cost!$B$7*$O22,0)</f>
        <v>0.3</v>
      </c>
      <c r="T22" s="6"/>
      <c r="U22" s="13" t="str">
        <f>IF(AND($K22="Yes",$M22&gt;0,$B22&lt;&gt;"PCB"),IF(LEFT($H22,7)="Generic","G|"&amp;$E22&amp;"|"&amp;$F22&amp;"|"&amp;$G22,"M|"&amp;$H22),"")</f>
        <v>G|100 nF|0402|16 V X7R</v>
      </c>
      <c r="V22" s="14">
        <f>IF($U22="",0,IF(COUNTIF($U$4:$U22,$U22)=1,1,0))</f>
        <v>0</v>
      </c>
    </row>
    <row r="23" spans="1:22" ht="29.25" customHeight="1">
      <c r="A23" s="61" t="s">
        <v>50</v>
      </c>
      <c r="B23" s="6" t="s">
        <v>196</v>
      </c>
      <c r="C23" s="8">
        <v>4</v>
      </c>
      <c r="D23" s="6" t="s">
        <v>197</v>
      </c>
      <c r="E23" s="6" t="s">
        <v>198</v>
      </c>
      <c r="F23" s="6" t="s">
        <v>119</v>
      </c>
      <c r="G23" s="6" t="s">
        <v>120</v>
      </c>
      <c r="H23" s="6" t="s">
        <v>121</v>
      </c>
      <c r="I23" s="6" t="s">
        <v>122</v>
      </c>
      <c r="J23" s="6" t="s">
        <v>123</v>
      </c>
      <c r="K23" s="9" t="s">
        <v>114</v>
      </c>
      <c r="L23" s="9"/>
      <c r="M23" s="8">
        <v>2</v>
      </c>
      <c r="N23" s="10">
        <v>4.0000000000000001E-3</v>
      </c>
      <c r="O23" s="10">
        <v>1E-3</v>
      </c>
      <c r="P23" s="6" t="s">
        <v>124</v>
      </c>
      <c r="Q23" s="11">
        <f>IF($K23="Yes",$C23*Cost!$B$6,0)</f>
        <v>20</v>
      </c>
      <c r="R23" s="12">
        <f>IF($K23&lt;&gt;"Yes",0,IF(AND($P23="Estimate",$N23&gt;0,$B23&lt;&gt;"PCB"),MAX($C23*Cost!$B$6*$N23,Cost!$B$8),$C23*Cost!$B$6*$N23))</f>
        <v>0.1</v>
      </c>
      <c r="S23" s="12">
        <f>IF($K23="Yes",$C23*Cost!$B$7*$O23,0)</f>
        <v>0.4</v>
      </c>
      <c r="T23" s="6"/>
      <c r="U23" s="13" t="str">
        <f>IF(AND($K23="Yes",$M23&gt;0,$B23&lt;&gt;"PCB"),IF(LEFT($H23,7)="Generic","G|"&amp;$E23&amp;"|"&amp;$F23&amp;"|"&amp;$G23,"M|"&amp;$H23),"")</f>
        <v>G|33 Ω|0402|1%</v>
      </c>
      <c r="V23" s="14">
        <f>IF($U23="",0,IF(COUNTIF($U$4:$U23,$U23)=1,1,0))</f>
        <v>1</v>
      </c>
    </row>
    <row r="24" spans="1:22" ht="29.25" customHeight="1">
      <c r="A24" s="61" t="s">
        <v>50</v>
      </c>
      <c r="B24" s="6" t="s">
        <v>199</v>
      </c>
      <c r="C24" s="8">
        <v>2</v>
      </c>
      <c r="D24" s="6" t="s">
        <v>200</v>
      </c>
      <c r="E24" s="6" t="s">
        <v>201</v>
      </c>
      <c r="F24" s="6" t="s">
        <v>119</v>
      </c>
      <c r="G24" s="6" t="s">
        <v>120</v>
      </c>
      <c r="H24" s="6" t="s">
        <v>121</v>
      </c>
      <c r="I24" s="6" t="s">
        <v>122</v>
      </c>
      <c r="J24" s="6" t="s">
        <v>123</v>
      </c>
      <c r="K24" s="9" t="s">
        <v>114</v>
      </c>
      <c r="L24" s="9"/>
      <c r="M24" s="8">
        <v>2</v>
      </c>
      <c r="N24" s="10">
        <v>4.0000000000000001E-3</v>
      </c>
      <c r="O24" s="10">
        <v>1E-3</v>
      </c>
      <c r="P24" s="6" t="s">
        <v>124</v>
      </c>
      <c r="Q24" s="11">
        <f>IF($K24="Yes",$C24*Cost!$B$6,0)</f>
        <v>10</v>
      </c>
      <c r="R24" s="12">
        <f>IF($K24&lt;&gt;"Yes",0,IF(AND($P24="Estimate",$N24&gt;0,$B24&lt;&gt;"PCB"),MAX($C24*Cost!$B$6*$N24,Cost!$B$8),$C24*Cost!$B$6*$N24))</f>
        <v>0.1</v>
      </c>
      <c r="S24" s="12">
        <f>IF($K24="Yes",$C24*Cost!$B$7*$O24,0)</f>
        <v>0.2</v>
      </c>
      <c r="T24" s="6"/>
      <c r="U24" s="13" t="str">
        <f>IF(AND($K24="Yes",$M24&gt;0,$B24&lt;&gt;"PCB"),IF(LEFT($H24,7)="Generic","G|"&amp;$E24&amp;"|"&amp;$F24&amp;"|"&amp;$G24,"M|"&amp;$H24),"")</f>
        <v>G|2.2 kΩ|0402|1%</v>
      </c>
      <c r="V24" s="14">
        <f>IF($U24="",0,IF(COUNTIF($U$4:$U24,$U24)=1,1,0))</f>
        <v>1</v>
      </c>
    </row>
    <row r="25" spans="1:22" ht="29.25" customHeight="1">
      <c r="A25" s="61" t="s">
        <v>50</v>
      </c>
      <c r="B25" s="6" t="s">
        <v>202</v>
      </c>
      <c r="C25" s="8">
        <v>1</v>
      </c>
      <c r="D25" s="6" t="s">
        <v>203</v>
      </c>
      <c r="E25" s="6" t="s">
        <v>108</v>
      </c>
      <c r="F25" s="6" t="s">
        <v>204</v>
      </c>
      <c r="G25" s="6" t="s">
        <v>108</v>
      </c>
      <c r="H25" s="6" t="s">
        <v>205</v>
      </c>
      <c r="I25" s="6" t="s">
        <v>108</v>
      </c>
      <c r="J25" s="6" t="s">
        <v>108</v>
      </c>
      <c r="K25" s="9" t="s">
        <v>205</v>
      </c>
      <c r="L25" s="9"/>
      <c r="M25" s="8">
        <v>0</v>
      </c>
      <c r="N25" s="10">
        <v>0</v>
      </c>
      <c r="O25" s="10">
        <v>0</v>
      </c>
      <c r="P25" s="6" t="s">
        <v>124</v>
      </c>
      <c r="Q25" s="11">
        <f>IF($K25="Yes",$C25*Cost!$B$6,0)</f>
        <v>0</v>
      </c>
      <c r="R25" s="12">
        <f>IF($K25&lt;&gt;"Yes",0,IF(AND($P25="Estimate",$N25&gt;0,$B25&lt;&gt;"PCB"),MAX($C25*Cost!$B$6*$N25,Cost!$B$8),$C25*Cost!$B$6*$N25))</f>
        <v>0</v>
      </c>
      <c r="S25" s="12">
        <f>IF($K25="Yes",$C25*Cost!$B$7*$O25,0)</f>
        <v>0</v>
      </c>
      <c r="T25" s="6"/>
      <c r="U25" s="13" t="str">
        <f>IF(AND($K25="Yes",$M25&gt;0,$B25&lt;&gt;"PCB"),IF(LEFT($H25,7)="Generic","G|"&amp;$E25&amp;"|"&amp;$F25&amp;"|"&amp;$G25,"M|"&amp;$H25),"")</f>
        <v/>
      </c>
      <c r="V25" s="14">
        <f>IF($U25="",0,IF(COUNTIF($U$4:$U25,$U25)=1,1,0))</f>
        <v>0</v>
      </c>
    </row>
    <row r="26" spans="1:22" ht="29.25" customHeight="1">
      <c r="A26" s="61" t="s">
        <v>50</v>
      </c>
      <c r="B26" s="6" t="s">
        <v>206</v>
      </c>
      <c r="C26" s="8">
        <v>1</v>
      </c>
      <c r="D26" s="6" t="s">
        <v>207</v>
      </c>
      <c r="E26" s="6" t="s">
        <v>108</v>
      </c>
      <c r="F26" s="6" t="s">
        <v>204</v>
      </c>
      <c r="G26" s="6" t="s">
        <v>108</v>
      </c>
      <c r="H26" s="6" t="s">
        <v>205</v>
      </c>
      <c r="I26" s="6" t="s">
        <v>108</v>
      </c>
      <c r="J26" s="6" t="s">
        <v>108</v>
      </c>
      <c r="K26" s="9" t="s">
        <v>205</v>
      </c>
      <c r="L26" s="9"/>
      <c r="M26" s="8">
        <v>0</v>
      </c>
      <c r="N26" s="10">
        <v>0</v>
      </c>
      <c r="O26" s="10">
        <v>0</v>
      </c>
      <c r="P26" s="6" t="s">
        <v>124</v>
      </c>
      <c r="Q26" s="11">
        <f>IF($K26="Yes",$C26*Cost!$B$6,0)</f>
        <v>0</v>
      </c>
      <c r="R26" s="12">
        <f>IF($K26&lt;&gt;"Yes",0,IF(AND($P26="Estimate",$N26&gt;0,$B26&lt;&gt;"PCB"),MAX($C26*Cost!$B$6*$N26,Cost!$B$8),$C26*Cost!$B$6*$N26))</f>
        <v>0</v>
      </c>
      <c r="S26" s="12">
        <f>IF($K26="Yes",$C26*Cost!$B$7*$O26,0)</f>
        <v>0</v>
      </c>
      <c r="T26" s="6"/>
      <c r="U26" s="13" t="str">
        <f>IF(AND($K26="Yes",$M26&gt;0,$B26&lt;&gt;"PCB"),IF(LEFT($H26,7)="Generic","G|"&amp;$E26&amp;"|"&amp;$F26&amp;"|"&amp;$G26,"M|"&amp;$H26),"")</f>
        <v/>
      </c>
      <c r="V26" s="14">
        <f>IF($U26="",0,IF(COUNTIF($U$4:$U26,$U26)=1,1,0))</f>
        <v>0</v>
      </c>
    </row>
    <row r="27" spans="1:22" ht="29.25" customHeight="1">
      <c r="A27" s="62" t="s">
        <v>52</v>
      </c>
      <c r="B27" s="6" t="s">
        <v>208</v>
      </c>
      <c r="C27" s="8">
        <v>1</v>
      </c>
      <c r="D27" s="6" t="s">
        <v>209</v>
      </c>
      <c r="E27" s="6" t="s">
        <v>108</v>
      </c>
      <c r="F27" s="6" t="s">
        <v>210</v>
      </c>
      <c r="G27" s="6" t="s">
        <v>211</v>
      </c>
      <c r="H27" s="6" t="s">
        <v>212</v>
      </c>
      <c r="I27" s="6" t="s">
        <v>213</v>
      </c>
      <c r="J27" s="6" t="s">
        <v>113</v>
      </c>
      <c r="K27" s="9" t="s">
        <v>114</v>
      </c>
      <c r="L27" s="9" t="s">
        <v>114</v>
      </c>
      <c r="M27" s="8">
        <v>29</v>
      </c>
      <c r="N27" s="10">
        <v>3.4678</v>
      </c>
      <c r="O27" s="10">
        <v>2.278</v>
      </c>
      <c r="P27" s="6" t="s">
        <v>115</v>
      </c>
      <c r="Q27" s="11">
        <f>IF($K27="Yes",$C27*Cost!$B$6,0)</f>
        <v>5</v>
      </c>
      <c r="R27" s="12">
        <f>IF($K27&lt;&gt;"Yes",0,IF(AND($P27="Estimate",$N27&gt;0,$B27&lt;&gt;"PCB"),MAX($C27*Cost!$B$6*$N27,Cost!$B$8),$C27*Cost!$B$6*$N27))</f>
        <v>17.338999999999999</v>
      </c>
      <c r="S27" s="12">
        <f>IF($K27="Yes",$C27*Cost!$B$7*$O27,0)</f>
        <v>227.8</v>
      </c>
      <c r="T27" s="6"/>
      <c r="U27" s="13" t="str">
        <f>IF(AND($K27="Yes",$M27&gt;0,$B27&lt;&gt;"PCB"),IF(LEFT($H27,7)="Generic","G|"&amp;$E27&amp;"|"&amp;$F27&amp;"|"&amp;$G27,"M|"&amp;$H27),"")</f>
        <v>M|ESS ES9018K2M</v>
      </c>
      <c r="V27" s="14">
        <f>IF($U27="",0,IF(COUNTIF($U$4:$U27,$U27)=1,1,0))</f>
        <v>1</v>
      </c>
    </row>
    <row r="28" spans="1:22" ht="29.25" customHeight="1">
      <c r="A28" s="61" t="s">
        <v>52</v>
      </c>
      <c r="B28" s="6" t="s">
        <v>214</v>
      </c>
      <c r="C28" s="8">
        <v>1</v>
      </c>
      <c r="D28" s="6" t="s">
        <v>215</v>
      </c>
      <c r="E28" s="6" t="s">
        <v>216</v>
      </c>
      <c r="F28" s="6" t="s">
        <v>217</v>
      </c>
      <c r="G28" s="6" t="s">
        <v>218</v>
      </c>
      <c r="H28" s="6" t="s">
        <v>219</v>
      </c>
      <c r="I28" s="6" t="s">
        <v>220</v>
      </c>
      <c r="J28" s="6" t="s">
        <v>113</v>
      </c>
      <c r="K28" s="9" t="s">
        <v>114</v>
      </c>
      <c r="L28" s="9"/>
      <c r="M28" s="8">
        <v>5</v>
      </c>
      <c r="N28" s="10">
        <v>0.17460000000000001</v>
      </c>
      <c r="O28" s="10">
        <v>0.109</v>
      </c>
      <c r="P28" s="6" t="s">
        <v>124</v>
      </c>
      <c r="Q28" s="11">
        <f>IF($K28="Yes",$C28*Cost!$B$6,0)</f>
        <v>5</v>
      </c>
      <c r="R28" s="12">
        <f>IF($K28&lt;&gt;"Yes",0,IF(AND($P28="Estimate",$N28&gt;0,$B28&lt;&gt;"PCB"),MAX($C28*Cost!$B$6*$N28,Cost!$B$8),$C28*Cost!$B$6*$N28))</f>
        <v>0.873</v>
      </c>
      <c r="S28" s="12">
        <f>IF($K28="Yes",$C28*Cost!$B$7*$O28,0)</f>
        <v>10.9</v>
      </c>
      <c r="T28" s="6"/>
      <c r="U28" s="13" t="str">
        <f>IF(AND($K28="Yes",$M28&gt;0,$B28&lt;&gt;"PCB"),IF(LEFT($H28,7)="Generic","G|"&amp;$E28&amp;"|"&amp;$F28&amp;"|"&amp;$G28,"M|"&amp;$H28),"")</f>
        <v>M|TI LP5907MFX-3.3/NOPB</v>
      </c>
      <c r="V28" s="14">
        <f>IF($U28="",0,IF(COUNTIF($U$4:$U28,$U28)=1,1,0))</f>
        <v>1</v>
      </c>
    </row>
    <row r="29" spans="1:22" ht="29.25" customHeight="1">
      <c r="A29" s="61" t="s">
        <v>52</v>
      </c>
      <c r="B29" s="6" t="s">
        <v>221</v>
      </c>
      <c r="C29" s="8">
        <v>2</v>
      </c>
      <c r="D29" s="6" t="s">
        <v>222</v>
      </c>
      <c r="E29" s="6" t="s">
        <v>147</v>
      </c>
      <c r="F29" s="6" t="s">
        <v>119</v>
      </c>
      <c r="G29" s="6" t="s">
        <v>148</v>
      </c>
      <c r="H29" s="6" t="s">
        <v>121</v>
      </c>
      <c r="I29" s="6" t="s">
        <v>122</v>
      </c>
      <c r="J29" s="6" t="s">
        <v>123</v>
      </c>
      <c r="K29" s="9" t="s">
        <v>114</v>
      </c>
      <c r="L29" s="9"/>
      <c r="M29" s="8">
        <v>2</v>
      </c>
      <c r="N29" s="10">
        <v>8.0000000000000002E-3</v>
      </c>
      <c r="O29" s="10">
        <v>3.0000000000000001E-3</v>
      </c>
      <c r="P29" s="6" t="s">
        <v>124</v>
      </c>
      <c r="Q29" s="11">
        <f>IF($K29="Yes",$C29*Cost!$B$6,0)</f>
        <v>10</v>
      </c>
      <c r="R29" s="12">
        <f>IF($K29&lt;&gt;"Yes",0,IF(AND($P29="Estimate",$N29&gt;0,$B29&lt;&gt;"PCB"),MAX($C29*Cost!$B$6*$N29,Cost!$B$8),$C29*Cost!$B$6*$N29))</f>
        <v>0.1</v>
      </c>
      <c r="S29" s="12">
        <f>IF($K29="Yes",$C29*Cost!$B$7*$O29,0)</f>
        <v>0.6</v>
      </c>
      <c r="T29" s="6"/>
      <c r="U29" s="13" t="str">
        <f>IF(AND($K29="Yes",$M29&gt;0,$B29&lt;&gt;"PCB"),IF(LEFT($H29,7)="Generic","G|"&amp;$E29&amp;"|"&amp;$F29&amp;"|"&amp;$G29,"M|"&amp;$H29),"")</f>
        <v>G|1 µF|0402|10 V X5R</v>
      </c>
      <c r="V29" s="14">
        <f>IF($U29="",0,IF(COUNTIF($U$4:$U29,$U29)=1,1,0))</f>
        <v>0</v>
      </c>
    </row>
    <row r="30" spans="1:22" ht="29.25" customHeight="1">
      <c r="A30" s="61" t="s">
        <v>52</v>
      </c>
      <c r="B30" s="6" t="s">
        <v>223</v>
      </c>
      <c r="C30" s="8">
        <v>2</v>
      </c>
      <c r="D30" s="6" t="s">
        <v>224</v>
      </c>
      <c r="E30" s="6" t="s">
        <v>225</v>
      </c>
      <c r="F30" s="6" t="s">
        <v>128</v>
      </c>
      <c r="G30" s="6" t="s">
        <v>120</v>
      </c>
      <c r="H30" s="6" t="s">
        <v>121</v>
      </c>
      <c r="I30" s="6" t="s">
        <v>122</v>
      </c>
      <c r="J30" s="6" t="s">
        <v>123</v>
      </c>
      <c r="K30" s="9" t="s">
        <v>114</v>
      </c>
      <c r="L30" s="9"/>
      <c r="M30" s="8">
        <v>2</v>
      </c>
      <c r="N30" s="10">
        <v>4.0000000000000001E-3</v>
      </c>
      <c r="O30" s="10">
        <v>1.1999999999999999E-3</v>
      </c>
      <c r="P30" s="6" t="s">
        <v>124</v>
      </c>
      <c r="Q30" s="11">
        <f>IF($K30="Yes",$C30*Cost!$B$6,0)</f>
        <v>10</v>
      </c>
      <c r="R30" s="12">
        <f>IF($K30&lt;&gt;"Yes",0,IF(AND($P30="Estimate",$N30&gt;0,$B30&lt;&gt;"PCB"),MAX($C30*Cost!$B$6*$N30,Cost!$B$8),$C30*Cost!$B$6*$N30))</f>
        <v>0.1</v>
      </c>
      <c r="S30" s="12">
        <f>IF($K30="Yes",$C30*Cost!$B$7*$O30,0)</f>
        <v>0.24</v>
      </c>
      <c r="T30" s="6"/>
      <c r="U30" s="13" t="str">
        <f>IF(AND($K30="Yes",$M30&gt;0,$B30&lt;&gt;"PCB"),IF(LEFT($H30,7)="Generic","G|"&amp;$E30&amp;"|"&amp;$F30&amp;"|"&amp;$G30,"M|"&amp;$H30),"")</f>
        <v>G|1 Ω|0603|1%</v>
      </c>
      <c r="V30" s="14">
        <f>IF($U30="",0,IF(COUNTIF($U$4:$U30,$U30)=1,1,0))</f>
        <v>1</v>
      </c>
    </row>
    <row r="31" spans="1:22" ht="29.25" customHeight="1">
      <c r="A31" s="61" t="s">
        <v>52</v>
      </c>
      <c r="B31" s="6" t="s">
        <v>226</v>
      </c>
      <c r="C31" s="8">
        <v>2</v>
      </c>
      <c r="D31" s="6" t="s">
        <v>227</v>
      </c>
      <c r="E31" s="6" t="s">
        <v>228</v>
      </c>
      <c r="F31" s="6" t="s">
        <v>128</v>
      </c>
      <c r="G31" s="6" t="s">
        <v>229</v>
      </c>
      <c r="H31" s="6" t="s">
        <v>121</v>
      </c>
      <c r="I31" s="6" t="s">
        <v>122</v>
      </c>
      <c r="J31" s="6" t="s">
        <v>123</v>
      </c>
      <c r="K31" s="9" t="s">
        <v>114</v>
      </c>
      <c r="L31" s="9"/>
      <c r="M31" s="8">
        <v>2</v>
      </c>
      <c r="N31" s="10">
        <v>1.2E-2</v>
      </c>
      <c r="O31" s="10">
        <v>5.0000000000000001E-3</v>
      </c>
      <c r="P31" s="6" t="s">
        <v>124</v>
      </c>
      <c r="Q31" s="11">
        <f>IF($K31="Yes",$C31*Cost!$B$6,0)</f>
        <v>10</v>
      </c>
      <c r="R31" s="12">
        <f>IF($K31&lt;&gt;"Yes",0,IF(AND($P31="Estimate",$N31&gt;0,$B31&lt;&gt;"PCB"),MAX($C31*Cost!$B$6*$N31,Cost!$B$8),$C31*Cost!$B$6*$N31))</f>
        <v>0.12</v>
      </c>
      <c r="S31" s="12">
        <f>IF($K31="Yes",$C31*Cost!$B$7*$O31,0)</f>
        <v>1</v>
      </c>
      <c r="T31" s="6"/>
      <c r="U31" s="13" t="str">
        <f>IF(AND($K31="Yes",$M31&gt;0,$B31&lt;&gt;"PCB"),IF(LEFT($H31,7)="Generic","G|"&amp;$E31&amp;"|"&amp;$F31&amp;"|"&amp;$G31,"M|"&amp;$H31),"")</f>
        <v>G|2.2 µF|0603|6.3 V X5R</v>
      </c>
      <c r="V31" s="14">
        <f>IF($U31="",0,IF(COUNTIF($U$4:$U31,$U31)=1,1,0))</f>
        <v>1</v>
      </c>
    </row>
    <row r="32" spans="1:22" ht="29.25" customHeight="1">
      <c r="A32" s="61" t="s">
        <v>52</v>
      </c>
      <c r="B32" s="6" t="s">
        <v>230</v>
      </c>
      <c r="C32" s="8">
        <v>5</v>
      </c>
      <c r="D32" s="6" t="s">
        <v>231</v>
      </c>
      <c r="E32" s="6" t="s">
        <v>166</v>
      </c>
      <c r="F32" s="6" t="s">
        <v>119</v>
      </c>
      <c r="G32" s="6" t="s">
        <v>167</v>
      </c>
      <c r="H32" s="6" t="s">
        <v>121</v>
      </c>
      <c r="I32" s="6" t="s">
        <v>122</v>
      </c>
      <c r="J32" s="6" t="s">
        <v>123</v>
      </c>
      <c r="K32" s="9" t="s">
        <v>114</v>
      </c>
      <c r="L32" s="9"/>
      <c r="M32" s="8">
        <v>2</v>
      </c>
      <c r="N32" s="10">
        <v>5.0000000000000001E-3</v>
      </c>
      <c r="O32" s="10">
        <v>1.5E-3</v>
      </c>
      <c r="P32" s="6" t="s">
        <v>124</v>
      </c>
      <c r="Q32" s="11">
        <f>IF($K32="Yes",$C32*Cost!$B$6,0)</f>
        <v>25</v>
      </c>
      <c r="R32" s="12">
        <f>IF($K32&lt;&gt;"Yes",0,IF(AND($P32="Estimate",$N32&gt;0,$B32&lt;&gt;"PCB"),MAX($C32*Cost!$B$6*$N32,Cost!$B$8),$C32*Cost!$B$6*$N32))</f>
        <v>0.125</v>
      </c>
      <c r="S32" s="12">
        <f>IF($K32="Yes",$C32*Cost!$B$7*$O32,0)</f>
        <v>0.75</v>
      </c>
      <c r="T32" s="6"/>
      <c r="U32" s="13" t="str">
        <f>IF(AND($K32="Yes",$M32&gt;0,$B32&lt;&gt;"PCB"),IF(LEFT($H32,7)="Generic","G|"&amp;$E32&amp;"|"&amp;$F32&amp;"|"&amp;$G32,"M|"&amp;$H32),"")</f>
        <v>G|100 nF|0402|16 V X7R</v>
      </c>
      <c r="V32" s="14">
        <f>IF($U32="",0,IF(COUNTIF($U$4:$U32,$U32)=1,1,0))</f>
        <v>0</v>
      </c>
    </row>
    <row r="33" spans="1:22" ht="29.25" customHeight="1">
      <c r="A33" s="61" t="s">
        <v>52</v>
      </c>
      <c r="B33" s="6" t="s">
        <v>232</v>
      </c>
      <c r="C33" s="8">
        <v>1</v>
      </c>
      <c r="D33" s="6" t="s">
        <v>233</v>
      </c>
      <c r="E33" s="6" t="s">
        <v>228</v>
      </c>
      <c r="F33" s="6" t="s">
        <v>128</v>
      </c>
      <c r="G33" s="6" t="s">
        <v>229</v>
      </c>
      <c r="H33" s="6" t="s">
        <v>121</v>
      </c>
      <c r="I33" s="6" t="s">
        <v>122</v>
      </c>
      <c r="J33" s="6" t="s">
        <v>123</v>
      </c>
      <c r="K33" s="9" t="s">
        <v>114</v>
      </c>
      <c r="L33" s="9"/>
      <c r="M33" s="8">
        <v>2</v>
      </c>
      <c r="N33" s="10">
        <v>1.2E-2</v>
      </c>
      <c r="O33" s="10">
        <v>5.0000000000000001E-3</v>
      </c>
      <c r="P33" s="6" t="s">
        <v>124</v>
      </c>
      <c r="Q33" s="11">
        <f>IF($K33="Yes",$C33*Cost!$B$6,0)</f>
        <v>5</v>
      </c>
      <c r="R33" s="12">
        <f>IF($K33&lt;&gt;"Yes",0,IF(AND($P33="Estimate",$N33&gt;0,$B33&lt;&gt;"PCB"),MAX($C33*Cost!$B$6*$N33,Cost!$B$8),$C33*Cost!$B$6*$N33))</f>
        <v>0.1</v>
      </c>
      <c r="S33" s="12">
        <f>IF($K33="Yes",$C33*Cost!$B$7*$O33,0)</f>
        <v>0.5</v>
      </c>
      <c r="T33" s="6"/>
      <c r="U33" s="13" t="str">
        <f>IF(AND($K33="Yes",$M33&gt;0,$B33&lt;&gt;"PCB"),IF(LEFT($H33,7)="Generic","G|"&amp;$E33&amp;"|"&amp;$F33&amp;"|"&amp;$G33,"M|"&amp;$H33),"")</f>
        <v>G|2.2 µF|0603|6.3 V X5R</v>
      </c>
      <c r="V33" s="14">
        <f>IF($U33="",0,IF(COUNTIF($U$4:$U33,$U33)=1,1,0))</f>
        <v>0</v>
      </c>
    </row>
    <row r="34" spans="1:22" ht="29.25" customHeight="1">
      <c r="A34" s="61" t="s">
        <v>52</v>
      </c>
      <c r="B34" s="6" t="s">
        <v>234</v>
      </c>
      <c r="C34" s="8">
        <v>1</v>
      </c>
      <c r="D34" s="6" t="s">
        <v>235</v>
      </c>
      <c r="E34" s="6" t="s">
        <v>236</v>
      </c>
      <c r="F34" s="6" t="s">
        <v>237</v>
      </c>
      <c r="G34" s="6" t="s">
        <v>238</v>
      </c>
      <c r="H34" s="6" t="s">
        <v>239</v>
      </c>
      <c r="I34" s="6" t="s">
        <v>220</v>
      </c>
      <c r="J34" s="6" t="s">
        <v>123</v>
      </c>
      <c r="K34" s="9" t="s">
        <v>114</v>
      </c>
      <c r="L34" s="9"/>
      <c r="M34" s="8">
        <v>4</v>
      </c>
      <c r="N34" s="10">
        <v>0.08</v>
      </c>
      <c r="O34" s="10">
        <v>0.05</v>
      </c>
      <c r="P34" s="6" t="s">
        <v>124</v>
      </c>
      <c r="Q34" s="11">
        <f>IF($K34="Yes",$C34*Cost!$B$6,0)</f>
        <v>5</v>
      </c>
      <c r="R34" s="12">
        <f>IF($K34&lt;&gt;"Yes",0,IF(AND($P34="Estimate",$N34&gt;0,$B34&lt;&gt;"PCB"),MAX($C34*Cost!$B$6*$N34,Cost!$B$8),$C34*Cost!$B$6*$N34))</f>
        <v>0.4</v>
      </c>
      <c r="S34" s="12">
        <f>IF($K34="Yes",$C34*Cost!$B$7*$O34,0)</f>
        <v>5</v>
      </c>
      <c r="T34" s="6"/>
      <c r="U34" s="13" t="str">
        <f>IF(AND($K34="Yes",$M34&gt;0,$B34&lt;&gt;"PCB"),IF(LEFT($H34,7)="Generic","G|"&amp;$E34&amp;"|"&amp;$F34&amp;"|"&amp;$G34,"M|"&amp;$H34),"")</f>
        <v>M|AMS1117-ADJ</v>
      </c>
      <c r="V34" s="14">
        <f>IF($U34="",0,IF(COUNTIF($U$4:$U34,$U34)=1,1,0))</f>
        <v>1</v>
      </c>
    </row>
    <row r="35" spans="1:22" ht="29.25" customHeight="1">
      <c r="A35" s="61" t="s">
        <v>52</v>
      </c>
      <c r="B35" s="6" t="s">
        <v>240</v>
      </c>
      <c r="C35" s="8">
        <v>2</v>
      </c>
      <c r="D35" s="6" t="s">
        <v>241</v>
      </c>
      <c r="E35" s="6" t="s">
        <v>242</v>
      </c>
      <c r="F35" s="6" t="s">
        <v>119</v>
      </c>
      <c r="G35" s="6" t="s">
        <v>120</v>
      </c>
      <c r="H35" s="6" t="s">
        <v>121</v>
      </c>
      <c r="I35" s="6" t="s">
        <v>122</v>
      </c>
      <c r="J35" s="6" t="s">
        <v>123</v>
      </c>
      <c r="K35" s="9" t="s">
        <v>114</v>
      </c>
      <c r="L35" s="9"/>
      <c r="M35" s="8">
        <v>2</v>
      </c>
      <c r="N35" s="10">
        <v>4.0000000000000001E-3</v>
      </c>
      <c r="O35" s="10">
        <v>1E-3</v>
      </c>
      <c r="P35" s="6" t="s">
        <v>124</v>
      </c>
      <c r="Q35" s="11">
        <f>IF($K35="Yes",$C35*Cost!$B$6,0)</f>
        <v>10</v>
      </c>
      <c r="R35" s="12">
        <f>IF($K35&lt;&gt;"Yes",0,IF(AND($P35="Estimate",$N35&gt;0,$B35&lt;&gt;"PCB"),MAX($C35*Cost!$B$6*$N35,Cost!$B$8),$C35*Cost!$B$6*$N35))</f>
        <v>0.1</v>
      </c>
      <c r="S35" s="12">
        <f>IF($K35="Yes",$C35*Cost!$B$7*$O35,0)</f>
        <v>0.2</v>
      </c>
      <c r="T35" s="6"/>
      <c r="U35" s="13" t="str">
        <f>IF(AND($K35="Yes",$M35&gt;0,$B35&lt;&gt;"PCB"),IF(LEFT($H35,7)="Generic","G|"&amp;$E35&amp;"|"&amp;$F35&amp;"|"&amp;$G35,"M|"&amp;$H35),"")</f>
        <v>G|240 Ω / 10 Ω|0402|1%</v>
      </c>
      <c r="V35" s="14">
        <f>IF($U35="",0,IF(COUNTIF($U$4:$U35,$U35)=1,1,0))</f>
        <v>1</v>
      </c>
    </row>
    <row r="36" spans="1:22" ht="29.25" customHeight="1">
      <c r="A36" s="61" t="s">
        <v>52</v>
      </c>
      <c r="B36" s="6" t="s">
        <v>243</v>
      </c>
      <c r="C36" s="8">
        <v>2</v>
      </c>
      <c r="D36" s="6" t="s">
        <v>244</v>
      </c>
      <c r="E36" s="6" t="s">
        <v>170</v>
      </c>
      <c r="F36" s="6" t="s">
        <v>171</v>
      </c>
      <c r="G36" s="6" t="s">
        <v>148</v>
      </c>
      <c r="H36" s="6" t="s">
        <v>121</v>
      </c>
      <c r="I36" s="6" t="s">
        <v>122</v>
      </c>
      <c r="J36" s="6" t="s">
        <v>123</v>
      </c>
      <c r="K36" s="9" t="s">
        <v>114</v>
      </c>
      <c r="L36" s="9"/>
      <c r="M36" s="8">
        <v>2</v>
      </c>
      <c r="N36" s="10">
        <v>0.02</v>
      </c>
      <c r="O36" s="10">
        <v>0.01</v>
      </c>
      <c r="P36" s="6" t="s">
        <v>124</v>
      </c>
      <c r="Q36" s="11">
        <f>IF($K36="Yes",$C36*Cost!$B$6,0)</f>
        <v>10</v>
      </c>
      <c r="R36" s="12">
        <f>IF($K36&lt;&gt;"Yes",0,IF(AND($P36="Estimate",$N36&gt;0,$B36&lt;&gt;"PCB"),MAX($C36*Cost!$B$6*$N36,Cost!$B$8),$C36*Cost!$B$6*$N36))</f>
        <v>0.2</v>
      </c>
      <c r="S36" s="12">
        <f>IF($K36="Yes",$C36*Cost!$B$7*$O36,0)</f>
        <v>2</v>
      </c>
      <c r="T36" s="6"/>
      <c r="U36" s="13" t="str">
        <f>IF(AND($K36="Yes",$M36&gt;0,$B36&lt;&gt;"PCB"),IF(LEFT($H36,7)="Generic","G|"&amp;$E36&amp;"|"&amp;$F36&amp;"|"&amp;$G36,"M|"&amp;$H36),"")</f>
        <v>G|10 µF|0805|10 V X5R</v>
      </c>
      <c r="V36" s="14">
        <f>IF($U36="",0,IF(COUNTIF($U$4:$U36,$U36)=1,1,0))</f>
        <v>0</v>
      </c>
    </row>
    <row r="37" spans="1:22" ht="29.25" customHeight="1">
      <c r="A37" s="61" t="s">
        <v>52</v>
      </c>
      <c r="B37" s="6" t="s">
        <v>245</v>
      </c>
      <c r="C37" s="8">
        <v>1</v>
      </c>
      <c r="D37" s="6" t="s">
        <v>246</v>
      </c>
      <c r="E37" s="6" t="s">
        <v>247</v>
      </c>
      <c r="F37" s="6" t="s">
        <v>119</v>
      </c>
      <c r="G37" s="6" t="s">
        <v>120</v>
      </c>
      <c r="H37" s="6" t="s">
        <v>121</v>
      </c>
      <c r="I37" s="6" t="s">
        <v>122</v>
      </c>
      <c r="J37" s="6" t="s">
        <v>123</v>
      </c>
      <c r="K37" s="9" t="s">
        <v>114</v>
      </c>
      <c r="L37" s="9"/>
      <c r="M37" s="8">
        <v>2</v>
      </c>
      <c r="N37" s="10">
        <v>4.0000000000000001E-3</v>
      </c>
      <c r="O37" s="10">
        <v>1E-3</v>
      </c>
      <c r="P37" s="6" t="s">
        <v>124</v>
      </c>
      <c r="Q37" s="11">
        <f>IF($K37="Yes",$C37*Cost!$B$6,0)</f>
        <v>5</v>
      </c>
      <c r="R37" s="12">
        <f>IF($K37&lt;&gt;"Yes",0,IF(AND($P37="Estimate",$N37&gt;0,$B37&lt;&gt;"PCB"),MAX($C37*Cost!$B$6*$N37,Cost!$B$8),$C37*Cost!$B$6*$N37))</f>
        <v>0.1</v>
      </c>
      <c r="S37" s="12">
        <f>IF($K37="Yes",$C37*Cost!$B$7*$O37,0)</f>
        <v>0.1</v>
      </c>
      <c r="T37" s="6"/>
      <c r="U37" s="13" t="str">
        <f>IF(AND($K37="Yes",$M37&gt;0,$B37&lt;&gt;"PCB"),IF(LEFT($H37,7)="Generic","G|"&amp;$E37&amp;"|"&amp;$F37&amp;"|"&amp;$G37,"M|"&amp;$H37),"")</f>
        <v>G|100 kΩ|0402|1%</v>
      </c>
      <c r="V37" s="14">
        <f>IF($U37="",0,IF(COUNTIF($U$4:$U37,$U37)=1,1,0))</f>
        <v>1</v>
      </c>
    </row>
    <row r="38" spans="1:22" ht="29.25" customHeight="1">
      <c r="A38" s="61" t="s">
        <v>52</v>
      </c>
      <c r="B38" s="6" t="s">
        <v>248</v>
      </c>
      <c r="C38" s="8">
        <v>1</v>
      </c>
      <c r="D38" s="6" t="s">
        <v>249</v>
      </c>
      <c r="E38" s="6" t="s">
        <v>177</v>
      </c>
      <c r="F38" s="6" t="s">
        <v>119</v>
      </c>
      <c r="G38" s="6" t="s">
        <v>120</v>
      </c>
      <c r="H38" s="6" t="s">
        <v>121</v>
      </c>
      <c r="I38" s="6" t="s">
        <v>122</v>
      </c>
      <c r="J38" s="6" t="s">
        <v>123</v>
      </c>
      <c r="K38" s="9" t="s">
        <v>114</v>
      </c>
      <c r="L38" s="9"/>
      <c r="M38" s="8">
        <v>2</v>
      </c>
      <c r="N38" s="10">
        <v>4.0000000000000001E-3</v>
      </c>
      <c r="O38" s="10">
        <v>1E-3</v>
      </c>
      <c r="P38" s="6" t="s">
        <v>124</v>
      </c>
      <c r="Q38" s="11">
        <f>IF($K38="Yes",$C38*Cost!$B$6,0)</f>
        <v>5</v>
      </c>
      <c r="R38" s="12">
        <f>IF($K38&lt;&gt;"Yes",0,IF(AND($P38="Estimate",$N38&gt;0,$B38&lt;&gt;"PCB"),MAX($C38*Cost!$B$6*$N38,Cost!$B$8),$C38*Cost!$B$6*$N38))</f>
        <v>0.1</v>
      </c>
      <c r="S38" s="12">
        <f>IF($K38="Yes",$C38*Cost!$B$7*$O38,0)</f>
        <v>0.1</v>
      </c>
      <c r="T38" s="6"/>
      <c r="U38" s="13" t="str">
        <f>IF(AND($K38="Yes",$M38&gt;0,$B38&lt;&gt;"PCB"),IF(LEFT($H38,7)="Generic","G|"&amp;$E38&amp;"|"&amp;$F38&amp;"|"&amp;$G38,"M|"&amp;$H38),"")</f>
        <v>G|10 kΩ|0402|1%</v>
      </c>
      <c r="V38" s="14">
        <f>IF($U38="",0,IF(COUNTIF($U$4:$U38,$U38)=1,1,0))</f>
        <v>0</v>
      </c>
    </row>
    <row r="39" spans="1:22" ht="29.25" customHeight="1">
      <c r="A39" s="61" t="s">
        <v>52</v>
      </c>
      <c r="B39" s="6" t="s">
        <v>250</v>
      </c>
      <c r="C39" s="8">
        <v>1</v>
      </c>
      <c r="D39" s="6" t="s">
        <v>251</v>
      </c>
      <c r="E39" s="6" t="s">
        <v>141</v>
      </c>
      <c r="F39" s="6" t="s">
        <v>128</v>
      </c>
      <c r="G39" s="6" t="s">
        <v>252</v>
      </c>
      <c r="H39" s="6" t="s">
        <v>143</v>
      </c>
      <c r="I39" s="6" t="s">
        <v>144</v>
      </c>
      <c r="J39" s="6" t="s">
        <v>123</v>
      </c>
      <c r="K39" s="9" t="s">
        <v>114</v>
      </c>
      <c r="L39" s="9"/>
      <c r="M39" s="8">
        <v>2</v>
      </c>
      <c r="N39" s="10">
        <v>0.01</v>
      </c>
      <c r="O39" s="10">
        <v>3.0000000000000001E-3</v>
      </c>
      <c r="P39" s="6" t="s">
        <v>124</v>
      </c>
      <c r="Q39" s="11">
        <f>IF($K39="Yes",$C39*Cost!$B$6,0)</f>
        <v>5</v>
      </c>
      <c r="R39" s="12">
        <f>IF($K39&lt;&gt;"Yes",0,IF(AND($P39="Estimate",$N39&gt;0,$B39&lt;&gt;"PCB"),MAX($C39*Cost!$B$6*$N39,Cost!$B$8),$C39*Cost!$B$6*$N39))</f>
        <v>0.1</v>
      </c>
      <c r="S39" s="12">
        <f>IF($K39="Yes",$C39*Cost!$B$7*$O39,0)</f>
        <v>0.3</v>
      </c>
      <c r="T39" s="6"/>
      <c r="U39" s="13" t="str">
        <f>IF(AND($K39="Yes",$M39&gt;0,$B39&lt;&gt;"PCB"),IF(LEFT($H39,7)="Generic","G|"&amp;$E39&amp;"|"&amp;$F39&amp;"|"&amp;$G39,"M|"&amp;$H39),"")</f>
        <v>M|Sunlord GZ1608D601TF</v>
      </c>
      <c r="V39" s="14">
        <f>IF($U39="",0,IF(COUNTIF($U$4:$U39,$U39)=1,1,0))</f>
        <v>0</v>
      </c>
    </row>
    <row r="40" spans="1:22" ht="42.75" customHeight="1">
      <c r="A40" s="62" t="s">
        <v>54</v>
      </c>
      <c r="B40" s="6" t="s">
        <v>253</v>
      </c>
      <c r="C40" s="8">
        <v>2</v>
      </c>
      <c r="D40" s="6" t="s">
        <v>254</v>
      </c>
      <c r="E40" s="6" t="s">
        <v>108</v>
      </c>
      <c r="F40" s="6" t="s">
        <v>255</v>
      </c>
      <c r="G40" s="6" t="s">
        <v>256</v>
      </c>
      <c r="H40" s="6" t="s">
        <v>257</v>
      </c>
      <c r="I40" s="6" t="s">
        <v>258</v>
      </c>
      <c r="J40" s="6" t="s">
        <v>113</v>
      </c>
      <c r="K40" s="9" t="s">
        <v>114</v>
      </c>
      <c r="L40" s="9" t="s">
        <v>114</v>
      </c>
      <c r="M40" s="8">
        <v>11</v>
      </c>
      <c r="N40" s="10">
        <v>2.6271</v>
      </c>
      <c r="O40" s="10">
        <v>2.1107999999999998</v>
      </c>
      <c r="P40" s="6" t="s">
        <v>115</v>
      </c>
      <c r="Q40" s="11">
        <f>IF($K40="Yes",$C40*Cost!$B$6,0)</f>
        <v>10</v>
      </c>
      <c r="R40" s="12">
        <f>IF($K40&lt;&gt;"Yes",0,IF(AND($P40="Estimate",$N40&gt;0,$B40&lt;&gt;"PCB"),MAX($C40*Cost!$B$6*$N40,Cost!$B$8),$C40*Cost!$B$6*$N40))</f>
        <v>26.271000000000001</v>
      </c>
      <c r="S40" s="12">
        <f>IF($K40="Yes",$C40*Cost!$B$7*$O40,0)</f>
        <v>422.15999999999997</v>
      </c>
      <c r="T40" s="6"/>
      <c r="U40" s="13" t="str">
        <f>IF(AND($K40="Yes",$M40&gt;0,$B40&lt;&gt;"PCB"),IF(LEFT($H40,7)="Generic","G|"&amp;$E40&amp;"|"&amp;$F40&amp;"|"&amp;$G40,"M|"&amp;$H40),"")</f>
        <v>M|TI OPA1622IDRCR</v>
      </c>
      <c r="V40" s="14">
        <f>IF($U40="",0,IF(COUNTIF($U$4:$U40,$U40)=1,1,0))</f>
        <v>1</v>
      </c>
    </row>
    <row r="41" spans="1:22" ht="42.75" customHeight="1">
      <c r="A41" s="61" t="s">
        <v>54</v>
      </c>
      <c r="B41" s="6" t="s">
        <v>259</v>
      </c>
      <c r="C41" s="8">
        <v>16</v>
      </c>
      <c r="D41" s="6" t="s">
        <v>260</v>
      </c>
      <c r="E41" s="6" t="s">
        <v>261</v>
      </c>
      <c r="F41" s="6" t="s">
        <v>128</v>
      </c>
      <c r="G41" s="6" t="s">
        <v>262</v>
      </c>
      <c r="H41" s="6" t="s">
        <v>190</v>
      </c>
      <c r="I41" s="6" t="s">
        <v>122</v>
      </c>
      <c r="J41" s="6" t="s">
        <v>113</v>
      </c>
      <c r="K41" s="9" t="s">
        <v>114</v>
      </c>
      <c r="L41" s="9"/>
      <c r="M41" s="8">
        <v>2</v>
      </c>
      <c r="N41" s="10">
        <v>0.05</v>
      </c>
      <c r="O41" s="10">
        <v>0.03</v>
      </c>
      <c r="P41" s="6" t="s">
        <v>124</v>
      </c>
      <c r="Q41" s="11">
        <f>IF($K41="Yes",$C41*Cost!$B$6,0)</f>
        <v>80</v>
      </c>
      <c r="R41" s="12">
        <f>IF($K41&lt;&gt;"Yes",0,IF(AND($P41="Estimate",$N41&gt;0,$B41&lt;&gt;"PCB"),MAX($C41*Cost!$B$6*$N41,Cost!$B$8),$C41*Cost!$B$6*$N41))</f>
        <v>4</v>
      </c>
      <c r="S41" s="12">
        <f>IF($K41="Yes",$C41*Cost!$B$7*$O41,0)</f>
        <v>48</v>
      </c>
      <c r="T41" s="6"/>
      <c r="U41" s="13" t="str">
        <f>IF(AND($K41="Yes",$M41&gt;0,$B41&lt;&gt;"PCB"),IF(LEFT($H41,7)="Generic","G|"&amp;$E41&amp;"|"&amp;$F41&amp;"|"&amp;$G41,"M|"&amp;$H41),"")</f>
        <v>G|2.00 kΩ|0603|0.1% 25 ppm thin film</v>
      </c>
      <c r="V41" s="14">
        <f>IF($U41="",0,IF(COUNTIF($U$4:$U41,$U41)=1,1,0))</f>
        <v>1</v>
      </c>
    </row>
    <row r="42" spans="1:22" ht="42.75" customHeight="1">
      <c r="A42" s="61" t="s">
        <v>54</v>
      </c>
      <c r="B42" s="6" t="s">
        <v>263</v>
      </c>
      <c r="C42" s="8">
        <v>8</v>
      </c>
      <c r="D42" s="6" t="s">
        <v>264</v>
      </c>
      <c r="E42" s="6" t="s">
        <v>265</v>
      </c>
      <c r="F42" s="6" t="s">
        <v>128</v>
      </c>
      <c r="G42" s="6" t="s">
        <v>163</v>
      </c>
      <c r="H42" s="6" t="s">
        <v>121</v>
      </c>
      <c r="I42" s="6" t="s">
        <v>122</v>
      </c>
      <c r="J42" s="6" t="s">
        <v>123</v>
      </c>
      <c r="K42" s="9" t="s">
        <v>114</v>
      </c>
      <c r="L42" s="9"/>
      <c r="M42" s="8">
        <v>2</v>
      </c>
      <c r="N42" s="10">
        <v>0.01</v>
      </c>
      <c r="O42" s="10">
        <v>4.0000000000000001E-3</v>
      </c>
      <c r="P42" s="6" t="s">
        <v>124</v>
      </c>
      <c r="Q42" s="11">
        <f>IF($K42="Yes",$C42*Cost!$B$6,0)</f>
        <v>40</v>
      </c>
      <c r="R42" s="12">
        <f>IF($K42&lt;&gt;"Yes",0,IF(AND($P42="Estimate",$N42&gt;0,$B42&lt;&gt;"PCB"),MAX($C42*Cost!$B$6*$N42,Cost!$B$8),$C42*Cost!$B$6*$N42))</f>
        <v>0.4</v>
      </c>
      <c r="S42" s="12">
        <f>IF($K42="Yes",$C42*Cost!$B$7*$O42,0)</f>
        <v>3.2</v>
      </c>
      <c r="T42" s="6"/>
      <c r="U42" s="13" t="str">
        <f>IF(AND($K42="Yes",$M42&gt;0,$B42&lt;&gt;"PCB"),IF(LEFT($H42,7)="Generic","G|"&amp;$E42&amp;"|"&amp;$F42&amp;"|"&amp;$G42,"M|"&amp;$H42),"")</f>
        <v>G|470 pF|0603|50 V C0G</v>
      </c>
      <c r="V42" s="14">
        <f>IF($U42="",0,IF(COUNTIF($U$4:$U42,$U42)=1,1,0))</f>
        <v>1</v>
      </c>
    </row>
    <row r="43" spans="1:22" ht="42.75" customHeight="1">
      <c r="A43" s="61" t="s">
        <v>54</v>
      </c>
      <c r="B43" s="6" t="s">
        <v>266</v>
      </c>
      <c r="C43" s="8">
        <v>2</v>
      </c>
      <c r="D43" s="6" t="s">
        <v>267</v>
      </c>
      <c r="E43" s="6" t="s">
        <v>108</v>
      </c>
      <c r="F43" s="6" t="s">
        <v>268</v>
      </c>
      <c r="G43" s="6" t="s">
        <v>269</v>
      </c>
      <c r="H43" s="6" t="s">
        <v>270</v>
      </c>
      <c r="I43" s="6" t="s">
        <v>271</v>
      </c>
      <c r="J43" s="6" t="s">
        <v>113</v>
      </c>
      <c r="K43" s="9" t="s">
        <v>114</v>
      </c>
      <c r="L43" s="9"/>
      <c r="M43" s="8">
        <v>8</v>
      </c>
      <c r="N43" s="10">
        <v>0.97</v>
      </c>
      <c r="O43" s="10">
        <v>0.83679999999999999</v>
      </c>
      <c r="P43" s="6" t="s">
        <v>115</v>
      </c>
      <c r="Q43" s="11">
        <f>IF($K43="Yes",$C43*Cost!$B$6,0)</f>
        <v>10</v>
      </c>
      <c r="R43" s="12">
        <f>IF($K43&lt;&gt;"Yes",0,IF(AND($P43="Estimate",$N43&gt;0,$B43&lt;&gt;"PCB"),MAX($C43*Cost!$B$6*$N43,Cost!$B$8),$C43*Cost!$B$6*$N43))</f>
        <v>9.6999999999999993</v>
      </c>
      <c r="S43" s="12">
        <f>IF($K43="Yes",$C43*Cost!$B$7*$O43,0)</f>
        <v>167.35999999999999</v>
      </c>
      <c r="T43" s="6"/>
      <c r="U43" s="13" t="str">
        <f>IF(AND($K43="Yes",$M43&gt;0,$B43&lt;&gt;"PCB"),IF(LEFT($H43,7)="Generic","G|"&amp;$E43&amp;"|"&amp;$F43&amp;"|"&amp;$G43,"M|"&amp;$H43),"")</f>
        <v>M|TI OPA1678IDR</v>
      </c>
      <c r="V43" s="14">
        <f>IF($U43="",0,IF(COUNTIF($U$4:$U43,$U43)=1,1,0))</f>
        <v>1</v>
      </c>
    </row>
    <row r="44" spans="1:22" ht="42.75" customHeight="1">
      <c r="A44" s="61" t="s">
        <v>54</v>
      </c>
      <c r="B44" s="6" t="s">
        <v>272</v>
      </c>
      <c r="C44" s="8">
        <v>4</v>
      </c>
      <c r="D44" s="6" t="s">
        <v>273</v>
      </c>
      <c r="E44" s="6" t="s">
        <v>274</v>
      </c>
      <c r="F44" s="6" t="s">
        <v>128</v>
      </c>
      <c r="G44" s="6" t="s">
        <v>120</v>
      </c>
      <c r="H44" s="6" t="s">
        <v>121</v>
      </c>
      <c r="I44" s="6" t="s">
        <v>122</v>
      </c>
      <c r="J44" s="6" t="s">
        <v>123</v>
      </c>
      <c r="K44" s="9" t="s">
        <v>114</v>
      </c>
      <c r="L44" s="9"/>
      <c r="M44" s="8">
        <v>2</v>
      </c>
      <c r="N44" s="10">
        <v>4.0000000000000001E-3</v>
      </c>
      <c r="O44" s="10">
        <v>1.1999999999999999E-3</v>
      </c>
      <c r="P44" s="6" t="s">
        <v>124</v>
      </c>
      <c r="Q44" s="11">
        <f>IF($K44="Yes",$C44*Cost!$B$6,0)</f>
        <v>20</v>
      </c>
      <c r="R44" s="12">
        <f>IF($K44&lt;&gt;"Yes",0,IF(AND($P44="Estimate",$N44&gt;0,$B44&lt;&gt;"PCB"),MAX($C44*Cost!$B$6*$N44,Cost!$B$8),$C44*Cost!$B$6*$N44))</f>
        <v>0.1</v>
      </c>
      <c r="S44" s="12">
        <f>IF($K44="Yes",$C44*Cost!$B$7*$O44,0)</f>
        <v>0.48</v>
      </c>
      <c r="T44" s="6"/>
      <c r="U44" s="13" t="str">
        <f>IF(AND($K44="Yes",$M44&gt;0,$B44&lt;&gt;"PCB"),IF(LEFT($H44,7)="Generic","G|"&amp;$E44&amp;"|"&amp;$F44&amp;"|"&amp;$G44,"M|"&amp;$H44),"")</f>
        <v>G|750 Ω|0603|1%</v>
      </c>
      <c r="V44" s="14">
        <f>IF($U44="",0,IF(COUNTIF($U$4:$U44,$U44)=1,1,0))</f>
        <v>1</v>
      </c>
    </row>
    <row r="45" spans="1:22" ht="42.75" customHeight="1">
      <c r="A45" s="61" t="s">
        <v>54</v>
      </c>
      <c r="B45" s="6" t="s">
        <v>275</v>
      </c>
      <c r="C45" s="8">
        <v>4</v>
      </c>
      <c r="D45" s="6" t="s">
        <v>276</v>
      </c>
      <c r="E45" s="6" t="s">
        <v>277</v>
      </c>
      <c r="F45" s="6" t="s">
        <v>119</v>
      </c>
      <c r="G45" s="6" t="s">
        <v>120</v>
      </c>
      <c r="H45" s="6" t="s">
        <v>121</v>
      </c>
      <c r="I45" s="6" t="s">
        <v>122</v>
      </c>
      <c r="J45" s="6" t="s">
        <v>123</v>
      </c>
      <c r="K45" s="9" t="s">
        <v>114</v>
      </c>
      <c r="L45" s="9"/>
      <c r="M45" s="8">
        <v>2</v>
      </c>
      <c r="N45" s="10">
        <v>4.0000000000000001E-3</v>
      </c>
      <c r="O45" s="10">
        <v>1E-3</v>
      </c>
      <c r="P45" s="6" t="s">
        <v>124</v>
      </c>
      <c r="Q45" s="11">
        <f>IF($K45="Yes",$C45*Cost!$B$6,0)</f>
        <v>20</v>
      </c>
      <c r="R45" s="12">
        <f>IF($K45&lt;&gt;"Yes",0,IF(AND($P45="Estimate",$N45&gt;0,$B45&lt;&gt;"PCB"),MAX($C45*Cost!$B$6*$N45,Cost!$B$8),$C45*Cost!$B$6*$N45))</f>
        <v>0.1</v>
      </c>
      <c r="S45" s="12">
        <f>IF($K45="Yes",$C45*Cost!$B$7*$O45,0)</f>
        <v>0.4</v>
      </c>
      <c r="T45" s="6"/>
      <c r="U45" s="13" t="str">
        <f>IF(AND($K45="Yes",$M45&gt;0,$B45&lt;&gt;"PCB"),IF(LEFT($H45,7)="Generic","G|"&amp;$E45&amp;"|"&amp;$F45&amp;"|"&amp;$G45,"M|"&amp;$H45),"")</f>
        <v>G|10 Ω|0402|1%</v>
      </c>
      <c r="V45" s="14">
        <f>IF($U45="",0,IF(COUNTIF($U$4:$U45,$U45)=1,1,0))</f>
        <v>1</v>
      </c>
    </row>
    <row r="46" spans="1:22" ht="42.75" customHeight="1">
      <c r="A46" s="61" t="s">
        <v>54</v>
      </c>
      <c r="B46" s="6" t="s">
        <v>278</v>
      </c>
      <c r="C46" s="8">
        <v>4</v>
      </c>
      <c r="D46" s="6" t="s">
        <v>279</v>
      </c>
      <c r="E46" s="6" t="s">
        <v>280</v>
      </c>
      <c r="F46" s="6" t="s">
        <v>128</v>
      </c>
      <c r="G46" s="6" t="s">
        <v>163</v>
      </c>
      <c r="H46" s="6" t="s">
        <v>121</v>
      </c>
      <c r="I46" s="6" t="s">
        <v>122</v>
      </c>
      <c r="J46" s="6" t="s">
        <v>123</v>
      </c>
      <c r="K46" s="9" t="s">
        <v>114</v>
      </c>
      <c r="L46" s="9"/>
      <c r="M46" s="8">
        <v>2</v>
      </c>
      <c r="N46" s="10">
        <v>0.01</v>
      </c>
      <c r="O46" s="10">
        <v>4.0000000000000001E-3</v>
      </c>
      <c r="P46" s="6" t="s">
        <v>124</v>
      </c>
      <c r="Q46" s="11">
        <f>IF($K46="Yes",$C46*Cost!$B$6,0)</f>
        <v>20</v>
      </c>
      <c r="R46" s="12">
        <f>IF($K46&lt;&gt;"Yes",0,IF(AND($P46="Estimate",$N46&gt;0,$B46&lt;&gt;"PCB"),MAX($C46*Cost!$B$6*$N46,Cost!$B$8),$C46*Cost!$B$6*$N46))</f>
        <v>0.2</v>
      </c>
      <c r="S46" s="12">
        <f>IF($K46="Yes",$C46*Cost!$B$7*$O46,0)</f>
        <v>1.6</v>
      </c>
      <c r="T46" s="6"/>
      <c r="U46" s="13" t="str">
        <f>IF(AND($K46="Yes",$M46&gt;0,$B46&lt;&gt;"PCB"),IF(LEFT($H46,7)="Generic","G|"&amp;$E46&amp;"|"&amp;$F46&amp;"|"&amp;$G46,"M|"&amp;$H46),"")</f>
        <v>G|1.5 nF|0603|50 V C0G</v>
      </c>
      <c r="V46" s="14">
        <f>IF($U46="",0,IF(COUNTIF($U$4:$U46,$U46)=1,1,0))</f>
        <v>1</v>
      </c>
    </row>
    <row r="47" spans="1:22" ht="42.75" customHeight="1">
      <c r="A47" s="61" t="s">
        <v>54</v>
      </c>
      <c r="B47" s="6" t="s">
        <v>281</v>
      </c>
      <c r="C47" s="8">
        <v>2</v>
      </c>
      <c r="D47" s="6" t="s">
        <v>282</v>
      </c>
      <c r="E47" s="6" t="s">
        <v>283</v>
      </c>
      <c r="F47" s="6" t="s">
        <v>119</v>
      </c>
      <c r="G47" s="6" t="s">
        <v>120</v>
      </c>
      <c r="H47" s="6" t="s">
        <v>121</v>
      </c>
      <c r="I47" s="6" t="s">
        <v>122</v>
      </c>
      <c r="J47" s="6" t="s">
        <v>123</v>
      </c>
      <c r="K47" s="9" t="s">
        <v>114</v>
      </c>
      <c r="L47" s="9"/>
      <c r="M47" s="8">
        <v>2</v>
      </c>
      <c r="N47" s="10">
        <v>4.0000000000000001E-3</v>
      </c>
      <c r="O47" s="10">
        <v>1E-3</v>
      </c>
      <c r="P47" s="6" t="s">
        <v>124</v>
      </c>
      <c r="Q47" s="11">
        <f>IF($K47="Yes",$C47*Cost!$B$6,0)</f>
        <v>10</v>
      </c>
      <c r="R47" s="12">
        <f>IF($K47&lt;&gt;"Yes",0,IF(AND($P47="Estimate",$N47&gt;0,$B47&lt;&gt;"PCB"),MAX($C47*Cost!$B$6*$N47,Cost!$B$8),$C47*Cost!$B$6*$N47))</f>
        <v>0.1</v>
      </c>
      <c r="S47" s="12">
        <f>IF($K47="Yes",$C47*Cost!$B$7*$O47,0)</f>
        <v>0.2</v>
      </c>
      <c r="T47" s="6"/>
      <c r="U47" s="13" t="str">
        <f>IF(AND($K47="Yes",$M47&gt;0,$B47&lt;&gt;"PCB"),IF(LEFT($H47,7)="Generic","G|"&amp;$E47&amp;"|"&amp;$F47&amp;"|"&amp;$G47,"M|"&amp;$H47),"")</f>
        <v>G|10.0 kΩ / 10.7 kΩ|0402|1%</v>
      </c>
      <c r="V47" s="14">
        <f>IF($U47="",0,IF(COUNTIF($U$4:$U47,$U47)=1,1,0))</f>
        <v>1</v>
      </c>
    </row>
    <row r="48" spans="1:22" ht="42.75" customHeight="1">
      <c r="A48" s="61" t="s">
        <v>54</v>
      </c>
      <c r="B48" s="6" t="s">
        <v>284</v>
      </c>
      <c r="C48" s="8">
        <v>1</v>
      </c>
      <c r="D48" s="6" t="s">
        <v>285</v>
      </c>
      <c r="E48" s="6" t="s">
        <v>170</v>
      </c>
      <c r="F48" s="6" t="s">
        <v>171</v>
      </c>
      <c r="G48" s="6" t="s">
        <v>148</v>
      </c>
      <c r="H48" s="6" t="s">
        <v>121</v>
      </c>
      <c r="I48" s="6" t="s">
        <v>122</v>
      </c>
      <c r="J48" s="6" t="s">
        <v>123</v>
      </c>
      <c r="K48" s="9" t="s">
        <v>114</v>
      </c>
      <c r="L48" s="9"/>
      <c r="M48" s="8">
        <v>2</v>
      </c>
      <c r="N48" s="10">
        <v>0.02</v>
      </c>
      <c r="O48" s="10">
        <v>0.01</v>
      </c>
      <c r="P48" s="6" t="s">
        <v>124</v>
      </c>
      <c r="Q48" s="11">
        <f>IF($K48="Yes",$C48*Cost!$B$6,0)</f>
        <v>5</v>
      </c>
      <c r="R48" s="12">
        <f>IF($K48&lt;&gt;"Yes",0,IF(AND($P48="Estimate",$N48&gt;0,$B48&lt;&gt;"PCB"),MAX($C48*Cost!$B$6*$N48,Cost!$B$8),$C48*Cost!$B$6*$N48))</f>
        <v>0.1</v>
      </c>
      <c r="S48" s="12">
        <f>IF($K48="Yes",$C48*Cost!$B$7*$O48,0)</f>
        <v>1</v>
      </c>
      <c r="T48" s="6"/>
      <c r="U48" s="13" t="str">
        <f>IF(AND($K48="Yes",$M48&gt;0,$B48&lt;&gt;"PCB"),IF(LEFT($H48,7)="Generic","G|"&amp;$E48&amp;"|"&amp;$F48&amp;"|"&amp;$G48,"M|"&amp;$H48),"")</f>
        <v>G|10 µF|0805|10 V X5R</v>
      </c>
      <c r="V48" s="14">
        <f>IF($U48="",0,IF(COUNTIF($U$4:$U48,$U48)=1,1,0))</f>
        <v>0</v>
      </c>
    </row>
    <row r="49" spans="1:22" ht="42.75" customHeight="1">
      <c r="A49" s="61" t="s">
        <v>54</v>
      </c>
      <c r="B49" s="6" t="s">
        <v>286</v>
      </c>
      <c r="C49" s="8">
        <v>1</v>
      </c>
      <c r="D49" s="6" t="s">
        <v>287</v>
      </c>
      <c r="E49" s="6" t="s">
        <v>166</v>
      </c>
      <c r="F49" s="6" t="s">
        <v>119</v>
      </c>
      <c r="G49" s="6" t="s">
        <v>167</v>
      </c>
      <c r="H49" s="6" t="s">
        <v>121</v>
      </c>
      <c r="I49" s="6" t="s">
        <v>122</v>
      </c>
      <c r="J49" s="6" t="s">
        <v>123</v>
      </c>
      <c r="K49" s="9" t="s">
        <v>114</v>
      </c>
      <c r="L49" s="9"/>
      <c r="M49" s="8">
        <v>2</v>
      </c>
      <c r="N49" s="10">
        <v>5.0000000000000001E-3</v>
      </c>
      <c r="O49" s="10">
        <v>1.5E-3</v>
      </c>
      <c r="P49" s="6" t="s">
        <v>124</v>
      </c>
      <c r="Q49" s="11">
        <f>IF($K49="Yes",$C49*Cost!$B$6,0)</f>
        <v>5</v>
      </c>
      <c r="R49" s="12">
        <f>IF($K49&lt;&gt;"Yes",0,IF(AND($P49="Estimate",$N49&gt;0,$B49&lt;&gt;"PCB"),MAX($C49*Cost!$B$6*$N49,Cost!$B$8),$C49*Cost!$B$6*$N49))</f>
        <v>0.1</v>
      </c>
      <c r="S49" s="12">
        <f>IF($K49="Yes",$C49*Cost!$B$7*$O49,0)</f>
        <v>0.15</v>
      </c>
      <c r="T49" s="6"/>
      <c r="U49" s="13" t="str">
        <f>IF(AND($K49="Yes",$M49&gt;0,$B49&lt;&gt;"PCB"),IF(LEFT($H49,7)="Generic","G|"&amp;$E49&amp;"|"&amp;$F49&amp;"|"&amp;$G49,"M|"&amp;$H49),"")</f>
        <v>G|100 nF|0402|16 V X7R</v>
      </c>
      <c r="V49" s="14">
        <f>IF($U49="",0,IF(COUNTIF($U$4:$U49,$U49)=1,1,0))</f>
        <v>0</v>
      </c>
    </row>
    <row r="50" spans="1:22" ht="42.75" customHeight="1">
      <c r="A50" s="61" t="s">
        <v>54</v>
      </c>
      <c r="B50" s="6" t="s">
        <v>288</v>
      </c>
      <c r="C50" s="8">
        <v>4</v>
      </c>
      <c r="D50" s="6" t="s">
        <v>289</v>
      </c>
      <c r="E50" s="6" t="s">
        <v>166</v>
      </c>
      <c r="F50" s="6" t="s">
        <v>119</v>
      </c>
      <c r="G50" s="6" t="s">
        <v>167</v>
      </c>
      <c r="H50" s="6" t="s">
        <v>121</v>
      </c>
      <c r="I50" s="6" t="s">
        <v>122</v>
      </c>
      <c r="J50" s="6" t="s">
        <v>123</v>
      </c>
      <c r="K50" s="9" t="s">
        <v>114</v>
      </c>
      <c r="L50" s="9"/>
      <c r="M50" s="8">
        <v>2</v>
      </c>
      <c r="N50" s="10">
        <v>5.0000000000000001E-3</v>
      </c>
      <c r="O50" s="10">
        <v>1.5E-3</v>
      </c>
      <c r="P50" s="6" t="s">
        <v>124</v>
      </c>
      <c r="Q50" s="11">
        <f>IF($K50="Yes",$C50*Cost!$B$6,0)</f>
        <v>20</v>
      </c>
      <c r="R50" s="12">
        <f>IF($K50&lt;&gt;"Yes",0,IF(AND($P50="Estimate",$N50&gt;0,$B50&lt;&gt;"PCB"),MAX($C50*Cost!$B$6*$N50,Cost!$B$8),$C50*Cost!$B$6*$N50))</f>
        <v>0.1</v>
      </c>
      <c r="S50" s="12">
        <f>IF($K50="Yes",$C50*Cost!$B$7*$O50,0)</f>
        <v>0.6</v>
      </c>
      <c r="T50" s="6"/>
      <c r="U50" s="13" t="str">
        <f>IF(AND($K50="Yes",$M50&gt;0,$B50&lt;&gt;"PCB"),IF(LEFT($H50,7)="Generic","G|"&amp;$E50&amp;"|"&amp;$F50&amp;"|"&amp;$G50,"M|"&amp;$H50),"")</f>
        <v>G|100 nF|0402|16 V X7R</v>
      </c>
      <c r="V50" s="14">
        <f>IF($U50="",0,IF(COUNTIF($U$4:$U50,$U50)=1,1,0))</f>
        <v>0</v>
      </c>
    </row>
    <row r="51" spans="1:22" ht="42.75" customHeight="1">
      <c r="A51" s="61" t="s">
        <v>54</v>
      </c>
      <c r="B51" s="6" t="s">
        <v>290</v>
      </c>
      <c r="C51" s="8">
        <v>4</v>
      </c>
      <c r="D51" s="6" t="s">
        <v>291</v>
      </c>
      <c r="E51" s="6" t="s">
        <v>292</v>
      </c>
      <c r="F51" s="6" t="s">
        <v>128</v>
      </c>
      <c r="G51" s="6" t="s">
        <v>108</v>
      </c>
      <c r="H51" s="6" t="s">
        <v>121</v>
      </c>
      <c r="I51" s="6" t="s">
        <v>122</v>
      </c>
      <c r="J51" s="6" t="s">
        <v>123</v>
      </c>
      <c r="K51" s="9" t="s">
        <v>114</v>
      </c>
      <c r="L51" s="9"/>
      <c r="M51" s="8">
        <v>2</v>
      </c>
      <c r="N51" s="10">
        <v>4.0000000000000001E-3</v>
      </c>
      <c r="O51" s="10">
        <v>1.1999999999999999E-3</v>
      </c>
      <c r="P51" s="6" t="s">
        <v>124</v>
      </c>
      <c r="Q51" s="11">
        <f>IF($K51="Yes",$C51*Cost!$B$6,0)</f>
        <v>20</v>
      </c>
      <c r="R51" s="12">
        <f>IF($K51&lt;&gt;"Yes",0,IF(AND($P51="Estimate",$N51&gt;0,$B51&lt;&gt;"PCB"),MAX($C51*Cost!$B$6*$N51,Cost!$B$8),$C51*Cost!$B$6*$N51))</f>
        <v>0.1</v>
      </c>
      <c r="S51" s="12">
        <f>IF($K51="Yes",$C51*Cost!$B$7*$O51,0)</f>
        <v>0.48</v>
      </c>
      <c r="T51" s="6"/>
      <c r="U51" s="13" t="str">
        <f>IF(AND($K51="Yes",$M51&gt;0,$B51&lt;&gt;"PCB"),IF(LEFT($H51,7)="Generic","G|"&amp;$E51&amp;"|"&amp;$F51&amp;"|"&amp;$G51,"M|"&amp;$H51),"")</f>
        <v>G|0 Ω|0603|—</v>
      </c>
      <c r="V51" s="14">
        <f>IF($U51="",0,IF(COUNTIF($U$4:$U51,$U51)=1,1,0))</f>
        <v>1</v>
      </c>
    </row>
    <row r="52" spans="1:22" ht="42.75" customHeight="1">
      <c r="A52" s="61" t="s">
        <v>54</v>
      </c>
      <c r="B52" s="6" t="s">
        <v>293</v>
      </c>
      <c r="C52" s="8">
        <v>2</v>
      </c>
      <c r="D52" s="6" t="s">
        <v>294</v>
      </c>
      <c r="E52" s="6" t="s">
        <v>247</v>
      </c>
      <c r="F52" s="6" t="s">
        <v>119</v>
      </c>
      <c r="G52" s="6" t="s">
        <v>120</v>
      </c>
      <c r="H52" s="6" t="s">
        <v>121</v>
      </c>
      <c r="I52" s="6" t="s">
        <v>122</v>
      </c>
      <c r="J52" s="6" t="s">
        <v>123</v>
      </c>
      <c r="K52" s="9" t="s">
        <v>114</v>
      </c>
      <c r="L52" s="9"/>
      <c r="M52" s="8">
        <v>2</v>
      </c>
      <c r="N52" s="10">
        <v>4.0000000000000001E-3</v>
      </c>
      <c r="O52" s="10">
        <v>1E-3</v>
      </c>
      <c r="P52" s="6" t="s">
        <v>124</v>
      </c>
      <c r="Q52" s="11">
        <f>IF($K52="Yes",$C52*Cost!$B$6,0)</f>
        <v>10</v>
      </c>
      <c r="R52" s="12">
        <f>IF($K52&lt;&gt;"Yes",0,IF(AND($P52="Estimate",$N52&gt;0,$B52&lt;&gt;"PCB"),MAX($C52*Cost!$B$6*$N52,Cost!$B$8),$C52*Cost!$B$6*$N52))</f>
        <v>0.1</v>
      </c>
      <c r="S52" s="12">
        <f>IF($K52="Yes",$C52*Cost!$B$7*$O52,0)</f>
        <v>0.2</v>
      </c>
      <c r="T52" s="6"/>
      <c r="U52" s="13" t="str">
        <f>IF(AND($K52="Yes",$M52&gt;0,$B52&lt;&gt;"PCB"),IF(LEFT($H52,7)="Generic","G|"&amp;$E52&amp;"|"&amp;$F52&amp;"|"&amp;$G52,"M|"&amp;$H52),"")</f>
        <v>G|100 kΩ|0402|1%</v>
      </c>
      <c r="V52" s="14">
        <f>IF($U52="",0,IF(COUNTIF($U$4:$U52,$U52)=1,1,0))</f>
        <v>0</v>
      </c>
    </row>
    <row r="53" spans="1:22" ht="42.75" customHeight="1">
      <c r="A53" s="61" t="s">
        <v>54</v>
      </c>
      <c r="B53" s="6" t="s">
        <v>295</v>
      </c>
      <c r="C53" s="8">
        <v>4</v>
      </c>
      <c r="D53" s="6" t="s">
        <v>296</v>
      </c>
      <c r="E53" s="6" t="s">
        <v>166</v>
      </c>
      <c r="F53" s="6" t="s">
        <v>119</v>
      </c>
      <c r="G53" s="6" t="s">
        <v>167</v>
      </c>
      <c r="H53" s="6" t="s">
        <v>121</v>
      </c>
      <c r="I53" s="6" t="s">
        <v>122</v>
      </c>
      <c r="J53" s="6" t="s">
        <v>123</v>
      </c>
      <c r="K53" s="9" t="s">
        <v>114</v>
      </c>
      <c r="L53" s="9"/>
      <c r="M53" s="8">
        <v>2</v>
      </c>
      <c r="N53" s="10">
        <v>5.0000000000000001E-3</v>
      </c>
      <c r="O53" s="10">
        <v>1.5E-3</v>
      </c>
      <c r="P53" s="6" t="s">
        <v>124</v>
      </c>
      <c r="Q53" s="11">
        <f>IF($K53="Yes",$C53*Cost!$B$6,0)</f>
        <v>20</v>
      </c>
      <c r="R53" s="12">
        <f>IF($K53&lt;&gt;"Yes",0,IF(AND($P53="Estimate",$N53&gt;0,$B53&lt;&gt;"PCB"),MAX($C53*Cost!$B$6*$N53,Cost!$B$8),$C53*Cost!$B$6*$N53))</f>
        <v>0.1</v>
      </c>
      <c r="S53" s="12">
        <f>IF($K53="Yes",$C53*Cost!$B$7*$O53,0)</f>
        <v>0.6</v>
      </c>
      <c r="T53" s="6"/>
      <c r="U53" s="13" t="str">
        <f>IF(AND($K53="Yes",$M53&gt;0,$B53&lt;&gt;"PCB"),IF(LEFT($H53,7)="Generic","G|"&amp;$E53&amp;"|"&amp;$F53&amp;"|"&amp;$G53,"M|"&amp;$H53),"")</f>
        <v>G|100 nF|0402|16 V X7R</v>
      </c>
      <c r="V53" s="14">
        <f>IF($U53="",0,IF(COUNTIF($U$4:$U53,$U53)=1,1,0))</f>
        <v>0</v>
      </c>
    </row>
    <row r="54" spans="1:22" ht="42.75" customHeight="1">
      <c r="A54" s="61" t="s">
        <v>54</v>
      </c>
      <c r="B54" s="6" t="s">
        <v>297</v>
      </c>
      <c r="C54" s="8">
        <v>4</v>
      </c>
      <c r="D54" s="6" t="s">
        <v>298</v>
      </c>
      <c r="E54" s="6" t="s">
        <v>170</v>
      </c>
      <c r="F54" s="6" t="s">
        <v>171</v>
      </c>
      <c r="G54" s="6" t="s">
        <v>148</v>
      </c>
      <c r="H54" s="6" t="s">
        <v>121</v>
      </c>
      <c r="I54" s="6" t="s">
        <v>122</v>
      </c>
      <c r="J54" s="6" t="s">
        <v>123</v>
      </c>
      <c r="K54" s="9" t="s">
        <v>114</v>
      </c>
      <c r="L54" s="9"/>
      <c r="M54" s="8">
        <v>2</v>
      </c>
      <c r="N54" s="10">
        <v>0.02</v>
      </c>
      <c r="O54" s="10">
        <v>0.01</v>
      </c>
      <c r="P54" s="6" t="s">
        <v>124</v>
      </c>
      <c r="Q54" s="11">
        <f>IF($K54="Yes",$C54*Cost!$B$6,0)</f>
        <v>20</v>
      </c>
      <c r="R54" s="12">
        <f>IF($K54&lt;&gt;"Yes",0,IF(AND($P54="Estimate",$N54&gt;0,$B54&lt;&gt;"PCB"),MAX($C54*Cost!$B$6*$N54,Cost!$B$8),$C54*Cost!$B$6*$N54))</f>
        <v>0.4</v>
      </c>
      <c r="S54" s="12">
        <f>IF($K54="Yes",$C54*Cost!$B$7*$O54,0)</f>
        <v>4</v>
      </c>
      <c r="T54" s="6"/>
      <c r="U54" s="13" t="str">
        <f>IF(AND($K54="Yes",$M54&gt;0,$B54&lt;&gt;"PCB"),IF(LEFT($H54,7)="Generic","G|"&amp;$E54&amp;"|"&amp;$F54&amp;"|"&amp;$G54,"M|"&amp;$H54),"")</f>
        <v>G|10 µF|0805|10 V X5R</v>
      </c>
      <c r="V54" s="14">
        <f>IF($U54="",0,IF(COUNTIF($U$4:$U54,$U54)=1,1,0))</f>
        <v>0</v>
      </c>
    </row>
    <row r="55" spans="1:22" ht="29.25" customHeight="1">
      <c r="A55" s="62" t="s">
        <v>56</v>
      </c>
      <c r="B55" s="6" t="s">
        <v>299</v>
      </c>
      <c r="C55" s="8">
        <v>1</v>
      </c>
      <c r="D55" s="6" t="s">
        <v>300</v>
      </c>
      <c r="E55" s="6" t="s">
        <v>301</v>
      </c>
      <c r="F55" s="6" t="s">
        <v>302</v>
      </c>
      <c r="G55" s="6" t="s">
        <v>303</v>
      </c>
      <c r="H55" s="6" t="s">
        <v>304</v>
      </c>
      <c r="I55" s="6" t="s">
        <v>305</v>
      </c>
      <c r="J55" s="6" t="s">
        <v>113</v>
      </c>
      <c r="K55" s="9" t="s">
        <v>114</v>
      </c>
      <c r="L55" s="9" t="s">
        <v>114</v>
      </c>
      <c r="M55" s="8">
        <v>13</v>
      </c>
      <c r="N55" s="10">
        <v>1.1013999999999999</v>
      </c>
      <c r="O55" s="10">
        <v>0.74680000000000002</v>
      </c>
      <c r="P55" s="6" t="s">
        <v>115</v>
      </c>
      <c r="Q55" s="11">
        <f>IF($K55="Yes",$C55*Cost!$B$6,0)</f>
        <v>5</v>
      </c>
      <c r="R55" s="12">
        <f>IF($K55&lt;&gt;"Yes",0,IF(AND($P55="Estimate",$N55&gt;0,$B55&lt;&gt;"PCB"),MAX($C55*Cost!$B$6*$N55,Cost!$B$8),$C55*Cost!$B$6*$N55))</f>
        <v>5.5069999999999997</v>
      </c>
      <c r="S55" s="12">
        <f>IF($K55="Yes",$C55*Cost!$B$7*$O55,0)</f>
        <v>74.680000000000007</v>
      </c>
      <c r="T55" s="6"/>
      <c r="U55" s="13" t="str">
        <f>IF(AND($K55="Yes",$M55&gt;0,$B55&lt;&gt;"PCB"),IF(LEFT($H55,7)="Generic","G|"&amp;$E55&amp;"|"&amp;$F55&amp;"|"&amp;$G55,"M|"&amp;$H55),"")</f>
        <v>M|TI LM27762DSSR</v>
      </c>
      <c r="V55" s="14">
        <f>IF($U55="",0,IF(COUNTIF($U$4:$U55,$U55)=1,1,0))</f>
        <v>1</v>
      </c>
    </row>
    <row r="56" spans="1:22" ht="29.25" customHeight="1">
      <c r="A56" s="61" t="s">
        <v>56</v>
      </c>
      <c r="B56" s="6" t="s">
        <v>306</v>
      </c>
      <c r="C56" s="8">
        <v>1</v>
      </c>
      <c r="D56" s="6" t="s">
        <v>307</v>
      </c>
      <c r="E56" s="6" t="s">
        <v>308</v>
      </c>
      <c r="F56" s="6" t="s">
        <v>128</v>
      </c>
      <c r="G56" s="6" t="s">
        <v>148</v>
      </c>
      <c r="H56" s="6" t="s">
        <v>121</v>
      </c>
      <c r="I56" s="6" t="s">
        <v>122</v>
      </c>
      <c r="J56" s="6" t="s">
        <v>123</v>
      </c>
      <c r="K56" s="9" t="s">
        <v>114</v>
      </c>
      <c r="L56" s="9"/>
      <c r="M56" s="8">
        <v>2</v>
      </c>
      <c r="N56" s="10">
        <v>1.2E-2</v>
      </c>
      <c r="O56" s="10">
        <v>5.0000000000000001E-3</v>
      </c>
      <c r="P56" s="6" t="s">
        <v>124</v>
      </c>
      <c r="Q56" s="11">
        <f>IF($K56="Yes",$C56*Cost!$B$6,0)</f>
        <v>5</v>
      </c>
      <c r="R56" s="12">
        <f>IF($K56&lt;&gt;"Yes",0,IF(AND($P56="Estimate",$N56&gt;0,$B56&lt;&gt;"PCB"),MAX($C56*Cost!$B$6*$N56,Cost!$B$8),$C56*Cost!$B$6*$N56))</f>
        <v>0.1</v>
      </c>
      <c r="S56" s="12">
        <f>IF($K56="Yes",$C56*Cost!$B$7*$O56,0)</f>
        <v>0.5</v>
      </c>
      <c r="T56" s="6"/>
      <c r="U56" s="13" t="str">
        <f>IF(AND($K56="Yes",$M56&gt;0,$B56&lt;&gt;"PCB"),IF(LEFT($H56,7)="Generic","G|"&amp;$E56&amp;"|"&amp;$F56&amp;"|"&amp;$G56,"M|"&amp;$H56),"")</f>
        <v>G|4.7 µF|0603|10 V X5R</v>
      </c>
      <c r="V56" s="14">
        <f>IF($U56="",0,IF(COUNTIF($U$4:$U56,$U56)=1,1,0))</f>
        <v>1</v>
      </c>
    </row>
    <row r="57" spans="1:22" ht="29.25" customHeight="1">
      <c r="A57" s="61" t="s">
        <v>56</v>
      </c>
      <c r="B57" s="6" t="s">
        <v>309</v>
      </c>
      <c r="C57" s="8">
        <v>1</v>
      </c>
      <c r="D57" s="6" t="s">
        <v>310</v>
      </c>
      <c r="E57" s="6" t="s">
        <v>147</v>
      </c>
      <c r="F57" s="6" t="s">
        <v>128</v>
      </c>
      <c r="G57" s="6" t="s">
        <v>311</v>
      </c>
      <c r="H57" s="6" t="s">
        <v>121</v>
      </c>
      <c r="I57" s="6" t="s">
        <v>122</v>
      </c>
      <c r="J57" s="6" t="s">
        <v>123</v>
      </c>
      <c r="K57" s="9" t="s">
        <v>114</v>
      </c>
      <c r="L57" s="9"/>
      <c r="M57" s="8">
        <v>2</v>
      </c>
      <c r="N57" s="10">
        <v>0.01</v>
      </c>
      <c r="O57" s="10">
        <v>4.0000000000000001E-3</v>
      </c>
      <c r="P57" s="6" t="s">
        <v>124</v>
      </c>
      <c r="Q57" s="11">
        <f>IF($K57="Yes",$C57*Cost!$B$6,0)</f>
        <v>5</v>
      </c>
      <c r="R57" s="12">
        <f>IF($K57&lt;&gt;"Yes",0,IF(AND($P57="Estimate",$N57&gt;0,$B57&lt;&gt;"PCB"),MAX($C57*Cost!$B$6*$N57,Cost!$B$8),$C57*Cost!$B$6*$N57))</f>
        <v>0.1</v>
      </c>
      <c r="S57" s="12">
        <f>IF($K57="Yes",$C57*Cost!$B$7*$O57,0)</f>
        <v>0.4</v>
      </c>
      <c r="T57" s="6"/>
      <c r="U57" s="13" t="str">
        <f>IF(AND($K57="Yes",$M57&gt;0,$B57&lt;&gt;"PCB"),IF(LEFT($H57,7)="Generic","G|"&amp;$E57&amp;"|"&amp;$F57&amp;"|"&amp;$G57,"M|"&amp;$H57),"")</f>
        <v>G|1 µF|0603|10 V X7R</v>
      </c>
      <c r="V57" s="14">
        <f>IF($U57="",0,IF(COUNTIF($U$4:$U57,$U57)=1,1,0))</f>
        <v>1</v>
      </c>
    </row>
    <row r="58" spans="1:22" ht="29.25" customHeight="1">
      <c r="A58" s="61" t="s">
        <v>56</v>
      </c>
      <c r="B58" s="6" t="s">
        <v>312</v>
      </c>
      <c r="C58" s="8">
        <v>2</v>
      </c>
      <c r="D58" s="6" t="s">
        <v>313</v>
      </c>
      <c r="E58" s="6" t="s">
        <v>170</v>
      </c>
      <c r="F58" s="6" t="s">
        <v>171</v>
      </c>
      <c r="G58" s="6" t="s">
        <v>148</v>
      </c>
      <c r="H58" s="6" t="s">
        <v>121</v>
      </c>
      <c r="I58" s="6" t="s">
        <v>122</v>
      </c>
      <c r="J58" s="6" t="s">
        <v>123</v>
      </c>
      <c r="K58" s="9" t="s">
        <v>114</v>
      </c>
      <c r="L58" s="9"/>
      <c r="M58" s="8">
        <v>2</v>
      </c>
      <c r="N58" s="10">
        <v>0.02</v>
      </c>
      <c r="O58" s="10">
        <v>0.01</v>
      </c>
      <c r="P58" s="6" t="s">
        <v>124</v>
      </c>
      <c r="Q58" s="11">
        <f>IF($K58="Yes",$C58*Cost!$B$6,0)</f>
        <v>10</v>
      </c>
      <c r="R58" s="12">
        <f>IF($K58&lt;&gt;"Yes",0,IF(AND($P58="Estimate",$N58&gt;0,$B58&lt;&gt;"PCB"),MAX($C58*Cost!$B$6*$N58,Cost!$B$8),$C58*Cost!$B$6*$N58))</f>
        <v>0.2</v>
      </c>
      <c r="S58" s="12">
        <f>IF($K58="Yes",$C58*Cost!$B$7*$O58,0)</f>
        <v>2</v>
      </c>
      <c r="T58" s="6"/>
      <c r="U58" s="13" t="str">
        <f>IF(AND($K58="Yes",$M58&gt;0,$B58&lt;&gt;"PCB"),IF(LEFT($H58,7)="Generic","G|"&amp;$E58&amp;"|"&amp;$F58&amp;"|"&amp;$G58,"M|"&amp;$H58),"")</f>
        <v>G|10 µF|0805|10 V X5R</v>
      </c>
      <c r="V58" s="14">
        <f>IF($U58="",0,IF(COUNTIF($U$4:$U58,$U58)=1,1,0))</f>
        <v>0</v>
      </c>
    </row>
    <row r="59" spans="1:22" ht="29.25" customHeight="1">
      <c r="A59" s="61" t="s">
        <v>56</v>
      </c>
      <c r="B59" s="6" t="s">
        <v>314</v>
      </c>
      <c r="C59" s="8">
        <v>1</v>
      </c>
      <c r="D59" s="6" t="s">
        <v>315</v>
      </c>
      <c r="E59" s="6" t="s">
        <v>170</v>
      </c>
      <c r="F59" s="6" t="s">
        <v>171</v>
      </c>
      <c r="G59" s="6" t="s">
        <v>148</v>
      </c>
      <c r="H59" s="6" t="s">
        <v>121</v>
      </c>
      <c r="I59" s="6" t="s">
        <v>122</v>
      </c>
      <c r="J59" s="6" t="s">
        <v>123</v>
      </c>
      <c r="K59" s="9" t="s">
        <v>114</v>
      </c>
      <c r="L59" s="9"/>
      <c r="M59" s="8">
        <v>2</v>
      </c>
      <c r="N59" s="10">
        <v>0.02</v>
      </c>
      <c r="O59" s="10">
        <v>0.01</v>
      </c>
      <c r="P59" s="6" t="s">
        <v>124</v>
      </c>
      <c r="Q59" s="11">
        <f>IF($K59="Yes",$C59*Cost!$B$6,0)</f>
        <v>5</v>
      </c>
      <c r="R59" s="12">
        <f>IF($K59&lt;&gt;"Yes",0,IF(AND($P59="Estimate",$N59&gt;0,$B59&lt;&gt;"PCB"),MAX($C59*Cost!$B$6*$N59,Cost!$B$8),$C59*Cost!$B$6*$N59))</f>
        <v>0.1</v>
      </c>
      <c r="S59" s="12">
        <f>IF($K59="Yes",$C59*Cost!$B$7*$O59,0)</f>
        <v>1</v>
      </c>
      <c r="T59" s="6"/>
      <c r="U59" s="13" t="str">
        <f>IF(AND($K59="Yes",$M59&gt;0,$B59&lt;&gt;"PCB"),IF(LEFT($H59,7)="Generic","G|"&amp;$E59&amp;"|"&amp;$F59&amp;"|"&amp;$G59,"M|"&amp;$H59),"")</f>
        <v>G|10 µF|0805|10 V X5R</v>
      </c>
      <c r="V59" s="14">
        <f>IF($U59="",0,IF(COUNTIF($U$4:$U59,$U59)=1,1,0))</f>
        <v>0</v>
      </c>
    </row>
    <row r="60" spans="1:22" ht="29.25" customHeight="1">
      <c r="A60" s="61" t="s">
        <v>56</v>
      </c>
      <c r="B60" s="6" t="s">
        <v>316</v>
      </c>
      <c r="C60" s="8">
        <v>4</v>
      </c>
      <c r="D60" s="6" t="s">
        <v>317</v>
      </c>
      <c r="E60" s="6" t="s">
        <v>318</v>
      </c>
      <c r="F60" s="6" t="s">
        <v>119</v>
      </c>
      <c r="G60" s="6" t="s">
        <v>120</v>
      </c>
      <c r="H60" s="6" t="s">
        <v>121</v>
      </c>
      <c r="I60" s="6" t="s">
        <v>122</v>
      </c>
      <c r="J60" s="6" t="s">
        <v>123</v>
      </c>
      <c r="K60" s="9" t="s">
        <v>114</v>
      </c>
      <c r="L60" s="9"/>
      <c r="M60" s="8">
        <v>2</v>
      </c>
      <c r="N60" s="10">
        <v>4.0000000000000001E-3</v>
      </c>
      <c r="O60" s="10">
        <v>1E-3</v>
      </c>
      <c r="P60" s="6" t="s">
        <v>124</v>
      </c>
      <c r="Q60" s="11">
        <f>IF($K60="Yes",$C60*Cost!$B$6,0)</f>
        <v>20</v>
      </c>
      <c r="R60" s="12">
        <f>IF($K60&lt;&gt;"Yes",0,IF(AND($P60="Estimate",$N60&gt;0,$B60&lt;&gt;"PCB"),MAX($C60*Cost!$B$6*$N60,Cost!$B$8),$C60*Cost!$B$6*$N60))</f>
        <v>0.1</v>
      </c>
      <c r="S60" s="12">
        <f>IF($K60="Yes",$C60*Cost!$B$7*$O60,0)</f>
        <v>0.4</v>
      </c>
      <c r="T60" s="6"/>
      <c r="U60" s="13" t="str">
        <f>IF(AND($K60="Yes",$M60&gt;0,$B60&lt;&gt;"PCB"),IF(LEFT($H60,7)="Generic","G|"&amp;$E60&amp;"|"&amp;$F60&amp;"|"&amp;$G60,"M|"&amp;$H60),"")</f>
        <v>G|[per datasheet]|0402|1%</v>
      </c>
      <c r="V60" s="14">
        <f>IF($U60="",0,IF(COUNTIF($U$4:$U60,$U60)=1,1,0))</f>
        <v>1</v>
      </c>
    </row>
    <row r="61" spans="1:22" ht="29.25" customHeight="1">
      <c r="A61" s="61" t="s">
        <v>56</v>
      </c>
      <c r="B61" s="6" t="s">
        <v>319</v>
      </c>
      <c r="C61" s="8">
        <v>1</v>
      </c>
      <c r="D61" s="6" t="s">
        <v>320</v>
      </c>
      <c r="E61" s="6" t="s">
        <v>247</v>
      </c>
      <c r="F61" s="6" t="s">
        <v>119</v>
      </c>
      <c r="G61" s="6" t="s">
        <v>120</v>
      </c>
      <c r="H61" s="6" t="s">
        <v>121</v>
      </c>
      <c r="I61" s="6" t="s">
        <v>122</v>
      </c>
      <c r="J61" s="6" t="s">
        <v>123</v>
      </c>
      <c r="K61" s="9" t="s">
        <v>114</v>
      </c>
      <c r="L61" s="9"/>
      <c r="M61" s="8">
        <v>2</v>
      </c>
      <c r="N61" s="10">
        <v>4.0000000000000001E-3</v>
      </c>
      <c r="O61" s="10">
        <v>1E-3</v>
      </c>
      <c r="P61" s="6" t="s">
        <v>124</v>
      </c>
      <c r="Q61" s="11">
        <f>IF($K61="Yes",$C61*Cost!$B$6,0)</f>
        <v>5</v>
      </c>
      <c r="R61" s="12">
        <f>IF($K61&lt;&gt;"Yes",0,IF(AND($P61="Estimate",$N61&gt;0,$B61&lt;&gt;"PCB"),MAX($C61*Cost!$B$6*$N61,Cost!$B$8),$C61*Cost!$B$6*$N61))</f>
        <v>0.1</v>
      </c>
      <c r="S61" s="12">
        <f>IF($K61="Yes",$C61*Cost!$B$7*$O61,0)</f>
        <v>0.1</v>
      </c>
      <c r="T61" s="6"/>
      <c r="U61" s="13" t="str">
        <f>IF(AND($K61="Yes",$M61&gt;0,$B61&lt;&gt;"PCB"),IF(LEFT($H61,7)="Generic","G|"&amp;$E61&amp;"|"&amp;$F61&amp;"|"&amp;$G61,"M|"&amp;$H61),"")</f>
        <v>G|100 kΩ|0402|1%</v>
      </c>
      <c r="V61" s="14">
        <f>IF($U61="",0,IF(COUNTIF($U$4:$U61,$U61)=1,1,0))</f>
        <v>0</v>
      </c>
    </row>
    <row r="62" spans="1:22" ht="29.25" customHeight="1">
      <c r="A62" s="61" t="s">
        <v>56</v>
      </c>
      <c r="B62" s="6" t="s">
        <v>321</v>
      </c>
      <c r="C62" s="8">
        <v>1</v>
      </c>
      <c r="D62" s="6" t="s">
        <v>322</v>
      </c>
      <c r="E62" s="6" t="s">
        <v>323</v>
      </c>
      <c r="F62" s="6" t="s">
        <v>217</v>
      </c>
      <c r="G62" s="6" t="s">
        <v>324</v>
      </c>
      <c r="H62" s="6" t="s">
        <v>325</v>
      </c>
      <c r="I62" s="6" t="s">
        <v>220</v>
      </c>
      <c r="J62" s="6" t="s">
        <v>123</v>
      </c>
      <c r="K62" s="9" t="s">
        <v>114</v>
      </c>
      <c r="L62" s="9"/>
      <c r="M62" s="8">
        <v>5</v>
      </c>
      <c r="N62" s="10">
        <v>0.06</v>
      </c>
      <c r="O62" s="10">
        <v>0.04</v>
      </c>
      <c r="P62" s="6" t="s">
        <v>124</v>
      </c>
      <c r="Q62" s="11">
        <f>IF($K62="Yes",$C62*Cost!$B$6,0)</f>
        <v>5</v>
      </c>
      <c r="R62" s="12">
        <f>IF($K62&lt;&gt;"Yes",0,IF(AND($P62="Estimate",$N62&gt;0,$B62&lt;&gt;"PCB"),MAX($C62*Cost!$B$6*$N62,Cost!$B$8),$C62*Cost!$B$6*$N62))</f>
        <v>0.3</v>
      </c>
      <c r="S62" s="12">
        <f>IF($K62="Yes",$C62*Cost!$B$7*$O62,0)</f>
        <v>4</v>
      </c>
      <c r="T62" s="6"/>
      <c r="U62" s="13" t="str">
        <f>IF(AND($K62="Yes",$M62&gt;0,$B62&lt;&gt;"PCB"),IF(LEFT($H62,7)="Generic","G|"&amp;$E62&amp;"|"&amp;$F62&amp;"|"&amp;$G62,"M|"&amp;$H62),"")</f>
        <v>M|Microne ME6211C33M5G-N</v>
      </c>
      <c r="V62" s="14">
        <f>IF($U62="",0,IF(COUNTIF($U$4:$U62,$U62)=1,1,0))</f>
        <v>1</v>
      </c>
    </row>
    <row r="63" spans="1:22" ht="29.25" customHeight="1">
      <c r="A63" s="61" t="s">
        <v>56</v>
      </c>
      <c r="B63" s="6" t="s">
        <v>326</v>
      </c>
      <c r="C63" s="8">
        <v>2</v>
      </c>
      <c r="D63" s="6" t="s">
        <v>327</v>
      </c>
      <c r="E63" s="6" t="s">
        <v>147</v>
      </c>
      <c r="F63" s="6" t="s">
        <v>119</v>
      </c>
      <c r="G63" s="6" t="s">
        <v>148</v>
      </c>
      <c r="H63" s="6" t="s">
        <v>121</v>
      </c>
      <c r="I63" s="6" t="s">
        <v>122</v>
      </c>
      <c r="J63" s="6" t="s">
        <v>123</v>
      </c>
      <c r="K63" s="9" t="s">
        <v>114</v>
      </c>
      <c r="L63" s="9"/>
      <c r="M63" s="8">
        <v>2</v>
      </c>
      <c r="N63" s="10">
        <v>8.0000000000000002E-3</v>
      </c>
      <c r="O63" s="10">
        <v>3.0000000000000001E-3</v>
      </c>
      <c r="P63" s="6" t="s">
        <v>124</v>
      </c>
      <c r="Q63" s="11">
        <f>IF($K63="Yes",$C63*Cost!$B$6,0)</f>
        <v>10</v>
      </c>
      <c r="R63" s="12">
        <f>IF($K63&lt;&gt;"Yes",0,IF(AND($P63="Estimate",$N63&gt;0,$B63&lt;&gt;"PCB"),MAX($C63*Cost!$B$6*$N63,Cost!$B$8),$C63*Cost!$B$6*$N63))</f>
        <v>0.1</v>
      </c>
      <c r="S63" s="12">
        <f>IF($K63="Yes",$C63*Cost!$B$7*$O63,0)</f>
        <v>0.6</v>
      </c>
      <c r="T63" s="6"/>
      <c r="U63" s="13" t="str">
        <f>IF(AND($K63="Yes",$M63&gt;0,$B63&lt;&gt;"PCB"),IF(LEFT($H63,7)="Generic","G|"&amp;$E63&amp;"|"&amp;$F63&amp;"|"&amp;$G63,"M|"&amp;$H63),"")</f>
        <v>G|1 µF|0402|10 V X5R</v>
      </c>
      <c r="V63" s="14">
        <f>IF($U63="",0,IF(COUNTIF($U$4:$U63,$U63)=1,1,0))</f>
        <v>0</v>
      </c>
    </row>
    <row r="64" spans="1:22" ht="29.25" customHeight="1">
      <c r="A64" s="62" t="s">
        <v>58</v>
      </c>
      <c r="B64" s="6" t="s">
        <v>328</v>
      </c>
      <c r="C64" s="8">
        <v>1</v>
      </c>
      <c r="D64" s="6" t="s">
        <v>329</v>
      </c>
      <c r="E64" s="6" t="s">
        <v>108</v>
      </c>
      <c r="F64" s="6" t="s">
        <v>268</v>
      </c>
      <c r="G64" s="6" t="s">
        <v>330</v>
      </c>
      <c r="H64" s="6" t="s">
        <v>331</v>
      </c>
      <c r="I64" s="6" t="s">
        <v>220</v>
      </c>
      <c r="J64" s="6" t="s">
        <v>123</v>
      </c>
      <c r="K64" s="9" t="s">
        <v>114</v>
      </c>
      <c r="L64" s="9"/>
      <c r="M64" s="8">
        <v>8</v>
      </c>
      <c r="N64" s="10">
        <v>0.05</v>
      </c>
      <c r="O64" s="10">
        <v>0.03</v>
      </c>
      <c r="P64" s="6" t="s">
        <v>124</v>
      </c>
      <c r="Q64" s="11">
        <f>IF($K64="Yes",$C64*Cost!$B$6,0)</f>
        <v>5</v>
      </c>
      <c r="R64" s="12">
        <f>IF($K64&lt;&gt;"Yes",0,IF(AND($P64="Estimate",$N64&gt;0,$B64&lt;&gt;"PCB"),MAX($C64*Cost!$B$6*$N64,Cost!$B$8),$C64*Cost!$B$6*$N64))</f>
        <v>0.25</v>
      </c>
      <c r="S64" s="12">
        <f>IF($K64="Yes",$C64*Cost!$B$7*$O64,0)</f>
        <v>3</v>
      </c>
      <c r="T64" s="6"/>
      <c r="U64" s="13" t="str">
        <f>IF(AND($K64="Yes",$M64&gt;0,$B64&lt;&gt;"PCB"),IF(LEFT($H64,7)="Generic","G|"&amp;$E64&amp;"|"&amp;$F64&amp;"|"&amp;$G64,"M|"&amp;$H64),"")</f>
        <v>M|LM393DR (any Basic source)</v>
      </c>
      <c r="V64" s="14">
        <f>IF($U64="",0,IF(COUNTIF($U$4:$U64,$U64)=1,1,0))</f>
        <v>1</v>
      </c>
    </row>
    <row r="65" spans="1:22" ht="29.25" customHeight="1">
      <c r="A65" s="61" t="s">
        <v>58</v>
      </c>
      <c r="B65" s="6" t="s">
        <v>332</v>
      </c>
      <c r="C65" s="8">
        <v>4</v>
      </c>
      <c r="D65" s="6" t="s">
        <v>333</v>
      </c>
      <c r="E65" s="6" t="s">
        <v>247</v>
      </c>
      <c r="F65" s="6" t="s">
        <v>119</v>
      </c>
      <c r="G65" s="6" t="s">
        <v>120</v>
      </c>
      <c r="H65" s="6" t="s">
        <v>121</v>
      </c>
      <c r="I65" s="6" t="s">
        <v>122</v>
      </c>
      <c r="J65" s="6" t="s">
        <v>123</v>
      </c>
      <c r="K65" s="9" t="s">
        <v>114</v>
      </c>
      <c r="L65" s="9"/>
      <c r="M65" s="8">
        <v>2</v>
      </c>
      <c r="N65" s="10">
        <v>4.0000000000000001E-3</v>
      </c>
      <c r="O65" s="10">
        <v>1E-3</v>
      </c>
      <c r="P65" s="6" t="s">
        <v>124</v>
      </c>
      <c r="Q65" s="11">
        <f>IF($K65="Yes",$C65*Cost!$B$6,0)</f>
        <v>20</v>
      </c>
      <c r="R65" s="12">
        <f>IF($K65&lt;&gt;"Yes",0,IF(AND($P65="Estimate",$N65&gt;0,$B65&lt;&gt;"PCB"),MAX($C65*Cost!$B$6*$N65,Cost!$B$8),$C65*Cost!$B$6*$N65))</f>
        <v>0.1</v>
      </c>
      <c r="S65" s="12">
        <f>IF($K65="Yes",$C65*Cost!$B$7*$O65,0)</f>
        <v>0.4</v>
      </c>
      <c r="T65" s="6"/>
      <c r="U65" s="13" t="str">
        <f>IF(AND($K65="Yes",$M65&gt;0,$B65&lt;&gt;"PCB"),IF(LEFT($H65,7)="Generic","G|"&amp;$E65&amp;"|"&amp;$F65&amp;"|"&amp;$G65,"M|"&amp;$H65),"")</f>
        <v>G|100 kΩ|0402|1%</v>
      </c>
      <c r="V65" s="14">
        <f>IF($U65="",0,IF(COUNTIF($U$4:$U65,$U65)=1,1,0))</f>
        <v>0</v>
      </c>
    </row>
    <row r="66" spans="1:22" ht="29.25" customHeight="1">
      <c r="A66" s="61" t="s">
        <v>58</v>
      </c>
      <c r="B66" s="6" t="s">
        <v>334</v>
      </c>
      <c r="C66" s="8">
        <v>4</v>
      </c>
      <c r="D66" s="6" t="s">
        <v>335</v>
      </c>
      <c r="E66" s="6" t="s">
        <v>147</v>
      </c>
      <c r="F66" s="6" t="s">
        <v>128</v>
      </c>
      <c r="G66" s="6" t="s">
        <v>311</v>
      </c>
      <c r="H66" s="6" t="s">
        <v>121</v>
      </c>
      <c r="I66" s="6" t="s">
        <v>122</v>
      </c>
      <c r="J66" s="6" t="s">
        <v>123</v>
      </c>
      <c r="K66" s="9" t="s">
        <v>114</v>
      </c>
      <c r="L66" s="9"/>
      <c r="M66" s="8">
        <v>2</v>
      </c>
      <c r="N66" s="10">
        <v>0.01</v>
      </c>
      <c r="O66" s="10">
        <v>4.0000000000000001E-3</v>
      </c>
      <c r="P66" s="6" t="s">
        <v>124</v>
      </c>
      <c r="Q66" s="11">
        <f>IF($K66="Yes",$C66*Cost!$B$6,0)</f>
        <v>20</v>
      </c>
      <c r="R66" s="12">
        <f>IF($K66&lt;&gt;"Yes",0,IF(AND($P66="Estimate",$N66&gt;0,$B66&lt;&gt;"PCB"),MAX($C66*Cost!$B$6*$N66,Cost!$B$8),$C66*Cost!$B$6*$N66))</f>
        <v>0.2</v>
      </c>
      <c r="S66" s="12">
        <f>IF($K66="Yes",$C66*Cost!$B$7*$O66,0)</f>
        <v>1.6</v>
      </c>
      <c r="T66" s="6"/>
      <c r="U66" s="13" t="str">
        <f>IF(AND($K66="Yes",$M66&gt;0,$B66&lt;&gt;"PCB"),IF(LEFT($H66,7)="Generic","G|"&amp;$E66&amp;"|"&amp;$F66&amp;"|"&amp;$G66,"M|"&amp;$H66),"")</f>
        <v>G|1 µF|0603|10 V X7R</v>
      </c>
      <c r="V66" s="14">
        <f>IF($U66="",0,IF(COUNTIF($U$4:$U66,$U66)=1,1,0))</f>
        <v>0</v>
      </c>
    </row>
    <row r="67" spans="1:22" ht="29.25" customHeight="1">
      <c r="A67" s="61" t="s">
        <v>58</v>
      </c>
      <c r="B67" s="6" t="s">
        <v>336</v>
      </c>
      <c r="C67" s="8">
        <v>4</v>
      </c>
      <c r="D67" s="6" t="s">
        <v>337</v>
      </c>
      <c r="E67" s="6" t="s">
        <v>338</v>
      </c>
      <c r="F67" s="6" t="s">
        <v>339</v>
      </c>
      <c r="G67" s="6" t="s">
        <v>108</v>
      </c>
      <c r="H67" s="6" t="s">
        <v>121</v>
      </c>
      <c r="I67" s="6" t="s">
        <v>122</v>
      </c>
      <c r="J67" s="6" t="s">
        <v>123</v>
      </c>
      <c r="K67" s="9" t="s">
        <v>114</v>
      </c>
      <c r="L67" s="9"/>
      <c r="M67" s="8">
        <v>3</v>
      </c>
      <c r="N67" s="10">
        <v>1.2E-2</v>
      </c>
      <c r="O67" s="10">
        <v>6.0000000000000001E-3</v>
      </c>
      <c r="P67" s="6" t="s">
        <v>124</v>
      </c>
      <c r="Q67" s="11">
        <f>IF($K67="Yes",$C67*Cost!$B$6,0)</f>
        <v>20</v>
      </c>
      <c r="R67" s="12">
        <f>IF($K67&lt;&gt;"Yes",0,IF(AND($P67="Estimate",$N67&gt;0,$B67&lt;&gt;"PCB"),MAX($C67*Cost!$B$6*$N67,Cost!$B$8),$C67*Cost!$B$6*$N67))</f>
        <v>0.24</v>
      </c>
      <c r="S67" s="12">
        <f>IF($K67="Yes",$C67*Cost!$B$7*$O67,0)</f>
        <v>2.4</v>
      </c>
      <c r="T67" s="6"/>
      <c r="U67" s="13" t="str">
        <f>IF(AND($K67="Yes",$M67&gt;0,$B67&lt;&gt;"PCB"),IF(LEFT($H67,7)="Generic","G|"&amp;$E67&amp;"|"&amp;$F67&amp;"|"&amp;$G67,"M|"&amp;$H67),"")</f>
        <v>G|BAV99|SOT-23|—</v>
      </c>
      <c r="V67" s="14">
        <f>IF($U67="",0,IF(COUNTIF($U$4:$U67,$U67)=1,1,0))</f>
        <v>1</v>
      </c>
    </row>
    <row r="68" spans="1:22" ht="29.25" customHeight="1">
      <c r="A68" s="61" t="s">
        <v>58</v>
      </c>
      <c r="B68" s="6" t="s">
        <v>340</v>
      </c>
      <c r="C68" s="8">
        <v>6</v>
      </c>
      <c r="D68" s="6" t="s">
        <v>341</v>
      </c>
      <c r="E68" s="6" t="s">
        <v>342</v>
      </c>
      <c r="F68" s="6" t="s">
        <v>119</v>
      </c>
      <c r="G68" s="6" t="s">
        <v>120</v>
      </c>
      <c r="H68" s="6" t="s">
        <v>121</v>
      </c>
      <c r="I68" s="6" t="s">
        <v>122</v>
      </c>
      <c r="J68" s="6" t="s">
        <v>123</v>
      </c>
      <c r="K68" s="9" t="s">
        <v>114</v>
      </c>
      <c r="L68" s="9"/>
      <c r="M68" s="8">
        <v>2</v>
      </c>
      <c r="N68" s="10">
        <v>4.0000000000000001E-3</v>
      </c>
      <c r="O68" s="10">
        <v>1E-3</v>
      </c>
      <c r="P68" s="6" t="s">
        <v>124</v>
      </c>
      <c r="Q68" s="11">
        <f>IF($K68="Yes",$C68*Cost!$B$6,0)</f>
        <v>30</v>
      </c>
      <c r="R68" s="12">
        <f>IF($K68&lt;&gt;"Yes",0,IF(AND($P68="Estimate",$N68&gt;0,$B68&lt;&gt;"PCB"),MAX($C68*Cost!$B$6*$N68,Cost!$B$8),$C68*Cost!$B$6*$N68))</f>
        <v>0.12</v>
      </c>
      <c r="S68" s="12">
        <f>IF($K68="Yes",$C68*Cost!$B$7*$O68,0)</f>
        <v>0.6</v>
      </c>
      <c r="T68" s="6"/>
      <c r="U68" s="13" t="str">
        <f>IF(AND($K68="Yes",$M68&gt;0,$B68&lt;&gt;"PCB"),IF(LEFT($H68,7)="Generic","G|"&amp;$E68&amp;"|"&amp;$F68&amp;"|"&amp;$G68,"M|"&amp;$H68),"")</f>
        <v>G|1 MΩ / 100 kΩ / 12 kΩ|0402|1%</v>
      </c>
      <c r="V68" s="14">
        <f>IF($U68="",0,IF(COUNTIF($U$4:$U68,$U68)=1,1,0))</f>
        <v>1</v>
      </c>
    </row>
    <row r="69" spans="1:22" ht="29.25" customHeight="1">
      <c r="A69" s="61" t="s">
        <v>58</v>
      </c>
      <c r="B69" s="6" t="s">
        <v>343</v>
      </c>
      <c r="C69" s="8">
        <v>1</v>
      </c>
      <c r="D69" s="6" t="s">
        <v>344</v>
      </c>
      <c r="E69" s="6" t="s">
        <v>345</v>
      </c>
      <c r="F69" s="6" t="s">
        <v>119</v>
      </c>
      <c r="G69" s="6" t="s">
        <v>120</v>
      </c>
      <c r="H69" s="6" t="s">
        <v>121</v>
      </c>
      <c r="I69" s="6" t="s">
        <v>122</v>
      </c>
      <c r="J69" s="6" t="s">
        <v>123</v>
      </c>
      <c r="K69" s="9" t="s">
        <v>114</v>
      </c>
      <c r="L69" s="9"/>
      <c r="M69" s="8">
        <v>2</v>
      </c>
      <c r="N69" s="10">
        <v>4.0000000000000001E-3</v>
      </c>
      <c r="O69" s="10">
        <v>1E-3</v>
      </c>
      <c r="P69" s="6" t="s">
        <v>124</v>
      </c>
      <c r="Q69" s="11">
        <f>IF($K69="Yes",$C69*Cost!$B$6,0)</f>
        <v>5</v>
      </c>
      <c r="R69" s="12">
        <f>IF($K69&lt;&gt;"Yes",0,IF(AND($P69="Estimate",$N69&gt;0,$B69&lt;&gt;"PCB"),MAX($C69*Cost!$B$6*$N69,Cost!$B$8),$C69*Cost!$B$6*$N69))</f>
        <v>0.1</v>
      </c>
      <c r="S69" s="12">
        <f>IF($K69="Yes",$C69*Cost!$B$7*$O69,0)</f>
        <v>0.1</v>
      </c>
      <c r="T69" s="6"/>
      <c r="U69" s="13" t="str">
        <f>IF(AND($K69="Yes",$M69&gt;0,$B69&lt;&gt;"PCB"),IF(LEFT($H69,7)="Generic","G|"&amp;$E69&amp;"|"&amp;$F69&amp;"|"&amp;$G69,"M|"&amp;$H69),"")</f>
        <v>G|47 kΩ|0402|1%</v>
      </c>
      <c r="V69" s="14">
        <f>IF($U69="",0,IF(COUNTIF($U$4:$U69,$U69)=1,1,0))</f>
        <v>1</v>
      </c>
    </row>
    <row r="70" spans="1:22" ht="29.25" customHeight="1">
      <c r="A70" s="61" t="s">
        <v>58</v>
      </c>
      <c r="B70" s="6" t="s">
        <v>346</v>
      </c>
      <c r="C70" s="8">
        <v>1</v>
      </c>
      <c r="D70" s="6" t="s">
        <v>347</v>
      </c>
      <c r="E70" s="6" t="s">
        <v>348</v>
      </c>
      <c r="F70" s="6" t="s">
        <v>339</v>
      </c>
      <c r="G70" s="6" t="s">
        <v>349</v>
      </c>
      <c r="H70" s="6" t="s">
        <v>121</v>
      </c>
      <c r="I70" s="6" t="s">
        <v>122</v>
      </c>
      <c r="J70" s="6" t="s">
        <v>123</v>
      </c>
      <c r="K70" s="9" t="s">
        <v>114</v>
      </c>
      <c r="L70" s="9"/>
      <c r="M70" s="8">
        <v>3</v>
      </c>
      <c r="N70" s="10">
        <v>0.02</v>
      </c>
      <c r="O70" s="10">
        <v>0.01</v>
      </c>
      <c r="P70" s="6" t="s">
        <v>124</v>
      </c>
      <c r="Q70" s="11">
        <f>IF($K70="Yes",$C70*Cost!$B$6,0)</f>
        <v>5</v>
      </c>
      <c r="R70" s="12">
        <f>IF($K70&lt;&gt;"Yes",0,IF(AND($P70="Estimate",$N70&gt;0,$B70&lt;&gt;"PCB"),MAX($C70*Cost!$B$6*$N70,Cost!$B$8),$C70*Cost!$B$6*$N70))</f>
        <v>0.1</v>
      </c>
      <c r="S70" s="12">
        <f>IF($K70="Yes",$C70*Cost!$B$7*$O70,0)</f>
        <v>1</v>
      </c>
      <c r="T70" s="6"/>
      <c r="U70" s="13" t="str">
        <f>IF(AND($K70="Yes",$M70&gt;0,$B70&lt;&gt;"PCB"),IF(LEFT($H70,7)="Generic","G|"&amp;$E70&amp;"|"&amp;$F70&amp;"|"&amp;$G70,"M|"&amp;$H70),"")</f>
        <v>G|MMBT3906|SOT-23|40 V</v>
      </c>
      <c r="V70" s="14">
        <f>IF($U70="",0,IF(COUNTIF($U$4:$U70,$U70)=1,1,0))</f>
        <v>1</v>
      </c>
    </row>
    <row r="71" spans="1:22" ht="29.25" customHeight="1">
      <c r="A71" s="61" t="s">
        <v>58</v>
      </c>
      <c r="B71" s="6" t="s">
        <v>350</v>
      </c>
      <c r="C71" s="8">
        <v>2</v>
      </c>
      <c r="D71" s="6" t="s">
        <v>351</v>
      </c>
      <c r="E71" s="6" t="s">
        <v>352</v>
      </c>
      <c r="F71" s="6" t="s">
        <v>339</v>
      </c>
      <c r="G71" s="6" t="s">
        <v>349</v>
      </c>
      <c r="H71" s="6" t="s">
        <v>121</v>
      </c>
      <c r="I71" s="6" t="s">
        <v>122</v>
      </c>
      <c r="J71" s="6" t="s">
        <v>123</v>
      </c>
      <c r="K71" s="9" t="s">
        <v>114</v>
      </c>
      <c r="L71" s="9"/>
      <c r="M71" s="8">
        <v>3</v>
      </c>
      <c r="N71" s="10">
        <v>0.02</v>
      </c>
      <c r="O71" s="10">
        <v>0.01</v>
      </c>
      <c r="P71" s="6" t="s">
        <v>124</v>
      </c>
      <c r="Q71" s="11">
        <f>IF($K71="Yes",$C71*Cost!$B$6,0)</f>
        <v>10</v>
      </c>
      <c r="R71" s="12">
        <f>IF($K71&lt;&gt;"Yes",0,IF(AND($P71="Estimate",$N71&gt;0,$B71&lt;&gt;"PCB"),MAX($C71*Cost!$B$6*$N71,Cost!$B$8),$C71*Cost!$B$6*$N71))</f>
        <v>0.2</v>
      </c>
      <c r="S71" s="12">
        <f>IF($K71="Yes",$C71*Cost!$B$7*$O71,0)</f>
        <v>2</v>
      </c>
      <c r="T71" s="6"/>
      <c r="U71" s="13" t="str">
        <f>IF(AND($K71="Yes",$M71&gt;0,$B71&lt;&gt;"PCB"),IF(LEFT($H71,7)="Generic","G|"&amp;$E71&amp;"|"&amp;$F71&amp;"|"&amp;$G71,"M|"&amp;$H71),"")</f>
        <v>G|MMBT3904 / MMBT3906|SOT-23|40 V</v>
      </c>
      <c r="V71" s="14">
        <f>IF($U71="",0,IF(COUNTIF($U$4:$U71,$U71)=1,1,0))</f>
        <v>1</v>
      </c>
    </row>
    <row r="72" spans="1:22" ht="29.25" customHeight="1">
      <c r="A72" s="61" t="s">
        <v>58</v>
      </c>
      <c r="B72" s="6" t="s">
        <v>353</v>
      </c>
      <c r="C72" s="8">
        <v>1</v>
      </c>
      <c r="D72" s="6" t="s">
        <v>354</v>
      </c>
      <c r="E72" s="6" t="s">
        <v>355</v>
      </c>
      <c r="F72" s="6" t="s">
        <v>339</v>
      </c>
      <c r="G72" s="6" t="s">
        <v>349</v>
      </c>
      <c r="H72" s="6" t="s">
        <v>121</v>
      </c>
      <c r="I72" s="6" t="s">
        <v>122</v>
      </c>
      <c r="J72" s="6" t="s">
        <v>123</v>
      </c>
      <c r="K72" s="9" t="s">
        <v>114</v>
      </c>
      <c r="L72" s="9"/>
      <c r="M72" s="8">
        <v>3</v>
      </c>
      <c r="N72" s="10">
        <v>0.02</v>
      </c>
      <c r="O72" s="10">
        <v>0.01</v>
      </c>
      <c r="P72" s="6" t="s">
        <v>124</v>
      </c>
      <c r="Q72" s="11">
        <f>IF($K72="Yes",$C72*Cost!$B$6,0)</f>
        <v>5</v>
      </c>
      <c r="R72" s="12">
        <f>IF($K72&lt;&gt;"Yes",0,IF(AND($P72="Estimate",$N72&gt;0,$B72&lt;&gt;"PCB"),MAX($C72*Cost!$B$6*$N72,Cost!$B$8),$C72*Cost!$B$6*$N72))</f>
        <v>0.1</v>
      </c>
      <c r="S72" s="12">
        <f>IF($K72="Yes",$C72*Cost!$B$7*$O72,0)</f>
        <v>1</v>
      </c>
      <c r="T72" s="6"/>
      <c r="U72" s="13" t="str">
        <f>IF(AND($K72="Yes",$M72&gt;0,$B72&lt;&gt;"PCB"),IF(LEFT($H72,7)="Generic","G|"&amp;$E72&amp;"|"&amp;$F72&amp;"|"&amp;$G72,"M|"&amp;$H72),"")</f>
        <v>G|MMBT3904|SOT-23|40 V</v>
      </c>
      <c r="V72" s="14">
        <f>IF($U72="",0,IF(COUNTIF($U$4:$U72,$U72)=1,1,0))</f>
        <v>1</v>
      </c>
    </row>
    <row r="73" spans="1:22" ht="29.25" customHeight="1">
      <c r="A73" s="61" t="s">
        <v>58</v>
      </c>
      <c r="B73" s="6" t="s">
        <v>356</v>
      </c>
      <c r="C73" s="8">
        <v>2</v>
      </c>
      <c r="D73" s="6" t="s">
        <v>357</v>
      </c>
      <c r="E73" s="6" t="s">
        <v>358</v>
      </c>
      <c r="F73" s="6" t="s">
        <v>339</v>
      </c>
      <c r="G73" s="6" t="s">
        <v>359</v>
      </c>
      <c r="H73" s="6" t="s">
        <v>121</v>
      </c>
      <c r="I73" s="6" t="s">
        <v>122</v>
      </c>
      <c r="J73" s="6" t="s">
        <v>123</v>
      </c>
      <c r="K73" s="9" t="s">
        <v>114</v>
      </c>
      <c r="L73" s="9"/>
      <c r="M73" s="8">
        <v>3</v>
      </c>
      <c r="N73" s="10">
        <v>0.02</v>
      </c>
      <c r="O73" s="10">
        <v>0.01</v>
      </c>
      <c r="P73" s="6" t="s">
        <v>124</v>
      </c>
      <c r="Q73" s="11">
        <f>IF($K73="Yes",$C73*Cost!$B$6,0)</f>
        <v>10</v>
      </c>
      <c r="R73" s="12">
        <f>IF($K73&lt;&gt;"Yes",0,IF(AND($P73="Estimate",$N73&gt;0,$B73&lt;&gt;"PCB"),MAX($C73*Cost!$B$6*$N73,Cost!$B$8),$C73*Cost!$B$6*$N73))</f>
        <v>0.2</v>
      </c>
      <c r="S73" s="12">
        <f>IF($K73="Yes",$C73*Cost!$B$7*$O73,0)</f>
        <v>2</v>
      </c>
      <c r="T73" s="6"/>
      <c r="U73" s="13" t="str">
        <f>IF(AND($K73="Yes",$M73&gt;0,$B73&lt;&gt;"PCB"),IF(LEFT($H73,7)="Generic","G|"&amp;$E73&amp;"|"&amp;$F73&amp;"|"&amp;$G73,"M|"&amp;$H73),"")</f>
        <v>G|2N7002|SOT-23|60 V</v>
      </c>
      <c r="V73" s="14">
        <f>IF($U73="",0,IF(COUNTIF($U$4:$U73,$U73)=1,1,0))</f>
        <v>1</v>
      </c>
    </row>
    <row r="74" spans="1:22" ht="29.25" customHeight="1">
      <c r="A74" s="61" t="s">
        <v>58</v>
      </c>
      <c r="B74" s="6" t="s">
        <v>360</v>
      </c>
      <c r="C74" s="8">
        <v>8</v>
      </c>
      <c r="D74" s="6" t="s">
        <v>361</v>
      </c>
      <c r="E74" s="6" t="s">
        <v>362</v>
      </c>
      <c r="F74" s="6" t="s">
        <v>119</v>
      </c>
      <c r="G74" s="6" t="s">
        <v>120</v>
      </c>
      <c r="H74" s="6" t="s">
        <v>121</v>
      </c>
      <c r="I74" s="6" t="s">
        <v>122</v>
      </c>
      <c r="J74" s="6" t="s">
        <v>123</v>
      </c>
      <c r="K74" s="9" t="s">
        <v>114</v>
      </c>
      <c r="L74" s="9"/>
      <c r="M74" s="8">
        <v>2</v>
      </c>
      <c r="N74" s="10">
        <v>4.0000000000000001E-3</v>
      </c>
      <c r="O74" s="10">
        <v>1E-3</v>
      </c>
      <c r="P74" s="6" t="s">
        <v>124</v>
      </c>
      <c r="Q74" s="11">
        <f>IF($K74="Yes",$C74*Cost!$B$6,0)</f>
        <v>40</v>
      </c>
      <c r="R74" s="12">
        <f>IF($K74&lt;&gt;"Yes",0,IF(AND($P74="Estimate",$N74&gt;0,$B74&lt;&gt;"PCB"),MAX($C74*Cost!$B$6*$N74,Cost!$B$8),$C74*Cost!$B$6*$N74))</f>
        <v>0.16</v>
      </c>
      <c r="S74" s="12">
        <f>IF($K74="Yes",$C74*Cost!$B$7*$O74,0)</f>
        <v>0.8</v>
      </c>
      <c r="T74" s="6"/>
      <c r="U74" s="13" t="str">
        <f>IF(AND($K74="Yes",$M74&gt;0,$B74&lt;&gt;"PCB"),IF(LEFT($H74,7)="Generic","G|"&amp;$E74&amp;"|"&amp;$F74&amp;"|"&amp;$G74,"M|"&amp;$H74),"")</f>
        <v>G|10–100 kΩ|0402|1%</v>
      </c>
      <c r="V74" s="14">
        <f>IF($U74="",0,IF(COUNTIF($U$4:$U74,$U74)=1,1,0))</f>
        <v>1</v>
      </c>
    </row>
    <row r="75" spans="1:22" ht="29.25" customHeight="1">
      <c r="A75" s="61" t="s">
        <v>58</v>
      </c>
      <c r="B75" s="6" t="s">
        <v>363</v>
      </c>
      <c r="C75" s="8">
        <v>1</v>
      </c>
      <c r="D75" s="6" t="s">
        <v>364</v>
      </c>
      <c r="E75" s="6" t="s">
        <v>166</v>
      </c>
      <c r="F75" s="6" t="s">
        <v>119</v>
      </c>
      <c r="G75" s="6" t="s">
        <v>167</v>
      </c>
      <c r="H75" s="6" t="s">
        <v>121</v>
      </c>
      <c r="I75" s="6" t="s">
        <v>122</v>
      </c>
      <c r="J75" s="6" t="s">
        <v>123</v>
      </c>
      <c r="K75" s="9" t="s">
        <v>114</v>
      </c>
      <c r="L75" s="9"/>
      <c r="M75" s="8">
        <v>2</v>
      </c>
      <c r="N75" s="10">
        <v>5.0000000000000001E-3</v>
      </c>
      <c r="O75" s="10">
        <v>1.5E-3</v>
      </c>
      <c r="P75" s="6" t="s">
        <v>124</v>
      </c>
      <c r="Q75" s="11">
        <f>IF($K75="Yes",$C75*Cost!$B$6,0)</f>
        <v>5</v>
      </c>
      <c r="R75" s="12">
        <f>IF($K75&lt;&gt;"Yes",0,IF(AND($P75="Estimate",$N75&gt;0,$B75&lt;&gt;"PCB"),MAX($C75*Cost!$B$6*$N75,Cost!$B$8),$C75*Cost!$B$6*$N75))</f>
        <v>0.1</v>
      </c>
      <c r="S75" s="12">
        <f>IF($K75="Yes",$C75*Cost!$B$7*$O75,0)</f>
        <v>0.15</v>
      </c>
      <c r="T75" s="6"/>
      <c r="U75" s="13" t="str">
        <f>IF(AND($K75="Yes",$M75&gt;0,$B75&lt;&gt;"PCB"),IF(LEFT($H75,7)="Generic","G|"&amp;$E75&amp;"|"&amp;$F75&amp;"|"&amp;$G75,"M|"&amp;$H75),"")</f>
        <v>G|100 nF|0402|16 V X7R</v>
      </c>
      <c r="V75" s="14">
        <f>IF($U75="",0,IF(COUNTIF($U$4:$U75,$U75)=1,1,0))</f>
        <v>0</v>
      </c>
    </row>
    <row r="76" spans="1:22" ht="29.25" customHeight="1">
      <c r="A76" s="62" t="s">
        <v>60</v>
      </c>
      <c r="B76" s="6" t="s">
        <v>365</v>
      </c>
      <c r="C76" s="8">
        <v>1</v>
      </c>
      <c r="D76" s="6" t="s">
        <v>366</v>
      </c>
      <c r="E76" s="6" t="s">
        <v>108</v>
      </c>
      <c r="F76" s="6" t="s">
        <v>367</v>
      </c>
      <c r="G76" s="6" t="s">
        <v>368</v>
      </c>
      <c r="H76" s="6" t="s">
        <v>369</v>
      </c>
      <c r="I76" s="6" t="s">
        <v>370</v>
      </c>
      <c r="J76" s="6" t="s">
        <v>113</v>
      </c>
      <c r="K76" s="9" t="s">
        <v>114</v>
      </c>
      <c r="L76" s="9"/>
      <c r="M76" s="8">
        <v>0</v>
      </c>
      <c r="N76" s="10">
        <v>6.8655999999999997</v>
      </c>
      <c r="O76" s="10">
        <v>4.2767999999999997</v>
      </c>
      <c r="P76" s="6" t="s">
        <v>115</v>
      </c>
      <c r="Q76" s="11">
        <f>IF($K76="Yes",$C76*Cost!$B$6,0)</f>
        <v>5</v>
      </c>
      <c r="R76" s="12">
        <f>IF($K76&lt;&gt;"Yes",0,IF(AND($P76="Estimate",$N76&gt;0,$B76&lt;&gt;"PCB"),MAX($C76*Cost!$B$6*$N76,Cost!$B$8),$C76*Cost!$B$6*$N76))</f>
        <v>34.327999999999996</v>
      </c>
      <c r="S76" s="12">
        <f>IF($K76="Yes",$C76*Cost!$B$7*$O76,0)</f>
        <v>427.67999999999995</v>
      </c>
      <c r="T76" s="6" t="s">
        <v>371</v>
      </c>
      <c r="U76" s="13" t="str">
        <f>IF(AND($K76="Yes",$M76&gt;0,$B76&lt;&gt;"PCB"),IF(LEFT($H76,7)="Generic","G|"&amp;$E76&amp;"|"&amp;$F76&amp;"|"&amp;$G76,"M|"&amp;$H76),"")</f>
        <v/>
      </c>
      <c r="V76" s="14">
        <f>IF($U76="",0,IF(COUNTIF($U$4:$U76,$U76)=1,1,0))</f>
        <v>0</v>
      </c>
    </row>
    <row r="77" spans="1:22" ht="29.25" customHeight="1">
      <c r="A77" s="61" t="s">
        <v>60</v>
      </c>
      <c r="B77" s="6" t="s">
        <v>372</v>
      </c>
      <c r="C77" s="8">
        <v>1</v>
      </c>
      <c r="D77" s="6" t="s">
        <v>373</v>
      </c>
      <c r="E77" s="6" t="s">
        <v>108</v>
      </c>
      <c r="F77" s="6" t="s">
        <v>109</v>
      </c>
      <c r="G77" s="6" t="s">
        <v>374</v>
      </c>
      <c r="H77" s="6" t="s">
        <v>375</v>
      </c>
      <c r="I77" s="6" t="s">
        <v>376</v>
      </c>
      <c r="J77" s="6" t="s">
        <v>113</v>
      </c>
      <c r="K77" s="9" t="s">
        <v>114</v>
      </c>
      <c r="L77" s="9"/>
      <c r="M77" s="8">
        <v>6</v>
      </c>
      <c r="N77" s="10">
        <v>0.29210000000000003</v>
      </c>
      <c r="O77" s="10">
        <v>0.2326</v>
      </c>
      <c r="P77" s="6" t="s">
        <v>115</v>
      </c>
      <c r="Q77" s="11">
        <f>IF($K77="Yes",$C77*Cost!$B$6,0)</f>
        <v>5</v>
      </c>
      <c r="R77" s="12">
        <f>IF($K77&lt;&gt;"Yes",0,IF(AND($P77="Estimate",$N77&gt;0,$B77&lt;&gt;"PCB"),MAX($C77*Cost!$B$6*$N77,Cost!$B$8),$C77*Cost!$B$6*$N77))</f>
        <v>1.4605000000000001</v>
      </c>
      <c r="S77" s="12">
        <f>IF($K77="Yes",$C77*Cost!$B$7*$O77,0)</f>
        <v>23.26</v>
      </c>
      <c r="T77" s="6"/>
      <c r="U77" s="13" t="str">
        <f>IF(AND($K77="Yes",$M77&gt;0,$B77&lt;&gt;"PCB"),IF(LEFT($H77,7)="Generic","G|"&amp;$E77&amp;"|"&amp;$F77&amp;"|"&amp;$G77,"M|"&amp;$H77),"")</f>
        <v>M|HRO PJ-332A-6A</v>
      </c>
      <c r="V77" s="14">
        <f>IF($U77="",0,IF(COUNTIF($U$4:$U77,$U77)=1,1,0))</f>
        <v>1</v>
      </c>
    </row>
    <row r="78" spans="1:22" ht="29.25" customHeight="1">
      <c r="A78" s="61" t="s">
        <v>60</v>
      </c>
      <c r="B78" s="6" t="s">
        <v>377</v>
      </c>
      <c r="C78" s="8">
        <v>4</v>
      </c>
      <c r="D78" s="6" t="s">
        <v>378</v>
      </c>
      <c r="E78" s="6" t="s">
        <v>379</v>
      </c>
      <c r="F78" s="6" t="s">
        <v>380</v>
      </c>
      <c r="G78" s="6" t="s">
        <v>381</v>
      </c>
      <c r="H78" s="6" t="s">
        <v>382</v>
      </c>
      <c r="I78" s="6" t="s">
        <v>383</v>
      </c>
      <c r="J78" s="6" t="s">
        <v>113</v>
      </c>
      <c r="K78" s="9" t="s">
        <v>114</v>
      </c>
      <c r="L78" s="9"/>
      <c r="M78" s="8">
        <v>2</v>
      </c>
      <c r="N78" s="10">
        <v>0.06</v>
      </c>
      <c r="O78" s="10">
        <v>3.1800000000000002E-2</v>
      </c>
      <c r="P78" s="6" t="s">
        <v>115</v>
      </c>
      <c r="Q78" s="11">
        <f>IF($K78="Yes",$C78*Cost!$B$6,0)</f>
        <v>20</v>
      </c>
      <c r="R78" s="12">
        <f>IF($K78&lt;&gt;"Yes",0,IF(AND($P78="Estimate",$N78&gt;0,$B78&lt;&gt;"PCB"),MAX($C78*Cost!$B$6*$N78,Cost!$B$8),$C78*Cost!$B$6*$N78))</f>
        <v>1.2</v>
      </c>
      <c r="S78" s="12">
        <f>IF($K78="Yes",$C78*Cost!$B$7*$O78,0)</f>
        <v>12.72</v>
      </c>
      <c r="T78" s="6"/>
      <c r="U78" s="13" t="str">
        <f>IF(AND($K78="Yes",$M78&gt;0,$B78&lt;&gt;"PCB"),IF(LEFT($H78,7)="Generic","G|"&amp;$E78&amp;"|"&amp;$F78&amp;"|"&amp;$G78,"M|"&amp;$H78),"")</f>
        <v>M|Nexperia PESD15VL1BA,115</v>
      </c>
      <c r="V78" s="14">
        <f>IF($U78="",0,IF(COUNTIF($U$4:$U78,$U78)=1,1,0))</f>
        <v>1</v>
      </c>
    </row>
    <row r="79" spans="1:22" ht="29.25" customHeight="1">
      <c r="A79" s="61" t="s">
        <v>60</v>
      </c>
      <c r="B79" s="6" t="s">
        <v>384</v>
      </c>
      <c r="C79" s="8">
        <v>2</v>
      </c>
      <c r="D79" s="6" t="s">
        <v>385</v>
      </c>
      <c r="E79" s="6" t="s">
        <v>108</v>
      </c>
      <c r="F79" s="6" t="s">
        <v>128</v>
      </c>
      <c r="G79" s="6" t="s">
        <v>108</v>
      </c>
      <c r="H79" s="6" t="s">
        <v>121</v>
      </c>
      <c r="I79" s="6" t="s">
        <v>122</v>
      </c>
      <c r="J79" s="6" t="s">
        <v>123</v>
      </c>
      <c r="K79" s="9" t="s">
        <v>114</v>
      </c>
      <c r="L79" s="9"/>
      <c r="M79" s="8">
        <v>2</v>
      </c>
      <c r="N79" s="10">
        <v>1.2E-2</v>
      </c>
      <c r="O79" s="10">
        <v>6.0000000000000001E-3</v>
      </c>
      <c r="P79" s="6" t="s">
        <v>124</v>
      </c>
      <c r="Q79" s="11">
        <f>IF($K79="Yes",$C79*Cost!$B$6,0)</f>
        <v>10</v>
      </c>
      <c r="R79" s="12">
        <f>IF($K79&lt;&gt;"Yes",0,IF(AND($P79="Estimate",$N79&gt;0,$B79&lt;&gt;"PCB"),MAX($C79*Cost!$B$6*$N79,Cost!$B$8),$C79*Cost!$B$6*$N79))</f>
        <v>0.12</v>
      </c>
      <c r="S79" s="12">
        <f>IF($K79="Yes",$C79*Cost!$B$7*$O79,0)</f>
        <v>1.2</v>
      </c>
      <c r="T79" s="6"/>
      <c r="U79" s="13" t="str">
        <f>IF(AND($K79="Yes",$M79&gt;0,$B79&lt;&gt;"PCB"),IF(LEFT($H79,7)="Generic","G|"&amp;$E79&amp;"|"&amp;$F79&amp;"|"&amp;$G79,"M|"&amp;$H79),"")</f>
        <v>G|—|0603|—</v>
      </c>
      <c r="V79" s="14">
        <f>IF($U79="",0,IF(COUNTIF($U$4:$U79,$U79)=1,1,0))</f>
        <v>1</v>
      </c>
    </row>
    <row r="80" spans="1:22" ht="29.25" customHeight="1">
      <c r="A80" s="61" t="s">
        <v>60</v>
      </c>
      <c r="B80" s="6" t="s">
        <v>386</v>
      </c>
      <c r="C80" s="8">
        <v>2</v>
      </c>
      <c r="D80" s="6" t="s">
        <v>387</v>
      </c>
      <c r="E80" s="6" t="s">
        <v>388</v>
      </c>
      <c r="F80" s="6" t="s">
        <v>119</v>
      </c>
      <c r="G80" s="6" t="s">
        <v>120</v>
      </c>
      <c r="H80" s="6" t="s">
        <v>121</v>
      </c>
      <c r="I80" s="6" t="s">
        <v>122</v>
      </c>
      <c r="J80" s="6" t="s">
        <v>123</v>
      </c>
      <c r="K80" s="9" t="s">
        <v>114</v>
      </c>
      <c r="L80" s="9"/>
      <c r="M80" s="8">
        <v>2</v>
      </c>
      <c r="N80" s="10">
        <v>4.0000000000000001E-3</v>
      </c>
      <c r="O80" s="10">
        <v>1E-3</v>
      </c>
      <c r="P80" s="6" t="s">
        <v>124</v>
      </c>
      <c r="Q80" s="11">
        <f>IF($K80="Yes",$C80*Cost!$B$6,0)</f>
        <v>10</v>
      </c>
      <c r="R80" s="12">
        <f>IF($K80&lt;&gt;"Yes",0,IF(AND($P80="Estimate",$N80&gt;0,$B80&lt;&gt;"PCB"),MAX($C80*Cost!$B$6*$N80,Cost!$B$8),$C80*Cost!$B$6*$N80))</f>
        <v>0.1</v>
      </c>
      <c r="S80" s="12">
        <f>IF($K80="Yes",$C80*Cost!$B$7*$O80,0)</f>
        <v>0.2</v>
      </c>
      <c r="T80" s="6"/>
      <c r="U80" s="13" t="str">
        <f>IF(AND($K80="Yes",$M80&gt;0,$B80&lt;&gt;"PCB"),IF(LEFT($H80,7)="Generic","G|"&amp;$E80&amp;"|"&amp;$F80&amp;"|"&amp;$G80,"M|"&amp;$H80),"")</f>
        <v>G|1 kΩ|0402|1%</v>
      </c>
      <c r="V80" s="14">
        <f>IF($U80="",0,IF(COUNTIF($U$4:$U80,$U80)=1,1,0))</f>
        <v>1</v>
      </c>
    </row>
    <row r="81" spans="1:22" ht="29.25" customHeight="1">
      <c r="A81" s="61" t="s">
        <v>60</v>
      </c>
      <c r="B81" s="6" t="s">
        <v>389</v>
      </c>
      <c r="C81" s="8">
        <v>1</v>
      </c>
      <c r="D81" s="6" t="s">
        <v>390</v>
      </c>
      <c r="E81" s="6" t="s">
        <v>391</v>
      </c>
      <c r="F81" s="6" t="s">
        <v>392</v>
      </c>
      <c r="G81" s="6" t="s">
        <v>108</v>
      </c>
      <c r="H81" s="6" t="s">
        <v>190</v>
      </c>
      <c r="I81" s="6" t="s">
        <v>122</v>
      </c>
      <c r="J81" s="6" t="s">
        <v>108</v>
      </c>
      <c r="K81" s="9" t="s">
        <v>393</v>
      </c>
      <c r="L81" s="9"/>
      <c r="M81" s="8">
        <v>0</v>
      </c>
      <c r="N81" s="10">
        <v>0.1</v>
      </c>
      <c r="O81" s="10">
        <v>0.05</v>
      </c>
      <c r="P81" s="6" t="s">
        <v>124</v>
      </c>
      <c r="Q81" s="11">
        <f>IF($K81="Yes",$C81*Cost!$B$6,0)</f>
        <v>0</v>
      </c>
      <c r="R81" s="12">
        <f>IF($K81&lt;&gt;"Yes",0,IF(AND($P81="Estimate",$N81&gt;0,$B81&lt;&gt;"PCB"),MAX($C81*Cost!$B$6*$N81,Cost!$B$8),$C81*Cost!$B$6*$N81))</f>
        <v>0</v>
      </c>
      <c r="S81" s="12">
        <f>IF($K81="Yes",$C81*Cost!$B$7*$O81,0)</f>
        <v>0</v>
      </c>
      <c r="T81" s="6"/>
      <c r="U81" s="13" t="str">
        <f>IF(AND($K81="Yes",$M81&gt;0,$B81&lt;&gt;"PCB"),IF(LEFT($H81,7)="Generic","G|"&amp;$E81&amp;"|"&amp;$F81&amp;"|"&amp;$G81,"M|"&amp;$H81),"")</f>
        <v/>
      </c>
      <c r="V81" s="14">
        <f>IF($U81="",0,IF(COUNTIF($U$4:$U81,$U81)=1,1,0))</f>
        <v>0</v>
      </c>
    </row>
    <row r="82" spans="1:22" ht="29.25" customHeight="1">
      <c r="A82" s="61" t="s">
        <v>60</v>
      </c>
      <c r="B82" s="6" t="s">
        <v>394</v>
      </c>
      <c r="C82" s="8">
        <v>24</v>
      </c>
      <c r="D82" s="6" t="s">
        <v>395</v>
      </c>
      <c r="E82" s="6" t="s">
        <v>108</v>
      </c>
      <c r="F82" s="6" t="s">
        <v>396</v>
      </c>
      <c r="G82" s="6" t="s">
        <v>108</v>
      </c>
      <c r="H82" s="6" t="s">
        <v>205</v>
      </c>
      <c r="I82" s="6" t="s">
        <v>108</v>
      </c>
      <c r="J82" s="6" t="s">
        <v>108</v>
      </c>
      <c r="K82" s="9" t="s">
        <v>205</v>
      </c>
      <c r="L82" s="9"/>
      <c r="M82" s="8">
        <v>0</v>
      </c>
      <c r="N82" s="10">
        <v>0</v>
      </c>
      <c r="O82" s="10">
        <v>0</v>
      </c>
      <c r="P82" s="6" t="s">
        <v>124</v>
      </c>
      <c r="Q82" s="11">
        <f>IF($K82="Yes",$C82*Cost!$B$6,0)</f>
        <v>0</v>
      </c>
      <c r="R82" s="12">
        <f>IF($K82&lt;&gt;"Yes",0,IF(AND($P82="Estimate",$N82&gt;0,$B82&lt;&gt;"PCB"),MAX($C82*Cost!$B$6*$N82,Cost!$B$8),$C82*Cost!$B$6*$N82))</f>
        <v>0</v>
      </c>
      <c r="S82" s="12">
        <f>IF($K82="Yes",$C82*Cost!$B$7*$O82,0)</f>
        <v>0</v>
      </c>
      <c r="T82" s="6"/>
      <c r="U82" s="13" t="str">
        <f>IF(AND($K82="Yes",$M82&gt;0,$B82&lt;&gt;"PCB"),IF(LEFT($H82,7)="Generic","G|"&amp;$E82&amp;"|"&amp;$F82&amp;"|"&amp;$G82,"M|"&amp;$H82),"")</f>
        <v/>
      </c>
      <c r="V82" s="14">
        <f>IF($U82="",0,IF(COUNTIF($U$4:$U82,$U82)=1,1,0))</f>
        <v>0</v>
      </c>
    </row>
    <row r="83" spans="1:22" ht="29.25" customHeight="1">
      <c r="A83" s="61" t="s">
        <v>60</v>
      </c>
      <c r="B83" s="6" t="s">
        <v>397</v>
      </c>
      <c r="C83" s="8">
        <v>7</v>
      </c>
      <c r="D83" s="6" t="s">
        <v>398</v>
      </c>
      <c r="E83" s="6" t="s">
        <v>108</v>
      </c>
      <c r="F83" s="6" t="s">
        <v>108</v>
      </c>
      <c r="G83" s="6" t="s">
        <v>108</v>
      </c>
      <c r="H83" s="6" t="s">
        <v>205</v>
      </c>
      <c r="I83" s="6" t="s">
        <v>108</v>
      </c>
      <c r="J83" s="6" t="s">
        <v>108</v>
      </c>
      <c r="K83" s="9" t="s">
        <v>205</v>
      </c>
      <c r="L83" s="9"/>
      <c r="M83" s="8">
        <v>0</v>
      </c>
      <c r="N83" s="10">
        <v>0</v>
      </c>
      <c r="O83" s="10">
        <v>0</v>
      </c>
      <c r="P83" s="6" t="s">
        <v>124</v>
      </c>
      <c r="Q83" s="11">
        <f>IF($K83="Yes",$C83*Cost!$B$6,0)</f>
        <v>0</v>
      </c>
      <c r="R83" s="12">
        <f>IF($K83&lt;&gt;"Yes",0,IF(AND($P83="Estimate",$N83&gt;0,$B83&lt;&gt;"PCB"),MAX($C83*Cost!$B$6*$N83,Cost!$B$8),$C83*Cost!$B$6*$N83))</f>
        <v>0</v>
      </c>
      <c r="S83" s="12">
        <f>IF($K83="Yes",$C83*Cost!$B$7*$O83,0)</f>
        <v>0</v>
      </c>
      <c r="T83" s="6"/>
      <c r="U83" s="13" t="str">
        <f>IF(AND($K83="Yes",$M83&gt;0,$B83&lt;&gt;"PCB"),IF(LEFT($H83,7)="Generic","G|"&amp;$E83&amp;"|"&amp;$F83&amp;"|"&amp;$G83,"M|"&amp;$H83),"")</f>
        <v/>
      </c>
      <c r="V83" s="14">
        <f>IF($U83="",0,IF(COUNTIF($U$4:$U83,$U83)=1,1,0))</f>
        <v>0</v>
      </c>
    </row>
    <row r="84" spans="1:22" ht="29.25" customHeight="1">
      <c r="A84" s="61" t="s">
        <v>60</v>
      </c>
      <c r="B84" s="6" t="s">
        <v>399</v>
      </c>
      <c r="C84" s="8">
        <v>1</v>
      </c>
      <c r="D84" s="6" t="s">
        <v>400</v>
      </c>
      <c r="E84" s="6" t="s">
        <v>108</v>
      </c>
      <c r="F84" s="6" t="s">
        <v>108</v>
      </c>
      <c r="G84" s="6" t="s">
        <v>401</v>
      </c>
      <c r="H84" s="6" t="s">
        <v>401</v>
      </c>
      <c r="I84" s="6" t="s">
        <v>401</v>
      </c>
      <c r="J84" s="6" t="s">
        <v>108</v>
      </c>
      <c r="K84" s="9" t="s">
        <v>114</v>
      </c>
      <c r="L84" s="9"/>
      <c r="M84" s="8">
        <v>0</v>
      </c>
      <c r="N84" s="10">
        <v>2</v>
      </c>
      <c r="O84" s="10">
        <v>0.8</v>
      </c>
      <c r="P84" s="6" t="s">
        <v>124</v>
      </c>
      <c r="Q84" s="11">
        <f>IF($K84="Yes",$C84*Cost!$B$6,0)</f>
        <v>5</v>
      </c>
      <c r="R84" s="12">
        <f>IF($K84&lt;&gt;"Yes",0,IF(AND($P84="Estimate",$N84&gt;0,$B84&lt;&gt;"PCB"),MAX($C84*Cost!$B$6*$N84,Cost!$B$8),$C84*Cost!$B$6*$N84))</f>
        <v>10</v>
      </c>
      <c r="S84" s="12">
        <f>IF($K84="Yes",$C84*Cost!$B$7*$O84,0)</f>
        <v>80</v>
      </c>
      <c r="T84" s="6"/>
      <c r="U84" s="13" t="str">
        <f>IF(AND($K84="Yes",$M84&gt;0,$B84&lt;&gt;"PCB"),IF(LEFT($H84,7)="Generic","G|"&amp;$E84&amp;"|"&amp;$F84&amp;"|"&amp;$G84,"M|"&amp;$H84),"")</f>
        <v/>
      </c>
      <c r="V84" s="14">
        <f>IF($U84="",0,IF(COUNTIF($U$4:$U84,$U84)=1,1,0))</f>
        <v>0</v>
      </c>
    </row>
    <row r="85" spans="1:2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spans="1:22" ht="15" customHeight="1">
      <c r="A86" s="15" t="s">
        <v>402</v>
      </c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6">
        <f>SUM(Q4:Q84)</f>
        <v>915</v>
      </c>
      <c r="R86" s="17">
        <f>SUM(R4:R84)</f>
        <v>151.67649999999992</v>
      </c>
      <c r="S86" s="17">
        <f>SUM(S4:S84)</f>
        <v>1997.1999999999998</v>
      </c>
      <c r="T86" s="15"/>
      <c r="U86" s="15"/>
      <c r="V86" s="15"/>
    </row>
    <row r="87" spans="1:22" ht="15" customHeight="1">
      <c r="A87" s="15" t="s">
        <v>403</v>
      </c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7">
        <f>SUMIFS(R4:R84,B4:B84,"&lt;&gt;PCB")</f>
        <v>141.67649999999992</v>
      </c>
      <c r="S87" s="17">
        <f>SUMIFS(S4:S84,B4:B84,"&lt;&gt;PCB")</f>
        <v>1917.1999999999998</v>
      </c>
      <c r="T87" s="15"/>
      <c r="U87" s="15"/>
      <c r="V87" s="15"/>
    </row>
  </sheetData>
  <mergeCells count="2">
    <mergeCell ref="A1:V1"/>
    <mergeCell ref="A2:V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3F1DD-5BC0-4212-BD81-B2A1E84A94BD}">
  <dimension ref="A1:Q59"/>
  <sheetViews>
    <sheetView workbookViewId="0">
      <pane xSplit="3" ySplit="3" topLeftCell="D4" activePane="bottomRight" state="frozen"/>
      <selection pane="bottomRight"/>
      <selection pane="bottomLeft"/>
      <selection pane="topRight"/>
    </sheetView>
  </sheetViews>
  <sheetFormatPr defaultRowHeight="15"/>
  <cols>
    <col min="1" max="1" width="7.42578125" customWidth="1"/>
    <col min="2" max="2" width="25.42578125" customWidth="1"/>
    <col min="3" max="3" width="29.42578125" customWidth="1"/>
    <col min="4" max="4" width="16.42578125" customWidth="1"/>
    <col min="5" max="5" width="17.42578125" customWidth="1"/>
    <col min="6" max="6" width="25.42578125" customWidth="1"/>
    <col min="7" max="7" width="21.42578125" customWidth="1"/>
    <col min="8" max="8" width="14.42578125" customWidth="1"/>
    <col min="9" max="9" width="37.42578125" customWidth="1"/>
    <col min="10" max="10" width="10.42578125" customWidth="1"/>
    <col min="11" max="11" width="11.42578125" customWidth="1"/>
    <col min="12" max="13" width="12.42578125" customWidth="1"/>
    <col min="14" max="15" width="10.42578125" customWidth="1"/>
    <col min="16" max="17" width="13.42578125" customWidth="1"/>
  </cols>
  <sheetData>
    <row r="1" spans="1:17" ht="21.75" customHeight="1">
      <c r="A1" s="55" t="s">
        <v>404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</row>
    <row r="2" spans="1:17" ht="30" customHeight="1">
      <c r="A2" s="56" t="s">
        <v>405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</row>
    <row r="3" spans="1:17" ht="45" customHeight="1">
      <c r="A3" s="5" t="s">
        <v>406</v>
      </c>
      <c r="B3" s="5" t="s">
        <v>407</v>
      </c>
      <c r="C3" s="5" t="s">
        <v>91</v>
      </c>
      <c r="D3" s="5" t="s">
        <v>4</v>
      </c>
      <c r="E3" s="5" t="s">
        <v>89</v>
      </c>
      <c r="F3" s="5" t="s">
        <v>90</v>
      </c>
      <c r="G3" s="5" t="s">
        <v>92</v>
      </c>
      <c r="H3" s="5" t="s">
        <v>93</v>
      </c>
      <c r="I3" s="5" t="s">
        <v>86</v>
      </c>
      <c r="J3" s="5" t="s">
        <v>87</v>
      </c>
      <c r="K3" s="5" t="s">
        <v>100</v>
      </c>
      <c r="L3" s="5" t="s">
        <v>408</v>
      </c>
      <c r="M3" s="5" t="s">
        <v>98</v>
      </c>
      <c r="N3" s="5" t="s">
        <v>99</v>
      </c>
      <c r="O3" s="5" t="s">
        <v>95</v>
      </c>
      <c r="P3" s="5" t="s">
        <v>409</v>
      </c>
      <c r="Q3" s="5" t="s">
        <v>410</v>
      </c>
    </row>
    <row r="4" spans="1:17" ht="15.75" customHeight="1">
      <c r="A4" s="8">
        <v>1</v>
      </c>
      <c r="B4" s="6" t="s">
        <v>411</v>
      </c>
      <c r="C4" s="6" t="s">
        <v>369</v>
      </c>
      <c r="D4" s="6" t="s">
        <v>108</v>
      </c>
      <c r="E4" s="6" t="s">
        <v>367</v>
      </c>
      <c r="F4" s="6" t="s">
        <v>368</v>
      </c>
      <c r="G4" s="6" t="s">
        <v>370</v>
      </c>
      <c r="H4" s="6" t="s">
        <v>113</v>
      </c>
      <c r="I4" s="6" t="s">
        <v>365</v>
      </c>
      <c r="J4" s="19">
        <v>1</v>
      </c>
      <c r="K4" s="19">
        <f>$J4*Cost!$B$6</f>
        <v>5</v>
      </c>
      <c r="L4" s="20">
        <v>6.8655999999999997</v>
      </c>
      <c r="M4" s="20">
        <v>4.2767999999999997</v>
      </c>
      <c r="N4" s="9" t="s">
        <v>115</v>
      </c>
      <c r="O4" s="9"/>
      <c r="P4" s="21">
        <f>$K4*$L4</f>
        <v>34.327999999999996</v>
      </c>
      <c r="Q4" s="20">
        <f>$J4*$M4</f>
        <v>4.2767999999999997</v>
      </c>
    </row>
    <row r="5" spans="1:17" ht="29.25" customHeight="1">
      <c r="A5" s="8">
        <v>2</v>
      </c>
      <c r="B5" s="6" t="s">
        <v>412</v>
      </c>
      <c r="C5" s="6" t="s">
        <v>257</v>
      </c>
      <c r="D5" s="6" t="s">
        <v>108</v>
      </c>
      <c r="E5" s="6" t="s">
        <v>255</v>
      </c>
      <c r="F5" s="6" t="s">
        <v>256</v>
      </c>
      <c r="G5" s="6" t="s">
        <v>258</v>
      </c>
      <c r="H5" s="6" t="s">
        <v>113</v>
      </c>
      <c r="I5" s="6" t="s">
        <v>253</v>
      </c>
      <c r="J5" s="19">
        <v>2</v>
      </c>
      <c r="K5" s="19">
        <f>$J5*Cost!$B$6</f>
        <v>10</v>
      </c>
      <c r="L5" s="20">
        <v>2.6271</v>
      </c>
      <c r="M5" s="20">
        <v>2.1107999999999998</v>
      </c>
      <c r="N5" s="9" t="s">
        <v>115</v>
      </c>
      <c r="O5" s="9" t="s">
        <v>114</v>
      </c>
      <c r="P5" s="21">
        <f>$K5*$L5</f>
        <v>26.271000000000001</v>
      </c>
      <c r="Q5" s="20">
        <f>$J5*$M5</f>
        <v>4.2215999999999996</v>
      </c>
    </row>
    <row r="6" spans="1:17" ht="29.25" customHeight="1">
      <c r="A6" s="8">
        <v>3</v>
      </c>
      <c r="B6" s="6" t="s">
        <v>70</v>
      </c>
      <c r="C6" s="6" t="s">
        <v>212</v>
      </c>
      <c r="D6" s="6" t="s">
        <v>108</v>
      </c>
      <c r="E6" s="6" t="s">
        <v>210</v>
      </c>
      <c r="F6" s="6" t="s">
        <v>211</v>
      </c>
      <c r="G6" s="6" t="s">
        <v>213</v>
      </c>
      <c r="H6" s="6" t="s">
        <v>113</v>
      </c>
      <c r="I6" s="6" t="s">
        <v>208</v>
      </c>
      <c r="J6" s="19">
        <v>1</v>
      </c>
      <c r="K6" s="19">
        <f>$J6*Cost!$B$6</f>
        <v>5</v>
      </c>
      <c r="L6" s="20">
        <v>3.4678</v>
      </c>
      <c r="M6" s="20">
        <v>2.278</v>
      </c>
      <c r="N6" s="9" t="s">
        <v>115</v>
      </c>
      <c r="O6" s="9" t="s">
        <v>114</v>
      </c>
      <c r="P6" s="21">
        <f>$K6*$L6</f>
        <v>17.338999999999999</v>
      </c>
      <c r="Q6" s="20">
        <f>$J6*$M6</f>
        <v>2.278</v>
      </c>
    </row>
    <row r="7" spans="1:17" ht="15.75" customHeight="1">
      <c r="A7" s="8">
        <v>4</v>
      </c>
      <c r="B7" s="6" t="s">
        <v>413</v>
      </c>
      <c r="C7" s="6" t="s">
        <v>153</v>
      </c>
      <c r="D7" s="6" t="s">
        <v>108</v>
      </c>
      <c r="E7" s="6" t="s">
        <v>151</v>
      </c>
      <c r="F7" s="6" t="s">
        <v>152</v>
      </c>
      <c r="G7" s="6" t="s">
        <v>154</v>
      </c>
      <c r="H7" s="6" t="s">
        <v>113</v>
      </c>
      <c r="I7" s="6" t="s">
        <v>149</v>
      </c>
      <c r="J7" s="19">
        <v>1</v>
      </c>
      <c r="K7" s="19">
        <f>$J7*Cost!$B$6</f>
        <v>5</v>
      </c>
      <c r="L7" s="20">
        <v>3.45</v>
      </c>
      <c r="M7" s="20">
        <v>2.3304999999999998</v>
      </c>
      <c r="N7" s="9" t="s">
        <v>115</v>
      </c>
      <c r="O7" s="9"/>
      <c r="P7" s="21">
        <f>$K7*$L7</f>
        <v>17.25</v>
      </c>
      <c r="Q7" s="20">
        <f>$J7*$M7</f>
        <v>2.3304999999999998</v>
      </c>
    </row>
    <row r="8" spans="1:17" ht="29.25" customHeight="1">
      <c r="A8" s="8">
        <v>5</v>
      </c>
      <c r="B8" s="6" t="s">
        <v>412</v>
      </c>
      <c r="C8" s="6" t="s">
        <v>270</v>
      </c>
      <c r="D8" s="6" t="s">
        <v>108</v>
      </c>
      <c r="E8" s="6" t="s">
        <v>268</v>
      </c>
      <c r="F8" s="6" t="s">
        <v>269</v>
      </c>
      <c r="G8" s="6" t="s">
        <v>271</v>
      </c>
      <c r="H8" s="6" t="s">
        <v>113</v>
      </c>
      <c r="I8" s="6" t="s">
        <v>266</v>
      </c>
      <c r="J8" s="19">
        <v>2</v>
      </c>
      <c r="K8" s="19">
        <f>$J8*Cost!$B$6</f>
        <v>10</v>
      </c>
      <c r="L8" s="20">
        <v>0.97</v>
      </c>
      <c r="M8" s="20">
        <v>0.83679999999999999</v>
      </c>
      <c r="N8" s="9" t="s">
        <v>115</v>
      </c>
      <c r="O8" s="9"/>
      <c r="P8" s="21">
        <f>$K8*$L8</f>
        <v>9.6999999999999993</v>
      </c>
      <c r="Q8" s="20">
        <f>$J8*$M8</f>
        <v>1.6736</v>
      </c>
    </row>
    <row r="9" spans="1:17" ht="15.75" customHeight="1">
      <c r="A9" s="8">
        <v>6</v>
      </c>
      <c r="B9" s="6" t="s">
        <v>414</v>
      </c>
      <c r="C9" s="6" t="s">
        <v>182</v>
      </c>
      <c r="D9" s="6" t="s">
        <v>108</v>
      </c>
      <c r="E9" s="6" t="s">
        <v>180</v>
      </c>
      <c r="F9" s="6" t="s">
        <v>181</v>
      </c>
      <c r="G9" s="6" t="s">
        <v>183</v>
      </c>
      <c r="H9" s="6" t="s">
        <v>113</v>
      </c>
      <c r="I9" s="6" t="s">
        <v>178</v>
      </c>
      <c r="J9" s="19">
        <v>1</v>
      </c>
      <c r="K9" s="19">
        <f>$J9*Cost!$B$6</f>
        <v>5</v>
      </c>
      <c r="L9" s="20">
        <v>1.6503000000000001</v>
      </c>
      <c r="M9" s="20">
        <v>1.1116999999999999</v>
      </c>
      <c r="N9" s="9" t="s">
        <v>115</v>
      </c>
      <c r="O9" s="9" t="s">
        <v>114</v>
      </c>
      <c r="P9" s="21">
        <f>$K9*$L9</f>
        <v>8.2515000000000001</v>
      </c>
      <c r="Q9" s="20">
        <f>$J9*$M9</f>
        <v>1.1116999999999999</v>
      </c>
    </row>
    <row r="10" spans="1:17" ht="29.25" customHeight="1">
      <c r="A10" s="8">
        <v>7</v>
      </c>
      <c r="B10" s="6" t="s">
        <v>415</v>
      </c>
      <c r="C10" s="6" t="s">
        <v>304</v>
      </c>
      <c r="D10" s="6" t="s">
        <v>301</v>
      </c>
      <c r="E10" s="6" t="s">
        <v>302</v>
      </c>
      <c r="F10" s="6" t="s">
        <v>303</v>
      </c>
      <c r="G10" s="6" t="s">
        <v>305</v>
      </c>
      <c r="H10" s="6" t="s">
        <v>113</v>
      </c>
      <c r="I10" s="6" t="s">
        <v>299</v>
      </c>
      <c r="J10" s="19">
        <v>1</v>
      </c>
      <c r="K10" s="19">
        <f>$J10*Cost!$B$6</f>
        <v>5</v>
      </c>
      <c r="L10" s="20">
        <v>1.1013999999999999</v>
      </c>
      <c r="M10" s="20">
        <v>0.74680000000000002</v>
      </c>
      <c r="N10" s="9" t="s">
        <v>115</v>
      </c>
      <c r="O10" s="9" t="s">
        <v>114</v>
      </c>
      <c r="P10" s="21">
        <f>$K10*$L10</f>
        <v>5.5069999999999997</v>
      </c>
      <c r="Q10" s="20">
        <f>$J10*$M10</f>
        <v>0.74680000000000002</v>
      </c>
    </row>
    <row r="11" spans="1:17" ht="15.75" customHeight="1">
      <c r="A11" s="8">
        <v>8</v>
      </c>
      <c r="B11" s="6" t="s">
        <v>411</v>
      </c>
      <c r="C11" s="6" t="s">
        <v>375</v>
      </c>
      <c r="D11" s="6" t="s">
        <v>108</v>
      </c>
      <c r="E11" s="6" t="s">
        <v>109</v>
      </c>
      <c r="F11" s="6" t="s">
        <v>374</v>
      </c>
      <c r="G11" s="6" t="s">
        <v>376</v>
      </c>
      <c r="H11" s="6" t="s">
        <v>113</v>
      </c>
      <c r="I11" s="6" t="s">
        <v>372</v>
      </c>
      <c r="J11" s="19">
        <v>1</v>
      </c>
      <c r="K11" s="19">
        <f>$J11*Cost!$B$6</f>
        <v>5</v>
      </c>
      <c r="L11" s="20">
        <v>0.29210000000000003</v>
      </c>
      <c r="M11" s="20">
        <v>0.2326</v>
      </c>
      <c r="N11" s="9" t="s">
        <v>115</v>
      </c>
      <c r="O11" s="9"/>
      <c r="P11" s="21">
        <f>$K11*$L11</f>
        <v>1.4605000000000001</v>
      </c>
      <c r="Q11" s="20">
        <f>$J11*$M11</f>
        <v>0.2326</v>
      </c>
    </row>
    <row r="12" spans="1:17" ht="15.75" customHeight="1">
      <c r="A12" s="8">
        <v>9</v>
      </c>
      <c r="B12" s="6" t="s">
        <v>416</v>
      </c>
      <c r="C12" s="6" t="s">
        <v>382</v>
      </c>
      <c r="D12" s="6" t="s">
        <v>379</v>
      </c>
      <c r="E12" s="6" t="s">
        <v>380</v>
      </c>
      <c r="F12" s="6" t="s">
        <v>381</v>
      </c>
      <c r="G12" s="6" t="s">
        <v>383</v>
      </c>
      <c r="H12" s="6" t="s">
        <v>113</v>
      </c>
      <c r="I12" s="6" t="s">
        <v>377</v>
      </c>
      <c r="J12" s="19">
        <v>4</v>
      </c>
      <c r="K12" s="19">
        <f>$J12*Cost!$B$6</f>
        <v>20</v>
      </c>
      <c r="L12" s="20">
        <v>0.06</v>
      </c>
      <c r="M12" s="20">
        <v>3.1800000000000002E-2</v>
      </c>
      <c r="N12" s="9" t="s">
        <v>115</v>
      </c>
      <c r="O12" s="9"/>
      <c r="P12" s="21">
        <f>$K12*$L12</f>
        <v>1.2</v>
      </c>
      <c r="Q12" s="20">
        <f>$J12*$M12</f>
        <v>0.12720000000000001</v>
      </c>
    </row>
    <row r="13" spans="1:17" ht="15.75" customHeight="1">
      <c r="A13" s="8">
        <v>10</v>
      </c>
      <c r="B13" s="6" t="s">
        <v>417</v>
      </c>
      <c r="C13" s="6" t="s">
        <v>111</v>
      </c>
      <c r="D13" s="6" t="s">
        <v>108</v>
      </c>
      <c r="E13" s="6" t="s">
        <v>109</v>
      </c>
      <c r="F13" s="6" t="s">
        <v>110</v>
      </c>
      <c r="G13" s="6" t="s">
        <v>112</v>
      </c>
      <c r="H13" s="6" t="s">
        <v>113</v>
      </c>
      <c r="I13" s="6" t="s">
        <v>106</v>
      </c>
      <c r="J13" s="19">
        <v>1</v>
      </c>
      <c r="K13" s="19">
        <f>$J13*Cost!$B$6</f>
        <v>5</v>
      </c>
      <c r="L13" s="20">
        <v>0.18790000000000001</v>
      </c>
      <c r="M13" s="20">
        <v>0.129</v>
      </c>
      <c r="N13" s="9" t="s">
        <v>115</v>
      </c>
      <c r="O13" s="9"/>
      <c r="P13" s="21">
        <f>$K13*$L13</f>
        <v>0.9395</v>
      </c>
      <c r="Q13" s="20">
        <f>$J13*$M13</f>
        <v>0.129</v>
      </c>
    </row>
    <row r="14" spans="1:17" ht="15.75" customHeight="1">
      <c r="A14" s="8">
        <v>11</v>
      </c>
      <c r="B14" s="6" t="s">
        <v>418</v>
      </c>
      <c r="C14" s="6" t="s">
        <v>137</v>
      </c>
      <c r="D14" s="6" t="s">
        <v>108</v>
      </c>
      <c r="E14" s="6" t="s">
        <v>135</v>
      </c>
      <c r="F14" s="6" t="s">
        <v>136</v>
      </c>
      <c r="G14" s="6" t="s">
        <v>138</v>
      </c>
      <c r="H14" s="6" t="s">
        <v>113</v>
      </c>
      <c r="I14" s="6" t="s">
        <v>133</v>
      </c>
      <c r="J14" s="19">
        <v>1</v>
      </c>
      <c r="K14" s="19">
        <f>$J14*Cost!$B$6</f>
        <v>5</v>
      </c>
      <c r="L14" s="20">
        <v>0.18440000000000001</v>
      </c>
      <c r="M14" s="20">
        <v>0.13</v>
      </c>
      <c r="N14" s="9" t="s">
        <v>115</v>
      </c>
      <c r="O14" s="9"/>
      <c r="P14" s="21">
        <f>$K14*$L14</f>
        <v>0.92200000000000004</v>
      </c>
      <c r="Q14" s="20">
        <f>$J14*$M14</f>
        <v>0.13</v>
      </c>
    </row>
    <row r="15" spans="1:17" ht="15.75" customHeight="1">
      <c r="A15" s="8">
        <v>12</v>
      </c>
      <c r="B15" s="6" t="s">
        <v>419</v>
      </c>
      <c r="C15" s="6" t="s">
        <v>219</v>
      </c>
      <c r="D15" s="6" t="s">
        <v>216</v>
      </c>
      <c r="E15" s="6" t="s">
        <v>217</v>
      </c>
      <c r="F15" s="6" t="s">
        <v>218</v>
      </c>
      <c r="G15" s="6" t="s">
        <v>220</v>
      </c>
      <c r="H15" s="6" t="s">
        <v>113</v>
      </c>
      <c r="I15" s="6" t="s">
        <v>214</v>
      </c>
      <c r="J15" s="19">
        <v>1</v>
      </c>
      <c r="K15" s="19">
        <f>$J15*Cost!$B$6</f>
        <v>5</v>
      </c>
      <c r="L15" s="20">
        <v>0.17460000000000001</v>
      </c>
      <c r="M15" s="20">
        <v>0.109</v>
      </c>
      <c r="N15" s="9" t="s">
        <v>124</v>
      </c>
      <c r="O15" s="9"/>
      <c r="P15" s="21">
        <f>$K15*$L15</f>
        <v>0.873</v>
      </c>
      <c r="Q15" s="20">
        <f>$J15*$M15</f>
        <v>0.109</v>
      </c>
    </row>
    <row r="16" spans="1:17" ht="15.75" customHeight="1">
      <c r="A16" s="8">
        <v>13</v>
      </c>
      <c r="B16" s="6" t="s">
        <v>419</v>
      </c>
      <c r="C16" s="6" t="s">
        <v>239</v>
      </c>
      <c r="D16" s="6" t="s">
        <v>236</v>
      </c>
      <c r="E16" s="6" t="s">
        <v>237</v>
      </c>
      <c r="F16" s="6" t="s">
        <v>238</v>
      </c>
      <c r="G16" s="6" t="s">
        <v>220</v>
      </c>
      <c r="H16" s="6" t="s">
        <v>123</v>
      </c>
      <c r="I16" s="6" t="s">
        <v>234</v>
      </c>
      <c r="J16" s="19">
        <v>1</v>
      </c>
      <c r="K16" s="19">
        <f>$J16*Cost!$B$6</f>
        <v>5</v>
      </c>
      <c r="L16" s="20">
        <v>0.08</v>
      </c>
      <c r="M16" s="20">
        <v>0.05</v>
      </c>
      <c r="N16" s="9" t="s">
        <v>124</v>
      </c>
      <c r="O16" s="9"/>
      <c r="P16" s="21">
        <f>$K16*$L16</f>
        <v>0.4</v>
      </c>
      <c r="Q16" s="20">
        <f>$J16*$M16</f>
        <v>0.05</v>
      </c>
    </row>
    <row r="17" spans="1:17" ht="15.75" customHeight="1">
      <c r="A17" s="8">
        <v>14</v>
      </c>
      <c r="B17" s="6" t="s">
        <v>419</v>
      </c>
      <c r="C17" s="6" t="s">
        <v>325</v>
      </c>
      <c r="D17" s="6" t="s">
        <v>323</v>
      </c>
      <c r="E17" s="6" t="s">
        <v>217</v>
      </c>
      <c r="F17" s="6" t="s">
        <v>324</v>
      </c>
      <c r="G17" s="6" t="s">
        <v>220</v>
      </c>
      <c r="H17" s="6" t="s">
        <v>123</v>
      </c>
      <c r="I17" s="6" t="s">
        <v>321</v>
      </c>
      <c r="J17" s="19">
        <v>1</v>
      </c>
      <c r="K17" s="19">
        <f>$J17*Cost!$B$6</f>
        <v>5</v>
      </c>
      <c r="L17" s="20">
        <v>0.06</v>
      </c>
      <c r="M17" s="20">
        <v>0.04</v>
      </c>
      <c r="N17" s="9" t="s">
        <v>124</v>
      </c>
      <c r="O17" s="9"/>
      <c r="P17" s="21">
        <f>$K17*$L17</f>
        <v>0.3</v>
      </c>
      <c r="Q17" s="20">
        <f>$J17*$M17</f>
        <v>0.04</v>
      </c>
    </row>
    <row r="18" spans="1:17" ht="15.75" customHeight="1">
      <c r="A18" s="8">
        <v>15</v>
      </c>
      <c r="B18" s="6" t="s">
        <v>420</v>
      </c>
      <c r="C18" s="6" t="s">
        <v>331</v>
      </c>
      <c r="D18" s="6" t="s">
        <v>108</v>
      </c>
      <c r="E18" s="6" t="s">
        <v>268</v>
      </c>
      <c r="F18" s="6" t="s">
        <v>330</v>
      </c>
      <c r="G18" s="6" t="s">
        <v>220</v>
      </c>
      <c r="H18" s="6" t="s">
        <v>123</v>
      </c>
      <c r="I18" s="6" t="s">
        <v>328</v>
      </c>
      <c r="J18" s="19">
        <v>1</v>
      </c>
      <c r="K18" s="19">
        <f>$J18*Cost!$B$6</f>
        <v>5</v>
      </c>
      <c r="L18" s="20">
        <v>0.05</v>
      </c>
      <c r="M18" s="20">
        <v>0.03</v>
      </c>
      <c r="N18" s="9" t="s">
        <v>124</v>
      </c>
      <c r="O18" s="9"/>
      <c r="P18" s="21">
        <f>$K18*$L18</f>
        <v>0.25</v>
      </c>
      <c r="Q18" s="20">
        <f>$J18*$M18</f>
        <v>0.03</v>
      </c>
    </row>
    <row r="19" spans="1:17" ht="29.25" customHeight="1">
      <c r="A19" s="8">
        <v>16</v>
      </c>
      <c r="B19" s="6" t="s">
        <v>421</v>
      </c>
      <c r="C19" s="6" t="s">
        <v>143</v>
      </c>
      <c r="D19" s="6" t="s">
        <v>141</v>
      </c>
      <c r="E19" s="6" t="s">
        <v>128</v>
      </c>
      <c r="F19" s="6" t="s">
        <v>142</v>
      </c>
      <c r="G19" s="6" t="s">
        <v>144</v>
      </c>
      <c r="H19" s="6" t="s">
        <v>123</v>
      </c>
      <c r="I19" s="6" t="s">
        <v>422</v>
      </c>
      <c r="J19" s="19">
        <v>2</v>
      </c>
      <c r="K19" s="19">
        <f>$J19*Cost!$B$6</f>
        <v>10</v>
      </c>
      <c r="L19" s="20">
        <v>0.01</v>
      </c>
      <c r="M19" s="20">
        <v>3.0000000000000001E-3</v>
      </c>
      <c r="N19" s="9" t="s">
        <v>124</v>
      </c>
      <c r="O19" s="9"/>
      <c r="P19" s="21">
        <f>$K19*$L19</f>
        <v>0.1</v>
      </c>
      <c r="Q19" s="20">
        <f>$J19*$M19</f>
        <v>6.0000000000000001E-3</v>
      </c>
    </row>
    <row r="20" spans="1:17" ht="15.75" customHeight="1">
      <c r="A20" s="8">
        <v>17</v>
      </c>
      <c r="B20" s="6" t="s">
        <v>423</v>
      </c>
      <c r="C20" s="6" t="s">
        <v>190</v>
      </c>
      <c r="D20" s="6" t="s">
        <v>261</v>
      </c>
      <c r="E20" s="6" t="s">
        <v>128</v>
      </c>
      <c r="F20" s="6" t="s">
        <v>262</v>
      </c>
      <c r="G20" s="6" t="s">
        <v>122</v>
      </c>
      <c r="H20" s="6" t="s">
        <v>113</v>
      </c>
      <c r="I20" s="6" t="s">
        <v>259</v>
      </c>
      <c r="J20" s="19">
        <v>16</v>
      </c>
      <c r="K20" s="19">
        <f>$J20*Cost!$B$6</f>
        <v>80</v>
      </c>
      <c r="L20" s="20">
        <v>0.05</v>
      </c>
      <c r="M20" s="20">
        <v>0.03</v>
      </c>
      <c r="N20" s="9" t="s">
        <v>124</v>
      </c>
      <c r="O20" s="9"/>
      <c r="P20" s="21">
        <f>$K20*$L20</f>
        <v>4</v>
      </c>
      <c r="Q20" s="20">
        <f>$J20*$M20</f>
        <v>0.48</v>
      </c>
    </row>
    <row r="21" spans="1:17" ht="15.75" customHeight="1">
      <c r="A21" s="8">
        <v>18</v>
      </c>
      <c r="B21" s="6" t="s">
        <v>424</v>
      </c>
      <c r="C21" s="6" t="s">
        <v>190</v>
      </c>
      <c r="D21" s="6" t="s">
        <v>188</v>
      </c>
      <c r="E21" s="6" t="s">
        <v>158</v>
      </c>
      <c r="F21" s="6" t="s">
        <v>189</v>
      </c>
      <c r="G21" s="6" t="s">
        <v>122</v>
      </c>
      <c r="H21" s="6" t="s">
        <v>113</v>
      </c>
      <c r="I21" s="6" t="s">
        <v>186</v>
      </c>
      <c r="J21" s="19">
        <v>1</v>
      </c>
      <c r="K21" s="19">
        <f>$J21*Cost!$B$6</f>
        <v>5</v>
      </c>
      <c r="L21" s="20">
        <v>0.5</v>
      </c>
      <c r="M21" s="20">
        <v>0.35</v>
      </c>
      <c r="N21" s="9" t="s">
        <v>124</v>
      </c>
      <c r="O21" s="9" t="s">
        <v>114</v>
      </c>
      <c r="P21" s="21">
        <f>$K21*$L21</f>
        <v>2.5</v>
      </c>
      <c r="Q21" s="20">
        <f>$J21*$M21</f>
        <v>0.35</v>
      </c>
    </row>
    <row r="22" spans="1:17" ht="15.75" customHeight="1">
      <c r="A22" s="8">
        <v>19</v>
      </c>
      <c r="B22" s="6" t="s">
        <v>424</v>
      </c>
      <c r="C22" s="6" t="s">
        <v>190</v>
      </c>
      <c r="D22" s="6" t="s">
        <v>193</v>
      </c>
      <c r="E22" s="6" t="s">
        <v>158</v>
      </c>
      <c r="F22" s="6" t="s">
        <v>189</v>
      </c>
      <c r="G22" s="6" t="s">
        <v>122</v>
      </c>
      <c r="H22" s="6" t="s">
        <v>113</v>
      </c>
      <c r="I22" s="6" t="s">
        <v>191</v>
      </c>
      <c r="J22" s="19">
        <v>1</v>
      </c>
      <c r="K22" s="19">
        <f>$J22*Cost!$B$6</f>
        <v>5</v>
      </c>
      <c r="L22" s="20">
        <v>0.5</v>
      </c>
      <c r="M22" s="20">
        <v>0.35</v>
      </c>
      <c r="N22" s="9" t="s">
        <v>124</v>
      </c>
      <c r="O22" s="9" t="s">
        <v>114</v>
      </c>
      <c r="P22" s="21">
        <f>$K22*$L22</f>
        <v>2.5</v>
      </c>
      <c r="Q22" s="20">
        <f>$J22*$M22</f>
        <v>0.35</v>
      </c>
    </row>
    <row r="23" spans="1:17" ht="29.25" customHeight="1">
      <c r="A23" s="8">
        <v>20</v>
      </c>
      <c r="B23" s="6" t="s">
        <v>425</v>
      </c>
      <c r="C23" s="6" t="s">
        <v>121</v>
      </c>
      <c r="D23" s="6" t="s">
        <v>170</v>
      </c>
      <c r="E23" s="6" t="s">
        <v>171</v>
      </c>
      <c r="F23" s="6" t="s">
        <v>148</v>
      </c>
      <c r="G23" s="6" t="s">
        <v>122</v>
      </c>
      <c r="H23" s="6" t="s">
        <v>123</v>
      </c>
      <c r="I23" s="6" t="s">
        <v>426</v>
      </c>
      <c r="J23" s="19">
        <v>11</v>
      </c>
      <c r="K23" s="19">
        <f>$J23*Cost!$B$6</f>
        <v>55</v>
      </c>
      <c r="L23" s="20">
        <v>0.02</v>
      </c>
      <c r="M23" s="20">
        <v>0.01</v>
      </c>
      <c r="N23" s="9" t="s">
        <v>124</v>
      </c>
      <c r="O23" s="9"/>
      <c r="P23" s="21">
        <f>$K23*$L23</f>
        <v>1.1000000000000001</v>
      </c>
      <c r="Q23" s="20">
        <f>$J23*$M23</f>
        <v>0.11</v>
      </c>
    </row>
    <row r="24" spans="1:17" ht="29.25" customHeight="1">
      <c r="A24" s="8">
        <v>21</v>
      </c>
      <c r="B24" s="6" t="s">
        <v>425</v>
      </c>
      <c r="C24" s="6" t="s">
        <v>121</v>
      </c>
      <c r="D24" s="6" t="s">
        <v>166</v>
      </c>
      <c r="E24" s="6" t="s">
        <v>119</v>
      </c>
      <c r="F24" s="6" t="s">
        <v>167</v>
      </c>
      <c r="G24" s="6" t="s">
        <v>122</v>
      </c>
      <c r="H24" s="6" t="s">
        <v>123</v>
      </c>
      <c r="I24" s="6" t="s">
        <v>427</v>
      </c>
      <c r="J24" s="19">
        <v>29</v>
      </c>
      <c r="K24" s="19">
        <f>$J24*Cost!$B$6</f>
        <v>145</v>
      </c>
      <c r="L24" s="20">
        <v>5.0000000000000001E-3</v>
      </c>
      <c r="M24" s="20">
        <v>1.5E-3</v>
      </c>
      <c r="N24" s="9" t="s">
        <v>124</v>
      </c>
      <c r="O24" s="9"/>
      <c r="P24" s="21">
        <f>$K24*$L24</f>
        <v>0.72499999999999998</v>
      </c>
      <c r="Q24" s="20">
        <f>$J24*$M24</f>
        <v>4.3500000000000004E-2</v>
      </c>
    </row>
    <row r="25" spans="1:17" ht="29.25" customHeight="1">
      <c r="A25" s="8">
        <v>22</v>
      </c>
      <c r="B25" s="6" t="s">
        <v>428</v>
      </c>
      <c r="C25" s="6" t="s">
        <v>121</v>
      </c>
      <c r="D25" s="6" t="s">
        <v>157</v>
      </c>
      <c r="E25" s="6" t="s">
        <v>158</v>
      </c>
      <c r="F25" s="6" t="s">
        <v>159</v>
      </c>
      <c r="G25" s="6" t="s">
        <v>122</v>
      </c>
      <c r="H25" s="6" t="s">
        <v>123</v>
      </c>
      <c r="I25" s="6" t="s">
        <v>155</v>
      </c>
      <c r="J25" s="19">
        <v>1</v>
      </c>
      <c r="K25" s="19">
        <f>$J25*Cost!$B$6</f>
        <v>5</v>
      </c>
      <c r="L25" s="20">
        <v>0.1</v>
      </c>
      <c r="M25" s="20">
        <v>0.08</v>
      </c>
      <c r="N25" s="9" t="s">
        <v>124</v>
      </c>
      <c r="O25" s="9"/>
      <c r="P25" s="21">
        <f>$K25*$L25</f>
        <v>0.5</v>
      </c>
      <c r="Q25" s="20">
        <f>$J25*$M25</f>
        <v>0.08</v>
      </c>
    </row>
    <row r="26" spans="1:17" ht="29.25" customHeight="1">
      <c r="A26" s="8">
        <v>23</v>
      </c>
      <c r="B26" s="6" t="s">
        <v>425</v>
      </c>
      <c r="C26" s="6" t="s">
        <v>121</v>
      </c>
      <c r="D26" s="6" t="s">
        <v>265</v>
      </c>
      <c r="E26" s="6" t="s">
        <v>128</v>
      </c>
      <c r="F26" s="6" t="s">
        <v>163</v>
      </c>
      <c r="G26" s="6" t="s">
        <v>122</v>
      </c>
      <c r="H26" s="6" t="s">
        <v>123</v>
      </c>
      <c r="I26" s="6" t="s">
        <v>263</v>
      </c>
      <c r="J26" s="19">
        <v>8</v>
      </c>
      <c r="K26" s="19">
        <f>$J26*Cost!$B$6</f>
        <v>40</v>
      </c>
      <c r="L26" s="20">
        <v>0.01</v>
      </c>
      <c r="M26" s="20">
        <v>4.0000000000000001E-3</v>
      </c>
      <c r="N26" s="9" t="s">
        <v>124</v>
      </c>
      <c r="O26" s="9"/>
      <c r="P26" s="21">
        <f>$K26*$L26</f>
        <v>0.4</v>
      </c>
      <c r="Q26" s="20">
        <f>$J26*$M26</f>
        <v>3.2000000000000001E-2</v>
      </c>
    </row>
    <row r="27" spans="1:17" ht="29.25" customHeight="1">
      <c r="A27" s="8">
        <v>24</v>
      </c>
      <c r="B27" s="6" t="s">
        <v>425</v>
      </c>
      <c r="C27" s="6" t="s">
        <v>121</v>
      </c>
      <c r="D27" s="6" t="s">
        <v>147</v>
      </c>
      <c r="E27" s="6" t="s">
        <v>128</v>
      </c>
      <c r="F27" s="6" t="s">
        <v>311</v>
      </c>
      <c r="G27" s="6" t="s">
        <v>122</v>
      </c>
      <c r="H27" s="6" t="s">
        <v>123</v>
      </c>
      <c r="I27" s="6" t="s">
        <v>429</v>
      </c>
      <c r="J27" s="19">
        <v>5</v>
      </c>
      <c r="K27" s="19">
        <f>$J27*Cost!$B$6</f>
        <v>25</v>
      </c>
      <c r="L27" s="20">
        <v>0.01</v>
      </c>
      <c r="M27" s="20">
        <v>4.0000000000000001E-3</v>
      </c>
      <c r="N27" s="9" t="s">
        <v>124</v>
      </c>
      <c r="O27" s="9"/>
      <c r="P27" s="21">
        <f>$K27*$L27</f>
        <v>0.25</v>
      </c>
      <c r="Q27" s="20">
        <f>$J27*$M27</f>
        <v>0.02</v>
      </c>
    </row>
    <row r="28" spans="1:17" ht="29.25" customHeight="1">
      <c r="A28" s="8">
        <v>25</v>
      </c>
      <c r="B28" s="6" t="s">
        <v>430</v>
      </c>
      <c r="C28" s="6" t="s">
        <v>121</v>
      </c>
      <c r="D28" s="6" t="s">
        <v>338</v>
      </c>
      <c r="E28" s="6" t="s">
        <v>339</v>
      </c>
      <c r="F28" s="6" t="s">
        <v>108</v>
      </c>
      <c r="G28" s="6" t="s">
        <v>122</v>
      </c>
      <c r="H28" s="6" t="s">
        <v>123</v>
      </c>
      <c r="I28" s="6" t="s">
        <v>336</v>
      </c>
      <c r="J28" s="19">
        <v>4</v>
      </c>
      <c r="K28" s="19">
        <f>$J28*Cost!$B$6</f>
        <v>20</v>
      </c>
      <c r="L28" s="20">
        <v>1.2E-2</v>
      </c>
      <c r="M28" s="20">
        <v>6.0000000000000001E-3</v>
      </c>
      <c r="N28" s="9" t="s">
        <v>124</v>
      </c>
      <c r="O28" s="9"/>
      <c r="P28" s="21">
        <f>$K28*$L28</f>
        <v>0.24</v>
      </c>
      <c r="Q28" s="20">
        <f>$J28*$M28</f>
        <v>2.4E-2</v>
      </c>
    </row>
    <row r="29" spans="1:17" ht="29.25" customHeight="1">
      <c r="A29" s="8">
        <v>26</v>
      </c>
      <c r="B29" s="6" t="s">
        <v>425</v>
      </c>
      <c r="C29" s="6" t="s">
        <v>121</v>
      </c>
      <c r="D29" s="6" t="s">
        <v>147</v>
      </c>
      <c r="E29" s="6" t="s">
        <v>119</v>
      </c>
      <c r="F29" s="6" t="s">
        <v>148</v>
      </c>
      <c r="G29" s="6" t="s">
        <v>122</v>
      </c>
      <c r="H29" s="6" t="s">
        <v>123</v>
      </c>
      <c r="I29" s="6" t="s">
        <v>431</v>
      </c>
      <c r="J29" s="19">
        <v>5</v>
      </c>
      <c r="K29" s="19">
        <f>$J29*Cost!$B$6</f>
        <v>25</v>
      </c>
      <c r="L29" s="20">
        <v>8.0000000000000002E-3</v>
      </c>
      <c r="M29" s="20">
        <v>3.0000000000000001E-3</v>
      </c>
      <c r="N29" s="9" t="s">
        <v>124</v>
      </c>
      <c r="O29" s="9"/>
      <c r="P29" s="21">
        <f>$K29*$L29</f>
        <v>0.2</v>
      </c>
      <c r="Q29" s="20">
        <f>$J29*$M29</f>
        <v>1.4999999999999999E-2</v>
      </c>
    </row>
    <row r="30" spans="1:17" ht="29.25" customHeight="1">
      <c r="A30" s="8">
        <v>27</v>
      </c>
      <c r="B30" s="6" t="s">
        <v>425</v>
      </c>
      <c r="C30" s="6" t="s">
        <v>121</v>
      </c>
      <c r="D30" s="6" t="s">
        <v>280</v>
      </c>
      <c r="E30" s="6" t="s">
        <v>128</v>
      </c>
      <c r="F30" s="6" t="s">
        <v>163</v>
      </c>
      <c r="G30" s="6" t="s">
        <v>122</v>
      </c>
      <c r="H30" s="6" t="s">
        <v>123</v>
      </c>
      <c r="I30" s="6" t="s">
        <v>278</v>
      </c>
      <c r="J30" s="19">
        <v>4</v>
      </c>
      <c r="K30" s="19">
        <f>$J30*Cost!$B$6</f>
        <v>20</v>
      </c>
      <c r="L30" s="20">
        <v>0.01</v>
      </c>
      <c r="M30" s="20">
        <v>4.0000000000000001E-3</v>
      </c>
      <c r="N30" s="9" t="s">
        <v>124</v>
      </c>
      <c r="O30" s="9"/>
      <c r="P30" s="21">
        <f>$K30*$L30</f>
        <v>0.2</v>
      </c>
      <c r="Q30" s="20">
        <f>$J30*$M30</f>
        <v>1.6E-2</v>
      </c>
    </row>
    <row r="31" spans="1:17" ht="42.75" customHeight="1">
      <c r="A31" s="8">
        <v>28</v>
      </c>
      <c r="B31" s="6" t="s">
        <v>432</v>
      </c>
      <c r="C31" s="6" t="s">
        <v>121</v>
      </c>
      <c r="D31" s="6" t="s">
        <v>352</v>
      </c>
      <c r="E31" s="6" t="s">
        <v>339</v>
      </c>
      <c r="F31" s="6" t="s">
        <v>349</v>
      </c>
      <c r="G31" s="6" t="s">
        <v>122</v>
      </c>
      <c r="H31" s="6" t="s">
        <v>123</v>
      </c>
      <c r="I31" s="6" t="s">
        <v>350</v>
      </c>
      <c r="J31" s="19">
        <v>2</v>
      </c>
      <c r="K31" s="19">
        <f>$J31*Cost!$B$6</f>
        <v>10</v>
      </c>
      <c r="L31" s="20">
        <v>0.02</v>
      </c>
      <c r="M31" s="20">
        <v>0.01</v>
      </c>
      <c r="N31" s="9" t="s">
        <v>124</v>
      </c>
      <c r="O31" s="9"/>
      <c r="P31" s="21">
        <f>$K31*$L31</f>
        <v>0.2</v>
      </c>
      <c r="Q31" s="20">
        <f>$J31*$M31</f>
        <v>0.02</v>
      </c>
    </row>
    <row r="32" spans="1:17" ht="29.25" customHeight="1">
      <c r="A32" s="8">
        <v>29</v>
      </c>
      <c r="B32" s="6" t="s">
        <v>433</v>
      </c>
      <c r="C32" s="6" t="s">
        <v>121</v>
      </c>
      <c r="D32" s="6" t="s">
        <v>358</v>
      </c>
      <c r="E32" s="6" t="s">
        <v>339</v>
      </c>
      <c r="F32" s="6" t="s">
        <v>359</v>
      </c>
      <c r="G32" s="6" t="s">
        <v>122</v>
      </c>
      <c r="H32" s="6" t="s">
        <v>123</v>
      </c>
      <c r="I32" s="6" t="s">
        <v>356</v>
      </c>
      <c r="J32" s="19">
        <v>2</v>
      </c>
      <c r="K32" s="19">
        <f>$J32*Cost!$B$6</f>
        <v>10</v>
      </c>
      <c r="L32" s="20">
        <v>0.02</v>
      </c>
      <c r="M32" s="20">
        <v>0.01</v>
      </c>
      <c r="N32" s="9" t="s">
        <v>124</v>
      </c>
      <c r="O32" s="9"/>
      <c r="P32" s="21">
        <f>$K32*$L32</f>
        <v>0.2</v>
      </c>
      <c r="Q32" s="20">
        <f>$J32*$M32</f>
        <v>0.02</v>
      </c>
    </row>
    <row r="33" spans="1:17" ht="29.25" customHeight="1">
      <c r="A33" s="8">
        <v>30</v>
      </c>
      <c r="B33" s="6" t="s">
        <v>425</v>
      </c>
      <c r="C33" s="6" t="s">
        <v>121</v>
      </c>
      <c r="D33" s="6" t="s">
        <v>228</v>
      </c>
      <c r="E33" s="6" t="s">
        <v>128</v>
      </c>
      <c r="F33" s="6" t="s">
        <v>229</v>
      </c>
      <c r="G33" s="6" t="s">
        <v>122</v>
      </c>
      <c r="H33" s="6" t="s">
        <v>123</v>
      </c>
      <c r="I33" s="6" t="s">
        <v>434</v>
      </c>
      <c r="J33" s="19">
        <v>3</v>
      </c>
      <c r="K33" s="19">
        <f>$J33*Cost!$B$6</f>
        <v>15</v>
      </c>
      <c r="L33" s="20">
        <v>1.2E-2</v>
      </c>
      <c r="M33" s="20">
        <v>5.0000000000000001E-3</v>
      </c>
      <c r="N33" s="9" t="s">
        <v>124</v>
      </c>
      <c r="O33" s="9"/>
      <c r="P33" s="21">
        <f>$K33*$L33</f>
        <v>0.18</v>
      </c>
      <c r="Q33" s="20">
        <f>$J33*$M33</f>
        <v>1.4999999999999999E-2</v>
      </c>
    </row>
    <row r="34" spans="1:17" ht="29.25" customHeight="1">
      <c r="A34" s="8">
        <v>31</v>
      </c>
      <c r="B34" s="6" t="s">
        <v>423</v>
      </c>
      <c r="C34" s="6" t="s">
        <v>121</v>
      </c>
      <c r="D34" s="6" t="s">
        <v>247</v>
      </c>
      <c r="E34" s="6" t="s">
        <v>119</v>
      </c>
      <c r="F34" s="6" t="s">
        <v>120</v>
      </c>
      <c r="G34" s="6" t="s">
        <v>122</v>
      </c>
      <c r="H34" s="6" t="s">
        <v>123</v>
      </c>
      <c r="I34" s="6" t="s">
        <v>435</v>
      </c>
      <c r="J34" s="19">
        <v>8</v>
      </c>
      <c r="K34" s="19">
        <f>$J34*Cost!$B$6</f>
        <v>40</v>
      </c>
      <c r="L34" s="20">
        <v>4.0000000000000001E-3</v>
      </c>
      <c r="M34" s="20">
        <v>1E-3</v>
      </c>
      <c r="N34" s="9" t="s">
        <v>124</v>
      </c>
      <c r="O34" s="9"/>
      <c r="P34" s="21">
        <f>$K34*$L34</f>
        <v>0.16</v>
      </c>
      <c r="Q34" s="20">
        <f>$J34*$M34</f>
        <v>8.0000000000000002E-3</v>
      </c>
    </row>
    <row r="35" spans="1:17" ht="29.25" customHeight="1">
      <c r="A35" s="8">
        <v>32</v>
      </c>
      <c r="B35" s="6" t="s">
        <v>423</v>
      </c>
      <c r="C35" s="6" t="s">
        <v>121</v>
      </c>
      <c r="D35" s="6" t="s">
        <v>362</v>
      </c>
      <c r="E35" s="6" t="s">
        <v>119</v>
      </c>
      <c r="F35" s="6" t="s">
        <v>120</v>
      </c>
      <c r="G35" s="6" t="s">
        <v>122</v>
      </c>
      <c r="H35" s="6" t="s">
        <v>123</v>
      </c>
      <c r="I35" s="6" t="s">
        <v>360</v>
      </c>
      <c r="J35" s="19">
        <v>8</v>
      </c>
      <c r="K35" s="19">
        <f>$J35*Cost!$B$6</f>
        <v>40</v>
      </c>
      <c r="L35" s="20">
        <v>4.0000000000000001E-3</v>
      </c>
      <c r="M35" s="20">
        <v>1E-3</v>
      </c>
      <c r="N35" s="9" t="s">
        <v>124</v>
      </c>
      <c r="O35" s="9"/>
      <c r="P35" s="21">
        <f>$K35*$L35</f>
        <v>0.16</v>
      </c>
      <c r="Q35" s="20">
        <f>$J35*$M35</f>
        <v>8.0000000000000002E-3</v>
      </c>
    </row>
    <row r="36" spans="1:17" ht="29.25" customHeight="1">
      <c r="A36" s="8">
        <v>33</v>
      </c>
      <c r="B36" s="6" t="s">
        <v>423</v>
      </c>
      <c r="C36" s="6" t="s">
        <v>121</v>
      </c>
      <c r="D36" s="6" t="s">
        <v>342</v>
      </c>
      <c r="E36" s="6" t="s">
        <v>119</v>
      </c>
      <c r="F36" s="6" t="s">
        <v>120</v>
      </c>
      <c r="G36" s="6" t="s">
        <v>122</v>
      </c>
      <c r="H36" s="6" t="s">
        <v>123</v>
      </c>
      <c r="I36" s="6" t="s">
        <v>340</v>
      </c>
      <c r="J36" s="19">
        <v>6</v>
      </c>
      <c r="K36" s="19">
        <f>$J36*Cost!$B$6</f>
        <v>30</v>
      </c>
      <c r="L36" s="20">
        <v>4.0000000000000001E-3</v>
      </c>
      <c r="M36" s="20">
        <v>1E-3</v>
      </c>
      <c r="N36" s="9" t="s">
        <v>124</v>
      </c>
      <c r="O36" s="9"/>
      <c r="P36" s="21">
        <f>$K36*$L36</f>
        <v>0.12</v>
      </c>
      <c r="Q36" s="20">
        <f>$J36*$M36</f>
        <v>6.0000000000000001E-3</v>
      </c>
    </row>
    <row r="37" spans="1:17" ht="29.25" customHeight="1">
      <c r="A37" s="8">
        <v>34</v>
      </c>
      <c r="B37" s="6" t="s">
        <v>436</v>
      </c>
      <c r="C37" s="6" t="s">
        <v>121</v>
      </c>
      <c r="D37" s="6" t="s">
        <v>108</v>
      </c>
      <c r="E37" s="6" t="s">
        <v>128</v>
      </c>
      <c r="F37" s="6" t="s">
        <v>108</v>
      </c>
      <c r="G37" s="6" t="s">
        <v>122</v>
      </c>
      <c r="H37" s="6" t="s">
        <v>123</v>
      </c>
      <c r="I37" s="6" t="s">
        <v>384</v>
      </c>
      <c r="J37" s="19">
        <v>2</v>
      </c>
      <c r="K37" s="19">
        <f>$J37*Cost!$B$6</f>
        <v>10</v>
      </c>
      <c r="L37" s="20">
        <v>1.2E-2</v>
      </c>
      <c r="M37" s="20">
        <v>6.0000000000000001E-3</v>
      </c>
      <c r="N37" s="9" t="s">
        <v>124</v>
      </c>
      <c r="O37" s="9"/>
      <c r="P37" s="21">
        <f>$K37*$L37</f>
        <v>0.12</v>
      </c>
      <c r="Q37" s="20">
        <f>$J37*$M37</f>
        <v>1.2E-2</v>
      </c>
    </row>
    <row r="38" spans="1:17" ht="29.25" customHeight="1">
      <c r="A38" s="8">
        <v>35</v>
      </c>
      <c r="B38" s="6" t="s">
        <v>437</v>
      </c>
      <c r="C38" s="6" t="s">
        <v>121</v>
      </c>
      <c r="D38" s="6" t="s">
        <v>348</v>
      </c>
      <c r="E38" s="6" t="s">
        <v>339</v>
      </c>
      <c r="F38" s="6" t="s">
        <v>349</v>
      </c>
      <c r="G38" s="6" t="s">
        <v>122</v>
      </c>
      <c r="H38" s="6" t="s">
        <v>123</v>
      </c>
      <c r="I38" s="6" t="s">
        <v>346</v>
      </c>
      <c r="J38" s="19">
        <v>1</v>
      </c>
      <c r="K38" s="19">
        <f>$J38*Cost!$B$6</f>
        <v>5</v>
      </c>
      <c r="L38" s="20">
        <v>0.02</v>
      </c>
      <c r="M38" s="20">
        <v>0.01</v>
      </c>
      <c r="N38" s="9" t="s">
        <v>124</v>
      </c>
      <c r="O38" s="9"/>
      <c r="P38" s="21">
        <f>$K38*$L38</f>
        <v>0.1</v>
      </c>
      <c r="Q38" s="20">
        <f>$J38*$M38</f>
        <v>0.01</v>
      </c>
    </row>
    <row r="39" spans="1:17" ht="29.25" customHeight="1">
      <c r="A39" s="8">
        <v>36</v>
      </c>
      <c r="B39" s="6" t="s">
        <v>438</v>
      </c>
      <c r="C39" s="6" t="s">
        <v>121</v>
      </c>
      <c r="D39" s="6" t="s">
        <v>355</v>
      </c>
      <c r="E39" s="6" t="s">
        <v>339</v>
      </c>
      <c r="F39" s="6" t="s">
        <v>349</v>
      </c>
      <c r="G39" s="6" t="s">
        <v>122</v>
      </c>
      <c r="H39" s="6" t="s">
        <v>123</v>
      </c>
      <c r="I39" s="6" t="s">
        <v>353</v>
      </c>
      <c r="J39" s="19">
        <v>1</v>
      </c>
      <c r="K39" s="19">
        <f>$J39*Cost!$B$6</f>
        <v>5</v>
      </c>
      <c r="L39" s="20">
        <v>0.02</v>
      </c>
      <c r="M39" s="20">
        <v>0.01</v>
      </c>
      <c r="N39" s="9" t="s">
        <v>124</v>
      </c>
      <c r="O39" s="9"/>
      <c r="P39" s="21">
        <f>$K39*$L39</f>
        <v>0.1</v>
      </c>
      <c r="Q39" s="20">
        <f>$J39*$M39</f>
        <v>0.01</v>
      </c>
    </row>
    <row r="40" spans="1:17" ht="29.25" customHeight="1">
      <c r="A40" s="8">
        <v>37</v>
      </c>
      <c r="B40" s="6" t="s">
        <v>423</v>
      </c>
      <c r="C40" s="6" t="s">
        <v>121</v>
      </c>
      <c r="D40" s="6" t="s">
        <v>198</v>
      </c>
      <c r="E40" s="6" t="s">
        <v>119</v>
      </c>
      <c r="F40" s="6" t="s">
        <v>120</v>
      </c>
      <c r="G40" s="6" t="s">
        <v>122</v>
      </c>
      <c r="H40" s="6" t="s">
        <v>123</v>
      </c>
      <c r="I40" s="6" t="s">
        <v>196</v>
      </c>
      <c r="J40" s="19">
        <v>4</v>
      </c>
      <c r="K40" s="19">
        <f>$J40*Cost!$B$6</f>
        <v>20</v>
      </c>
      <c r="L40" s="20">
        <v>4.0000000000000001E-3</v>
      </c>
      <c r="M40" s="20">
        <v>1E-3</v>
      </c>
      <c r="N40" s="9" t="s">
        <v>124</v>
      </c>
      <c r="O40" s="9"/>
      <c r="P40" s="21">
        <f>$K40*$L40</f>
        <v>0.08</v>
      </c>
      <c r="Q40" s="20">
        <f>$J40*$M40</f>
        <v>4.0000000000000001E-3</v>
      </c>
    </row>
    <row r="41" spans="1:17" ht="29.25" customHeight="1">
      <c r="A41" s="8">
        <v>38</v>
      </c>
      <c r="B41" s="6" t="s">
        <v>423</v>
      </c>
      <c r="C41" s="6" t="s">
        <v>121</v>
      </c>
      <c r="D41" s="6" t="s">
        <v>274</v>
      </c>
      <c r="E41" s="6" t="s">
        <v>128</v>
      </c>
      <c r="F41" s="6" t="s">
        <v>120</v>
      </c>
      <c r="G41" s="6" t="s">
        <v>122</v>
      </c>
      <c r="H41" s="6" t="s">
        <v>123</v>
      </c>
      <c r="I41" s="6" t="s">
        <v>272</v>
      </c>
      <c r="J41" s="19">
        <v>4</v>
      </c>
      <c r="K41" s="19">
        <f>$J41*Cost!$B$6</f>
        <v>20</v>
      </c>
      <c r="L41" s="20">
        <v>4.0000000000000001E-3</v>
      </c>
      <c r="M41" s="20">
        <v>1.1999999999999999E-3</v>
      </c>
      <c r="N41" s="9" t="s">
        <v>124</v>
      </c>
      <c r="O41" s="9"/>
      <c r="P41" s="21">
        <f>$K41*$L41</f>
        <v>0.08</v>
      </c>
      <c r="Q41" s="20">
        <f>$J41*$M41</f>
        <v>4.7999999999999996E-3</v>
      </c>
    </row>
    <row r="42" spans="1:17" ht="29.25" customHeight="1">
      <c r="A42" s="8">
        <v>39</v>
      </c>
      <c r="B42" s="6" t="s">
        <v>423</v>
      </c>
      <c r="C42" s="6" t="s">
        <v>121</v>
      </c>
      <c r="D42" s="6" t="s">
        <v>277</v>
      </c>
      <c r="E42" s="6" t="s">
        <v>119</v>
      </c>
      <c r="F42" s="6" t="s">
        <v>120</v>
      </c>
      <c r="G42" s="6" t="s">
        <v>122</v>
      </c>
      <c r="H42" s="6" t="s">
        <v>123</v>
      </c>
      <c r="I42" s="6" t="s">
        <v>275</v>
      </c>
      <c r="J42" s="19">
        <v>4</v>
      </c>
      <c r="K42" s="19">
        <f>$J42*Cost!$B$6</f>
        <v>20</v>
      </c>
      <c r="L42" s="20">
        <v>4.0000000000000001E-3</v>
      </c>
      <c r="M42" s="20">
        <v>1E-3</v>
      </c>
      <c r="N42" s="9" t="s">
        <v>124</v>
      </c>
      <c r="O42" s="9"/>
      <c r="P42" s="21">
        <f>$K42*$L42</f>
        <v>0.08</v>
      </c>
      <c r="Q42" s="20">
        <f>$J42*$M42</f>
        <v>4.0000000000000001E-3</v>
      </c>
    </row>
    <row r="43" spans="1:17" ht="29.25" customHeight="1">
      <c r="A43" s="8">
        <v>40</v>
      </c>
      <c r="B43" s="6" t="s">
        <v>439</v>
      </c>
      <c r="C43" s="6" t="s">
        <v>121</v>
      </c>
      <c r="D43" s="6" t="s">
        <v>292</v>
      </c>
      <c r="E43" s="6" t="s">
        <v>128</v>
      </c>
      <c r="F43" s="6" t="s">
        <v>108</v>
      </c>
      <c r="G43" s="6" t="s">
        <v>122</v>
      </c>
      <c r="H43" s="6" t="s">
        <v>123</v>
      </c>
      <c r="I43" s="6" t="s">
        <v>290</v>
      </c>
      <c r="J43" s="19">
        <v>4</v>
      </c>
      <c r="K43" s="19">
        <f>$J43*Cost!$B$6</f>
        <v>20</v>
      </c>
      <c r="L43" s="20">
        <v>4.0000000000000001E-3</v>
      </c>
      <c r="M43" s="20">
        <v>1.1999999999999999E-3</v>
      </c>
      <c r="N43" s="9" t="s">
        <v>124</v>
      </c>
      <c r="O43" s="9"/>
      <c r="P43" s="21">
        <f>$K43*$L43</f>
        <v>0.08</v>
      </c>
      <c r="Q43" s="20">
        <f>$J43*$M43</f>
        <v>4.7999999999999996E-3</v>
      </c>
    </row>
    <row r="44" spans="1:17" ht="29.25" customHeight="1">
      <c r="A44" s="8">
        <v>41</v>
      </c>
      <c r="B44" s="6" t="s">
        <v>423</v>
      </c>
      <c r="C44" s="6" t="s">
        <v>121</v>
      </c>
      <c r="D44" s="6" t="s">
        <v>318</v>
      </c>
      <c r="E44" s="6" t="s">
        <v>119</v>
      </c>
      <c r="F44" s="6" t="s">
        <v>120</v>
      </c>
      <c r="G44" s="6" t="s">
        <v>122</v>
      </c>
      <c r="H44" s="6" t="s">
        <v>123</v>
      </c>
      <c r="I44" s="6" t="s">
        <v>316</v>
      </c>
      <c r="J44" s="19">
        <v>4</v>
      </c>
      <c r="K44" s="19">
        <f>$J44*Cost!$B$6</f>
        <v>20</v>
      </c>
      <c r="L44" s="20">
        <v>4.0000000000000001E-3</v>
      </c>
      <c r="M44" s="20">
        <v>1E-3</v>
      </c>
      <c r="N44" s="9" t="s">
        <v>124</v>
      </c>
      <c r="O44" s="9"/>
      <c r="P44" s="21">
        <f>$K44*$L44</f>
        <v>0.08</v>
      </c>
      <c r="Q44" s="20">
        <f>$J44*$M44</f>
        <v>4.0000000000000001E-3</v>
      </c>
    </row>
    <row r="45" spans="1:17" ht="29.25" customHeight="1">
      <c r="A45" s="8">
        <v>42</v>
      </c>
      <c r="B45" s="6" t="s">
        <v>425</v>
      </c>
      <c r="C45" s="6" t="s">
        <v>121</v>
      </c>
      <c r="D45" s="6" t="s">
        <v>308</v>
      </c>
      <c r="E45" s="6" t="s">
        <v>128</v>
      </c>
      <c r="F45" s="6" t="s">
        <v>148</v>
      </c>
      <c r="G45" s="6" t="s">
        <v>122</v>
      </c>
      <c r="H45" s="6" t="s">
        <v>123</v>
      </c>
      <c r="I45" s="6" t="s">
        <v>306</v>
      </c>
      <c r="J45" s="19">
        <v>1</v>
      </c>
      <c r="K45" s="19">
        <f>$J45*Cost!$B$6</f>
        <v>5</v>
      </c>
      <c r="L45" s="20">
        <v>1.2E-2</v>
      </c>
      <c r="M45" s="20">
        <v>5.0000000000000001E-3</v>
      </c>
      <c r="N45" s="9" t="s">
        <v>124</v>
      </c>
      <c r="O45" s="9"/>
      <c r="P45" s="21">
        <f>$K45*$L45</f>
        <v>0.06</v>
      </c>
      <c r="Q45" s="20">
        <f>$J45*$M45</f>
        <v>5.0000000000000001E-3</v>
      </c>
    </row>
    <row r="46" spans="1:17" ht="29.25" customHeight="1">
      <c r="A46" s="8">
        <v>43</v>
      </c>
      <c r="B46" s="6" t="s">
        <v>425</v>
      </c>
      <c r="C46" s="6" t="s">
        <v>121</v>
      </c>
      <c r="D46" s="6" t="s">
        <v>162</v>
      </c>
      <c r="E46" s="6" t="s">
        <v>119</v>
      </c>
      <c r="F46" s="6" t="s">
        <v>163</v>
      </c>
      <c r="G46" s="6" t="s">
        <v>122</v>
      </c>
      <c r="H46" s="6" t="s">
        <v>123</v>
      </c>
      <c r="I46" s="6" t="s">
        <v>160</v>
      </c>
      <c r="J46" s="19">
        <v>2</v>
      </c>
      <c r="K46" s="19">
        <f>$J46*Cost!$B$6</f>
        <v>10</v>
      </c>
      <c r="L46" s="20">
        <v>5.0000000000000001E-3</v>
      </c>
      <c r="M46" s="20">
        <v>1.5E-3</v>
      </c>
      <c r="N46" s="9" t="s">
        <v>124</v>
      </c>
      <c r="O46" s="9"/>
      <c r="P46" s="21">
        <f>$K46*$L46</f>
        <v>0.05</v>
      </c>
      <c r="Q46" s="20">
        <f>$J46*$M46</f>
        <v>3.0000000000000001E-3</v>
      </c>
    </row>
    <row r="47" spans="1:17" ht="29.25" customHeight="1">
      <c r="A47" s="8">
        <v>44</v>
      </c>
      <c r="B47" s="6" t="s">
        <v>423</v>
      </c>
      <c r="C47" s="6" t="s">
        <v>121</v>
      </c>
      <c r="D47" s="6" t="s">
        <v>118</v>
      </c>
      <c r="E47" s="6" t="s">
        <v>119</v>
      </c>
      <c r="F47" s="6" t="s">
        <v>120</v>
      </c>
      <c r="G47" s="6" t="s">
        <v>122</v>
      </c>
      <c r="H47" s="6" t="s">
        <v>123</v>
      </c>
      <c r="I47" s="6" t="s">
        <v>116</v>
      </c>
      <c r="J47" s="19">
        <v>2</v>
      </c>
      <c r="K47" s="19">
        <f>$J47*Cost!$B$6</f>
        <v>10</v>
      </c>
      <c r="L47" s="20">
        <v>4.0000000000000001E-3</v>
      </c>
      <c r="M47" s="20">
        <v>1E-3</v>
      </c>
      <c r="N47" s="9" t="s">
        <v>124</v>
      </c>
      <c r="O47" s="9"/>
      <c r="P47" s="21">
        <f>$K47*$L47</f>
        <v>0.04</v>
      </c>
      <c r="Q47" s="20">
        <f>$J47*$M47</f>
        <v>2E-3</v>
      </c>
    </row>
    <row r="48" spans="1:17" ht="29.25" customHeight="1">
      <c r="A48" s="8">
        <v>45</v>
      </c>
      <c r="B48" s="6" t="s">
        <v>173</v>
      </c>
      <c r="C48" s="6" t="s">
        <v>121</v>
      </c>
      <c r="D48" s="6" t="s">
        <v>174</v>
      </c>
      <c r="E48" s="6" t="s">
        <v>119</v>
      </c>
      <c r="F48" s="6" t="s">
        <v>108</v>
      </c>
      <c r="G48" s="6" t="s">
        <v>122</v>
      </c>
      <c r="H48" s="6" t="s">
        <v>123</v>
      </c>
      <c r="I48" s="6" t="s">
        <v>172</v>
      </c>
      <c r="J48" s="19">
        <v>2</v>
      </c>
      <c r="K48" s="19">
        <f>$J48*Cost!$B$6</f>
        <v>10</v>
      </c>
      <c r="L48" s="20">
        <v>4.0000000000000001E-3</v>
      </c>
      <c r="M48" s="20">
        <v>1E-3</v>
      </c>
      <c r="N48" s="9" t="s">
        <v>124</v>
      </c>
      <c r="O48" s="9"/>
      <c r="P48" s="21">
        <f>$K48*$L48</f>
        <v>0.04</v>
      </c>
      <c r="Q48" s="20">
        <f>$J48*$M48</f>
        <v>2E-3</v>
      </c>
    </row>
    <row r="49" spans="1:17" ht="29.25" customHeight="1">
      <c r="A49" s="8">
        <v>46</v>
      </c>
      <c r="B49" s="6" t="s">
        <v>423</v>
      </c>
      <c r="C49" s="6" t="s">
        <v>121</v>
      </c>
      <c r="D49" s="6" t="s">
        <v>177</v>
      </c>
      <c r="E49" s="6" t="s">
        <v>119</v>
      </c>
      <c r="F49" s="6" t="s">
        <v>120</v>
      </c>
      <c r="G49" s="6" t="s">
        <v>122</v>
      </c>
      <c r="H49" s="6" t="s">
        <v>123</v>
      </c>
      <c r="I49" s="6" t="s">
        <v>440</v>
      </c>
      <c r="J49" s="19">
        <v>2</v>
      </c>
      <c r="K49" s="19">
        <f>$J49*Cost!$B$6</f>
        <v>10</v>
      </c>
      <c r="L49" s="20">
        <v>4.0000000000000001E-3</v>
      </c>
      <c r="M49" s="20">
        <v>1E-3</v>
      </c>
      <c r="N49" s="9" t="s">
        <v>124</v>
      </c>
      <c r="O49" s="9"/>
      <c r="P49" s="21">
        <f>$K49*$L49</f>
        <v>0.04</v>
      </c>
      <c r="Q49" s="20">
        <f>$J49*$M49</f>
        <v>2E-3</v>
      </c>
    </row>
    <row r="50" spans="1:17" ht="29.25" customHeight="1">
      <c r="A50" s="8">
        <v>47</v>
      </c>
      <c r="B50" s="6" t="s">
        <v>423</v>
      </c>
      <c r="C50" s="6" t="s">
        <v>121</v>
      </c>
      <c r="D50" s="6" t="s">
        <v>201</v>
      </c>
      <c r="E50" s="6" t="s">
        <v>119</v>
      </c>
      <c r="F50" s="6" t="s">
        <v>120</v>
      </c>
      <c r="G50" s="6" t="s">
        <v>122</v>
      </c>
      <c r="H50" s="6" t="s">
        <v>123</v>
      </c>
      <c r="I50" s="6" t="s">
        <v>199</v>
      </c>
      <c r="J50" s="19">
        <v>2</v>
      </c>
      <c r="K50" s="19">
        <f>$J50*Cost!$B$6</f>
        <v>10</v>
      </c>
      <c r="L50" s="20">
        <v>4.0000000000000001E-3</v>
      </c>
      <c r="M50" s="20">
        <v>1E-3</v>
      </c>
      <c r="N50" s="9" t="s">
        <v>124</v>
      </c>
      <c r="O50" s="9"/>
      <c r="P50" s="21">
        <f>$K50*$L50</f>
        <v>0.04</v>
      </c>
      <c r="Q50" s="20">
        <f>$J50*$M50</f>
        <v>2E-3</v>
      </c>
    </row>
    <row r="51" spans="1:17" ht="29.25" customHeight="1">
      <c r="A51" s="8">
        <v>48</v>
      </c>
      <c r="B51" s="6" t="s">
        <v>423</v>
      </c>
      <c r="C51" s="6" t="s">
        <v>121</v>
      </c>
      <c r="D51" s="6" t="s">
        <v>225</v>
      </c>
      <c r="E51" s="6" t="s">
        <v>128</v>
      </c>
      <c r="F51" s="6" t="s">
        <v>120</v>
      </c>
      <c r="G51" s="6" t="s">
        <v>122</v>
      </c>
      <c r="H51" s="6" t="s">
        <v>123</v>
      </c>
      <c r="I51" s="6" t="s">
        <v>223</v>
      </c>
      <c r="J51" s="19">
        <v>2</v>
      </c>
      <c r="K51" s="19">
        <f>$J51*Cost!$B$6</f>
        <v>10</v>
      </c>
      <c r="L51" s="20">
        <v>4.0000000000000001E-3</v>
      </c>
      <c r="M51" s="20">
        <v>1.1999999999999999E-3</v>
      </c>
      <c r="N51" s="9" t="s">
        <v>124</v>
      </c>
      <c r="O51" s="9"/>
      <c r="P51" s="21">
        <f>$K51*$L51</f>
        <v>0.04</v>
      </c>
      <c r="Q51" s="20">
        <f>$J51*$M51</f>
        <v>2.3999999999999998E-3</v>
      </c>
    </row>
    <row r="52" spans="1:17" ht="29.25" customHeight="1">
      <c r="A52" s="8">
        <v>49</v>
      </c>
      <c r="B52" s="6" t="s">
        <v>423</v>
      </c>
      <c r="C52" s="6" t="s">
        <v>121</v>
      </c>
      <c r="D52" s="6" t="s">
        <v>242</v>
      </c>
      <c r="E52" s="6" t="s">
        <v>119</v>
      </c>
      <c r="F52" s="6" t="s">
        <v>120</v>
      </c>
      <c r="G52" s="6" t="s">
        <v>122</v>
      </c>
      <c r="H52" s="6" t="s">
        <v>123</v>
      </c>
      <c r="I52" s="6" t="s">
        <v>240</v>
      </c>
      <c r="J52" s="19">
        <v>2</v>
      </c>
      <c r="K52" s="19">
        <f>$J52*Cost!$B$6</f>
        <v>10</v>
      </c>
      <c r="L52" s="20">
        <v>4.0000000000000001E-3</v>
      </c>
      <c r="M52" s="20">
        <v>1E-3</v>
      </c>
      <c r="N52" s="9" t="s">
        <v>124</v>
      </c>
      <c r="O52" s="9"/>
      <c r="P52" s="21">
        <f>$K52*$L52</f>
        <v>0.04</v>
      </c>
      <c r="Q52" s="20">
        <f>$J52*$M52</f>
        <v>2E-3</v>
      </c>
    </row>
    <row r="53" spans="1:17" ht="29.25" customHeight="1">
      <c r="A53" s="8">
        <v>50</v>
      </c>
      <c r="B53" s="6" t="s">
        <v>423</v>
      </c>
      <c r="C53" s="6" t="s">
        <v>121</v>
      </c>
      <c r="D53" s="6" t="s">
        <v>283</v>
      </c>
      <c r="E53" s="6" t="s">
        <v>119</v>
      </c>
      <c r="F53" s="6" t="s">
        <v>120</v>
      </c>
      <c r="G53" s="6" t="s">
        <v>122</v>
      </c>
      <c r="H53" s="6" t="s">
        <v>123</v>
      </c>
      <c r="I53" s="6" t="s">
        <v>281</v>
      </c>
      <c r="J53" s="19">
        <v>2</v>
      </c>
      <c r="K53" s="19">
        <f>$J53*Cost!$B$6</f>
        <v>10</v>
      </c>
      <c r="L53" s="20">
        <v>4.0000000000000001E-3</v>
      </c>
      <c r="M53" s="20">
        <v>1E-3</v>
      </c>
      <c r="N53" s="9" t="s">
        <v>124</v>
      </c>
      <c r="O53" s="9"/>
      <c r="P53" s="21">
        <f>$K53*$L53</f>
        <v>0.04</v>
      </c>
      <c r="Q53" s="20">
        <f>$J53*$M53</f>
        <v>2E-3</v>
      </c>
    </row>
    <row r="54" spans="1:17" ht="29.25" customHeight="1">
      <c r="A54" s="8">
        <v>51</v>
      </c>
      <c r="B54" s="6" t="s">
        <v>423</v>
      </c>
      <c r="C54" s="6" t="s">
        <v>121</v>
      </c>
      <c r="D54" s="6" t="s">
        <v>388</v>
      </c>
      <c r="E54" s="6" t="s">
        <v>119</v>
      </c>
      <c r="F54" s="6" t="s">
        <v>120</v>
      </c>
      <c r="G54" s="6" t="s">
        <v>122</v>
      </c>
      <c r="H54" s="6" t="s">
        <v>123</v>
      </c>
      <c r="I54" s="6" t="s">
        <v>386</v>
      </c>
      <c r="J54" s="19">
        <v>2</v>
      </c>
      <c r="K54" s="19">
        <f>$J54*Cost!$B$6</f>
        <v>10</v>
      </c>
      <c r="L54" s="20">
        <v>4.0000000000000001E-3</v>
      </c>
      <c r="M54" s="20">
        <v>1E-3</v>
      </c>
      <c r="N54" s="9" t="s">
        <v>124</v>
      </c>
      <c r="O54" s="9"/>
      <c r="P54" s="21">
        <f>$K54*$L54</f>
        <v>0.04</v>
      </c>
      <c r="Q54" s="20">
        <f>$J54*$M54</f>
        <v>2E-3</v>
      </c>
    </row>
    <row r="55" spans="1:17" ht="29.25" customHeight="1">
      <c r="A55" s="8">
        <v>52</v>
      </c>
      <c r="B55" s="6" t="s">
        <v>425</v>
      </c>
      <c r="C55" s="6" t="s">
        <v>121</v>
      </c>
      <c r="D55" s="6" t="s">
        <v>131</v>
      </c>
      <c r="E55" s="6" t="s">
        <v>119</v>
      </c>
      <c r="F55" s="6" t="s">
        <v>132</v>
      </c>
      <c r="G55" s="6" t="s">
        <v>122</v>
      </c>
      <c r="H55" s="6" t="s">
        <v>123</v>
      </c>
      <c r="I55" s="6" t="s">
        <v>129</v>
      </c>
      <c r="J55" s="19">
        <v>1</v>
      </c>
      <c r="K55" s="19">
        <f>$J55*Cost!$B$6</f>
        <v>5</v>
      </c>
      <c r="L55" s="20">
        <v>5.0000000000000001E-3</v>
      </c>
      <c r="M55" s="20">
        <v>1.5E-3</v>
      </c>
      <c r="N55" s="9" t="s">
        <v>124</v>
      </c>
      <c r="O55" s="9"/>
      <c r="P55" s="21">
        <f>$K55*$L55</f>
        <v>2.5000000000000001E-2</v>
      </c>
      <c r="Q55" s="20">
        <f>$J55*$M55</f>
        <v>1.5E-3</v>
      </c>
    </row>
    <row r="56" spans="1:17" ht="29.25" customHeight="1">
      <c r="A56" s="8">
        <v>53</v>
      </c>
      <c r="B56" s="6" t="s">
        <v>423</v>
      </c>
      <c r="C56" s="6" t="s">
        <v>121</v>
      </c>
      <c r="D56" s="6" t="s">
        <v>127</v>
      </c>
      <c r="E56" s="6" t="s">
        <v>128</v>
      </c>
      <c r="F56" s="6" t="s">
        <v>120</v>
      </c>
      <c r="G56" s="6" t="s">
        <v>122</v>
      </c>
      <c r="H56" s="6" t="s">
        <v>123</v>
      </c>
      <c r="I56" s="6" t="s">
        <v>125</v>
      </c>
      <c r="J56" s="19">
        <v>1</v>
      </c>
      <c r="K56" s="19">
        <f>$J56*Cost!$B$6</f>
        <v>5</v>
      </c>
      <c r="L56" s="20">
        <v>4.0000000000000001E-3</v>
      </c>
      <c r="M56" s="20">
        <v>1.1999999999999999E-3</v>
      </c>
      <c r="N56" s="9" t="s">
        <v>124</v>
      </c>
      <c r="O56" s="9"/>
      <c r="P56" s="21">
        <f>$K56*$L56</f>
        <v>0.02</v>
      </c>
      <c r="Q56" s="20">
        <f>$J56*$M56</f>
        <v>1.1999999999999999E-3</v>
      </c>
    </row>
    <row r="57" spans="1:17" ht="29.25" customHeight="1">
      <c r="A57" s="8">
        <v>54</v>
      </c>
      <c r="B57" s="6" t="s">
        <v>423</v>
      </c>
      <c r="C57" s="6" t="s">
        <v>121</v>
      </c>
      <c r="D57" s="6" t="s">
        <v>345</v>
      </c>
      <c r="E57" s="6" t="s">
        <v>119</v>
      </c>
      <c r="F57" s="6" t="s">
        <v>120</v>
      </c>
      <c r="G57" s="6" t="s">
        <v>122</v>
      </c>
      <c r="H57" s="6" t="s">
        <v>123</v>
      </c>
      <c r="I57" s="6" t="s">
        <v>343</v>
      </c>
      <c r="J57" s="19">
        <v>1</v>
      </c>
      <c r="K57" s="19">
        <f>$J57*Cost!$B$6</f>
        <v>5</v>
      </c>
      <c r="L57" s="20">
        <v>4.0000000000000001E-3</v>
      </c>
      <c r="M57" s="20">
        <v>1E-3</v>
      </c>
      <c r="N57" s="9" t="s">
        <v>124</v>
      </c>
      <c r="O57" s="9"/>
      <c r="P57" s="21">
        <f>$K57*$L57</f>
        <v>0.02</v>
      </c>
      <c r="Q57" s="20">
        <f>$J57*$M57</f>
        <v>1E-3</v>
      </c>
    </row>
    <row r="58" spans="1:17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1:17" ht="15" customHeight="1">
      <c r="A59" s="15"/>
      <c r="B59" s="15" t="s">
        <v>441</v>
      </c>
      <c r="C59" s="15"/>
      <c r="D59" s="15"/>
      <c r="E59" s="15"/>
      <c r="F59" s="15"/>
      <c r="G59" s="15"/>
      <c r="H59" s="15"/>
      <c r="I59" s="15"/>
      <c r="J59" s="16">
        <f>SUM(J4:J57)</f>
        <v>182</v>
      </c>
      <c r="K59" s="16">
        <f>SUM(K4:K57)</f>
        <v>910</v>
      </c>
      <c r="L59" s="15"/>
      <c r="M59" s="15"/>
      <c r="N59" s="15"/>
      <c r="O59" s="15"/>
      <c r="P59" s="17">
        <f>SUM(P4:P57)</f>
        <v>139.94149999999999</v>
      </c>
      <c r="Q59" s="22">
        <f>SUM(Q4:Q57)</f>
        <v>19.172000000000004</v>
      </c>
    </row>
  </sheetData>
  <mergeCells count="2">
    <mergeCell ref="A1:Q1"/>
    <mergeCell ref="A2:Q2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02580-CAD0-4FE5-99D0-5434E98A47AD}">
  <dimension ref="A1:G79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47.42578125" customWidth="1"/>
    <col min="2" max="4" width="12.42578125" customWidth="1"/>
    <col min="5" max="5" width="14.42578125" customWidth="1"/>
    <col min="6" max="6" width="12.42578125" customWidth="1"/>
    <col min="7" max="7" width="73.42578125" customWidth="1"/>
  </cols>
  <sheetData>
    <row r="1" spans="1:7" ht="21.75" customHeight="1">
      <c r="A1" s="55" t="s">
        <v>442</v>
      </c>
      <c r="B1" s="94"/>
      <c r="C1" s="94"/>
      <c r="D1" s="94"/>
      <c r="E1" s="94"/>
      <c r="F1" s="94"/>
      <c r="G1" s="94"/>
    </row>
    <row r="2" spans="1:7">
      <c r="A2" s="95" t="s">
        <v>443</v>
      </c>
      <c r="B2" s="94"/>
      <c r="C2" s="94"/>
      <c r="D2" s="94"/>
      <c r="E2" s="94"/>
      <c r="F2" s="94"/>
      <c r="G2" s="94"/>
    </row>
    <row r="3" spans="1:7">
      <c r="A3" s="1"/>
      <c r="B3" s="1"/>
      <c r="C3" s="1"/>
      <c r="D3" s="1"/>
      <c r="E3" s="1"/>
      <c r="F3" s="1"/>
      <c r="G3" s="1"/>
    </row>
    <row r="4" spans="1:7">
      <c r="A4" s="3" t="s">
        <v>444</v>
      </c>
      <c r="B4" s="23" t="s">
        <v>4</v>
      </c>
      <c r="C4" s="23" t="s">
        <v>5</v>
      </c>
      <c r="D4" s="3"/>
      <c r="E4" s="3"/>
      <c r="F4" s="3"/>
      <c r="G4" s="3" t="s">
        <v>445</v>
      </c>
    </row>
    <row r="5" spans="1:7">
      <c r="A5" s="1" t="s">
        <v>446</v>
      </c>
      <c r="B5" s="89">
        <v>31.7</v>
      </c>
      <c r="C5" s="1" t="s">
        <v>447</v>
      </c>
      <c r="D5" s="1"/>
      <c r="E5" s="1"/>
      <c r="F5" s="1"/>
      <c r="G5" s="7" t="s">
        <v>448</v>
      </c>
    </row>
    <row r="6" spans="1:7">
      <c r="A6" s="64" t="s">
        <v>449</v>
      </c>
      <c r="B6" s="90">
        <v>5</v>
      </c>
      <c r="C6" s="64" t="s">
        <v>450</v>
      </c>
      <c r="D6" s="64"/>
      <c r="E6" s="64"/>
      <c r="F6" s="64"/>
      <c r="G6" s="24" t="s">
        <v>451</v>
      </c>
    </row>
    <row r="7" spans="1:7">
      <c r="A7" s="1" t="s">
        <v>452</v>
      </c>
      <c r="B7" s="90">
        <v>100</v>
      </c>
      <c r="C7" s="1" t="s">
        <v>450</v>
      </c>
      <c r="D7" s="1"/>
      <c r="E7" s="1"/>
      <c r="F7" s="1"/>
      <c r="G7" s="7" t="s">
        <v>453</v>
      </c>
    </row>
    <row r="8" spans="1:7" ht="27" customHeight="1">
      <c r="A8" s="64" t="s">
        <v>454</v>
      </c>
      <c r="B8" s="91">
        <v>0.1</v>
      </c>
      <c r="C8" s="64" t="s">
        <v>455</v>
      </c>
      <c r="D8" s="64"/>
      <c r="E8" s="64"/>
      <c r="F8" s="64"/>
      <c r="G8" s="24" t="s">
        <v>456</v>
      </c>
    </row>
    <row r="9" spans="1:7">
      <c r="A9" s="1" t="s">
        <v>457</v>
      </c>
      <c r="B9" s="90">
        <v>7</v>
      </c>
      <c r="C9" s="1" t="s">
        <v>38</v>
      </c>
      <c r="D9" s="1"/>
      <c r="E9" s="1"/>
      <c r="F9" s="1"/>
      <c r="G9" s="7" t="s">
        <v>458</v>
      </c>
    </row>
    <row r="10" spans="1:7" ht="27" customHeight="1">
      <c r="A10" s="64" t="s">
        <v>459</v>
      </c>
      <c r="B10" s="90">
        <v>1500</v>
      </c>
      <c r="C10" s="64" t="s">
        <v>8</v>
      </c>
      <c r="D10" s="64"/>
      <c r="E10" s="64"/>
      <c r="F10" s="64"/>
      <c r="G10" s="24" t="s">
        <v>460</v>
      </c>
    </row>
    <row r="11" spans="1:7" ht="27" customHeight="1">
      <c r="A11" s="1" t="s">
        <v>461</v>
      </c>
      <c r="B11" s="90">
        <v>1550</v>
      </c>
      <c r="C11" s="1" t="s">
        <v>8</v>
      </c>
      <c r="D11" s="1"/>
      <c r="E11" s="1"/>
      <c r="F11" s="1"/>
      <c r="G11" s="7" t="s">
        <v>15</v>
      </c>
    </row>
    <row r="12" spans="1:7">
      <c r="A12" s="1"/>
      <c r="B12" s="1"/>
      <c r="C12" s="1"/>
      <c r="D12" s="1"/>
      <c r="E12" s="1"/>
      <c r="F12" s="1"/>
      <c r="G12" s="7"/>
    </row>
    <row r="13" spans="1:7">
      <c r="A13" s="3" t="s">
        <v>462</v>
      </c>
      <c r="B13" s="23" t="s">
        <v>4</v>
      </c>
      <c r="C13" s="23" t="s">
        <v>5</v>
      </c>
      <c r="D13" s="3"/>
      <c r="E13" s="3"/>
      <c r="F13" s="3"/>
      <c r="G13" s="25" t="s">
        <v>463</v>
      </c>
    </row>
    <row r="14" spans="1:7">
      <c r="A14" s="1" t="s">
        <v>464</v>
      </c>
      <c r="B14" s="63">
        <f>COUNTIF('Parts list'!$K$4:$K$84,"Yes")</f>
        <v>76</v>
      </c>
      <c r="C14" s="1" t="s">
        <v>25</v>
      </c>
      <c r="D14" s="1"/>
      <c r="E14" s="1"/>
      <c r="F14" s="1"/>
      <c r="G14" s="7" t="s">
        <v>465</v>
      </c>
    </row>
    <row r="15" spans="1:7">
      <c r="A15" s="64" t="s">
        <v>29</v>
      </c>
      <c r="B15" s="65">
        <f>SUMIFS('Parts list'!$C$4:$C$84,'Parts list'!$K$4:$K$84,"Yes",'Parts list'!$M$4:$M$84,"&gt;0",'Parts list'!$B$4:$B$84,"&lt;&gt;PCB")</f>
        <v>181</v>
      </c>
      <c r="C15" s="64" t="s">
        <v>30</v>
      </c>
      <c r="D15" s="64"/>
      <c r="E15" s="64"/>
      <c r="F15" s="64"/>
      <c r="G15" s="24" t="s">
        <v>466</v>
      </c>
    </row>
    <row r="16" spans="1:7">
      <c r="A16" s="1" t="s">
        <v>467</v>
      </c>
      <c r="B16" s="63">
        <f>SUMIFS('Parts list'!$C$4:$C$84,'Parts list'!$K$4:$K$84,"Yes",'Parts list'!$F$4:$F$84,"Through-hole")</f>
        <v>1</v>
      </c>
      <c r="C16" s="1" t="s">
        <v>30</v>
      </c>
      <c r="D16" s="1"/>
      <c r="E16" s="1"/>
      <c r="F16" s="1"/>
      <c r="G16" s="7" t="s">
        <v>468</v>
      </c>
    </row>
    <row r="17" spans="1:7" ht="27" customHeight="1">
      <c r="A17" s="64" t="s">
        <v>469</v>
      </c>
      <c r="B17" s="65">
        <f>SUMIFS('Parts list'!$V$4:$V$84,'Parts list'!$J$4:$J$84,"&lt;&gt;Basic",'Parts list'!$J$4:$J$84,"&lt;&gt;Basic (likely)")</f>
        <v>14</v>
      </c>
      <c r="C17" s="64" t="s">
        <v>32</v>
      </c>
      <c r="D17" s="64"/>
      <c r="E17" s="64"/>
      <c r="F17" s="64"/>
      <c r="G17" s="24" t="s">
        <v>470</v>
      </c>
    </row>
    <row r="18" spans="1:7">
      <c r="A18" s="1" t="s">
        <v>471</v>
      </c>
      <c r="B18" s="63">
        <f>SUMIFS('Parts list'!$V$4:$V$84,'Parts list'!$J$4:$J$84,"Basic")+SUMIFS('Parts list'!$V$4:$V$84,'Parts list'!$J$4:$J$84,"Basic (likely)")</f>
        <v>39</v>
      </c>
      <c r="C18" s="1" t="s">
        <v>32</v>
      </c>
      <c r="D18" s="1"/>
      <c r="E18" s="1"/>
      <c r="F18" s="1"/>
      <c r="G18" s="7" t="s">
        <v>472</v>
      </c>
    </row>
    <row r="19" spans="1:7">
      <c r="A19" s="64" t="s">
        <v>473</v>
      </c>
      <c r="B19" s="65">
        <f>B17+B18</f>
        <v>53</v>
      </c>
      <c r="C19" s="64" t="s">
        <v>32</v>
      </c>
      <c r="D19" s="64"/>
      <c r="E19" s="64"/>
      <c r="F19" s="64"/>
      <c r="G19" s="24" t="s">
        <v>474</v>
      </c>
    </row>
    <row r="20" spans="1:7">
      <c r="A20" s="1" t="s">
        <v>37</v>
      </c>
      <c r="B20" s="63" cm="1">
        <f t="array" ref="B20">SUMPRODUCT(('Parts list'!$K$4:$K$84="Yes")*('Parts list'!$B$4:$B$84&lt;&gt;"PCB")*'Parts list'!$C$4:$C$84*'Parts list'!$M$4:$M$84)</f>
        <v>579</v>
      </c>
      <c r="C20" s="1" t="s">
        <v>38</v>
      </c>
      <c r="D20" s="1"/>
      <c r="E20" s="1"/>
      <c r="F20" s="1"/>
      <c r="G20" s="7" t="s">
        <v>475</v>
      </c>
    </row>
    <row r="21" spans="1:7" ht="27" customHeight="1">
      <c r="A21" s="64" t="s">
        <v>476</v>
      </c>
      <c r="B21" s="65">
        <f>SUMIFS('Parts list'!$C$4:$C$84,'Parts list'!$K$4:$K$84,"Yes",'Parts list'!$L$4:$L$84,"Yes")</f>
        <v>7</v>
      </c>
      <c r="C21" s="64" t="s">
        <v>30</v>
      </c>
      <c r="D21" s="64"/>
      <c r="E21" s="64"/>
      <c r="F21" s="64"/>
      <c r="G21" s="24" t="s">
        <v>477</v>
      </c>
    </row>
    <row r="22" spans="1:7">
      <c r="A22" s="79" t="s">
        <v>478</v>
      </c>
      <c r="B22" s="63">
        <f>SUMIFS('Parts list'!$C$4:$C$84,'Parts list'!$K$4:$K$84,"Yes",'Parts list'!$L$4:$L$84,"Yes",'Parts list'!$D$4:$D$84,"Oscillator*")</f>
        <v>2</v>
      </c>
      <c r="C22" s="1" t="s">
        <v>30</v>
      </c>
      <c r="D22" s="1"/>
      <c r="E22" s="1"/>
      <c r="F22" s="1"/>
      <c r="G22" s="7" t="s">
        <v>479</v>
      </c>
    </row>
    <row r="23" spans="1:7" ht="27" customHeight="1">
      <c r="A23" s="64" t="s">
        <v>480</v>
      </c>
      <c r="B23" s="68">
        <f>SUMIFS('Parts list'!$R$4:$R$84,'Parts list'!$B$4:$B$84,"&lt;&gt;PCB")</f>
        <v>141.67649999999992</v>
      </c>
      <c r="C23" s="64" t="s">
        <v>455</v>
      </c>
      <c r="D23" s="64"/>
      <c r="E23" s="64"/>
      <c r="F23" s="64"/>
      <c r="G23" s="24" t="s">
        <v>481</v>
      </c>
    </row>
    <row r="24" spans="1:7">
      <c r="A24" s="80" t="s">
        <v>482</v>
      </c>
      <c r="B24" s="67" cm="1">
        <f t="array" ref="B24">B23-B6*SUMPRODUCT(('Parts list'!$K$4:$K$84="Yes")*('Parts list'!$B$4:$B$84&lt;&gt;"PCB")*'Parts list'!$C$4:$C$84*'Parts list'!$N$4:$N$84)</f>
        <v>1.7350000000000421</v>
      </c>
      <c r="C24" s="1" t="s">
        <v>455</v>
      </c>
      <c r="D24" s="1"/>
      <c r="E24" s="1"/>
      <c r="F24" s="1"/>
      <c r="G24" s="7" t="s">
        <v>483</v>
      </c>
    </row>
    <row r="25" spans="1:7">
      <c r="A25" s="64" t="s">
        <v>484</v>
      </c>
      <c r="B25" s="68">
        <f>SUMIFS('Parts list'!$R$4:$R$84,'Parts list'!$B$4:$B$84,"PCB")</f>
        <v>10</v>
      </c>
      <c r="C25" s="64" t="s">
        <v>455</v>
      </c>
      <c r="D25" s="64"/>
      <c r="E25" s="64"/>
      <c r="F25" s="64"/>
      <c r="G25" s="24" t="s">
        <v>485</v>
      </c>
    </row>
    <row r="26" spans="1:7">
      <c r="A26" s="1" t="s">
        <v>486</v>
      </c>
      <c r="B26" s="67">
        <f>SUMIFS('Parts list'!$S$4:$S$84,'Parts list'!$B$4:$B$84,"&lt;&gt;PCB")/$B$7</f>
        <v>19.171999999999997</v>
      </c>
      <c r="C26" s="1" t="s">
        <v>455</v>
      </c>
      <c r="D26" s="1"/>
      <c r="E26" s="1"/>
      <c r="F26" s="1"/>
      <c r="G26" s="7" t="s">
        <v>487</v>
      </c>
    </row>
    <row r="27" spans="1:7">
      <c r="A27" s="64" t="s">
        <v>488</v>
      </c>
      <c r="B27" s="68">
        <f>SUMIFS('Parts list'!$S$4:$S$84,'Parts list'!$B$4:$B$84,"PCB")/$B$7</f>
        <v>0.8</v>
      </c>
      <c r="C27" s="64" t="s">
        <v>455</v>
      </c>
      <c r="D27" s="64"/>
      <c r="E27" s="64"/>
      <c r="F27" s="64"/>
      <c r="G27" s="24" t="s">
        <v>489</v>
      </c>
    </row>
    <row r="28" spans="1:7">
      <c r="A28" s="1"/>
      <c r="B28" s="1"/>
      <c r="C28" s="1"/>
      <c r="D28" s="1"/>
      <c r="E28" s="1"/>
      <c r="F28" s="1"/>
      <c r="G28" s="7"/>
    </row>
    <row r="29" spans="1:7">
      <c r="A29" s="3" t="str">
        <f>"5-board sample run — "&amp;TEXT($B$6,"0")&amp;" boards, JLCPCB Economic PCBA"</f>
        <v>5-board sample run — 5 boards, JLCPCB Economic PCBA</v>
      </c>
      <c r="B29" s="3"/>
      <c r="C29" s="3"/>
      <c r="D29" s="3"/>
      <c r="E29" s="3"/>
      <c r="F29" s="3"/>
      <c r="G29" s="25"/>
    </row>
    <row r="30" spans="1:7">
      <c r="A30" s="77" t="s">
        <v>490</v>
      </c>
      <c r="B30" s="78" t="s">
        <v>491</v>
      </c>
      <c r="C30" s="78" t="s">
        <v>492</v>
      </c>
      <c r="D30" s="78" t="s">
        <v>493</v>
      </c>
      <c r="E30" s="78" t="s">
        <v>455</v>
      </c>
      <c r="F30" s="78" t="s">
        <v>8</v>
      </c>
      <c r="G30" s="26" t="s">
        <v>6</v>
      </c>
    </row>
    <row r="31" spans="1:7">
      <c r="A31" s="1" t="s">
        <v>494</v>
      </c>
      <c r="B31" s="63"/>
      <c r="C31" s="81"/>
      <c r="D31" s="92">
        <v>8.18</v>
      </c>
      <c r="E31" s="67">
        <f>B31*C31+D31</f>
        <v>8.18</v>
      </c>
      <c r="F31" s="63">
        <f>E31*$B$5</f>
        <v>259.30599999999998</v>
      </c>
      <c r="G31" s="7" t="s">
        <v>495</v>
      </c>
    </row>
    <row r="32" spans="1:7">
      <c r="A32" s="64" t="s">
        <v>496</v>
      </c>
      <c r="B32" s="65"/>
      <c r="C32" s="82"/>
      <c r="D32" s="92">
        <v>1.53</v>
      </c>
      <c r="E32" s="68">
        <f>B32*C32+D32</f>
        <v>1.53</v>
      </c>
      <c r="F32" s="65">
        <f>E32*$B$5</f>
        <v>48.500999999999998</v>
      </c>
      <c r="G32" s="24" t="s">
        <v>495</v>
      </c>
    </row>
    <row r="33" spans="1:7" ht="27" customHeight="1">
      <c r="A33" s="1" t="s">
        <v>31</v>
      </c>
      <c r="B33" s="63">
        <f>B17</f>
        <v>14</v>
      </c>
      <c r="C33" s="93">
        <v>3.07</v>
      </c>
      <c r="D33" s="67"/>
      <c r="E33" s="67">
        <f>B33*C33+D33</f>
        <v>42.98</v>
      </c>
      <c r="F33" s="63">
        <f>E33*$B$5</f>
        <v>1362.4659999999999</v>
      </c>
      <c r="G33" s="7" t="str">
        <f>TEXT(B33,"0")&amp;" Extended SMT part types × US$"&amp;TEXT(C33,"0.00")&amp;" (Basic parts carry no per-type fee)"</f>
        <v>14 Extended SMT part types × US$3.07 (Basic parts carry no per-type fee)</v>
      </c>
    </row>
    <row r="34" spans="1:7">
      <c r="A34" s="64" t="s">
        <v>497</v>
      </c>
      <c r="B34" s="65">
        <f>B20*$B$6</f>
        <v>2895</v>
      </c>
      <c r="C34" s="93">
        <v>1.6000000000000001E-3</v>
      </c>
      <c r="D34" s="68"/>
      <c r="E34" s="68">
        <f>B34*C34+D34</f>
        <v>4.6320000000000006</v>
      </c>
      <c r="F34" s="65">
        <f>E34*$B$5</f>
        <v>146.83440000000002</v>
      </c>
      <c r="G34" s="24" t="str">
        <f>TEXT(B20,"#,##0")&amp;" joints per board × "&amp;TEXT($B$6,"0")&amp;" boards"</f>
        <v>579 joints per board × 5 boards</v>
      </c>
    </row>
    <row r="35" spans="1:7" ht="27" customHeight="1">
      <c r="A35" s="1" t="s">
        <v>498</v>
      </c>
      <c r="B35" s="63">
        <f>B21*$B$6</f>
        <v>35</v>
      </c>
      <c r="C35" s="93">
        <v>0.82</v>
      </c>
      <c r="D35" s="67"/>
      <c r="E35" s="67">
        <f>B35*C35+D35</f>
        <v>28.7</v>
      </c>
      <c r="F35" s="63">
        <f>E35*$B$5</f>
        <v>909.79</v>
      </c>
      <c r="G35" s="7" t="str">
        <f>TEXT(B21,"0")&amp;" leadless parts per board × "&amp;TEXT($B$6,"0")&amp;" boards (11–50-part tier); includes both oscillators"</f>
        <v>7 leadless parts per board × 5 boards (11–50-part tier); includes both oscillators</v>
      </c>
    </row>
    <row r="36" spans="1:7" ht="27" customHeight="1">
      <c r="A36" s="64" t="s">
        <v>499</v>
      </c>
      <c r="B36" s="65">
        <f>$B$9*$B$6</f>
        <v>35</v>
      </c>
      <c r="C36" s="93">
        <v>1.6400000000000001E-2</v>
      </c>
      <c r="D36" s="92">
        <v>3.58</v>
      </c>
      <c r="E36" s="68">
        <f>B36*C36+D36</f>
        <v>4.1539999999999999</v>
      </c>
      <c r="F36" s="65">
        <f>E36*$B$5</f>
        <v>131.68179999999998</v>
      </c>
      <c r="G36" s="24" t="str">
        <f>"4.4 mm jack: "&amp;TEXT($B$9,"0")&amp;" joints per board × "&amp;TEXT($B$6,"0")&amp;" boards, plus a fixed fee per order"</f>
        <v>4.4 mm jack: 7 joints per board × 5 boards, plus a fixed fee per order</v>
      </c>
    </row>
    <row r="37" spans="1:7">
      <c r="A37" s="1" t="s">
        <v>500</v>
      </c>
      <c r="B37" s="63"/>
      <c r="C37" s="81"/>
      <c r="D37" s="92">
        <v>0.45</v>
      </c>
      <c r="E37" s="67">
        <f>B37*C37+D37</f>
        <v>0.45</v>
      </c>
      <c r="F37" s="63">
        <f>E37*$B$5</f>
        <v>14.265000000000001</v>
      </c>
      <c r="G37" s="7" t="s">
        <v>495</v>
      </c>
    </row>
    <row r="38" spans="1:7">
      <c r="A38" s="15" t="s">
        <v>501</v>
      </c>
      <c r="B38" s="60"/>
      <c r="C38" s="22"/>
      <c r="D38" s="17"/>
      <c r="E38" s="17">
        <f>SUM(E31:E37)</f>
        <v>90.625999999999991</v>
      </c>
      <c r="F38" s="60">
        <f>E38*$B$5</f>
        <v>2872.8441999999995</v>
      </c>
      <c r="G38" s="27"/>
    </row>
    <row r="39" spans="1:7">
      <c r="A39" s="1"/>
      <c r="B39" s="1"/>
      <c r="C39" s="1"/>
      <c r="D39" s="1"/>
      <c r="E39" s="1"/>
      <c r="F39" s="1"/>
      <c r="G39" s="7"/>
    </row>
    <row r="40" spans="1:7">
      <c r="A40" s="77" t="s">
        <v>502</v>
      </c>
      <c r="B40" s="78"/>
      <c r="C40" s="78"/>
      <c r="D40" s="78"/>
      <c r="E40" s="78" t="s">
        <v>455</v>
      </c>
      <c r="F40" s="78" t="s">
        <v>8</v>
      </c>
      <c r="G40" s="26" t="s">
        <v>6</v>
      </c>
    </row>
    <row r="41" spans="1:7" ht="27" customHeight="1">
      <c r="A41" s="1" t="s">
        <v>7</v>
      </c>
      <c r="B41" s="1"/>
      <c r="C41" s="1"/>
      <c r="D41" s="1"/>
      <c r="E41" s="67">
        <f>B23</f>
        <v>141.67649999999992</v>
      </c>
      <c r="F41" s="63">
        <f>E41*$B$5</f>
        <v>4491.1450499999974</v>
      </c>
      <c r="G41" s="7" t="s">
        <v>503</v>
      </c>
    </row>
    <row r="42" spans="1:7">
      <c r="A42" s="64" t="s">
        <v>9</v>
      </c>
      <c r="B42" s="64"/>
      <c r="C42" s="64"/>
      <c r="D42" s="64"/>
      <c r="E42" s="68">
        <f>B25</f>
        <v>10</v>
      </c>
      <c r="F42" s="65">
        <f>E42*$B$5</f>
        <v>317</v>
      </c>
      <c r="G42" s="24" t="str">
        <f>TEXT($B$6,"0")&amp;" boards; Parts list PCB row"</f>
        <v>5 boards; Parts list PCB row</v>
      </c>
    </row>
    <row r="43" spans="1:7">
      <c r="A43" s="1" t="s">
        <v>504</v>
      </c>
      <c r="B43" s="1"/>
      <c r="C43" s="1"/>
      <c r="D43" s="1"/>
      <c r="E43" s="67">
        <f>E38</f>
        <v>90.625999999999991</v>
      </c>
      <c r="F43" s="63">
        <f>E43*$B$5</f>
        <v>2872.8441999999995</v>
      </c>
      <c r="G43" s="7" t="s">
        <v>505</v>
      </c>
    </row>
    <row r="44" spans="1:7">
      <c r="A44" s="15" t="s">
        <v>11</v>
      </c>
      <c r="B44" s="15"/>
      <c r="C44" s="15"/>
      <c r="D44" s="15"/>
      <c r="E44" s="17">
        <f>SUM(E41:E43)</f>
        <v>242.3024999999999</v>
      </c>
      <c r="F44" s="60">
        <f>E44*$B$5</f>
        <v>7680.9892499999969</v>
      </c>
      <c r="G44" s="27" t="str">
        <f>"for "&amp;TEXT($B$6,"0")&amp;" boards"</f>
        <v>for 5 boards</v>
      </c>
    </row>
    <row r="45" spans="1:7">
      <c r="A45" s="15" t="s">
        <v>12</v>
      </c>
      <c r="B45" s="15"/>
      <c r="C45" s="15"/>
      <c r="D45" s="15"/>
      <c r="E45" s="17">
        <f>E44/$B$6</f>
        <v>48.460499999999982</v>
      </c>
      <c r="F45" s="60">
        <f>E45*$B$5</f>
        <v>1536.1978499999993</v>
      </c>
      <c r="G45" s="27" t="s">
        <v>506</v>
      </c>
    </row>
    <row r="46" spans="1:7">
      <c r="A46" s="1" t="s">
        <v>13</v>
      </c>
      <c r="B46" s="1"/>
      <c r="C46" s="1"/>
      <c r="D46" s="1"/>
      <c r="E46" s="1"/>
      <c r="F46" s="63">
        <f>$B$10</f>
        <v>1500</v>
      </c>
      <c r="G46" s="7" t="str">
        <f>"input B10; "&amp;TEXT($B$10*$B$6,"#,##0")&amp;" NTD for "&amp;TEXT($B$6,"0")&amp;" boards; WARNING above"</f>
        <v>input B10; 7,500 NTD for 5 boards; WARNING above</v>
      </c>
    </row>
    <row r="47" spans="1:7">
      <c r="A47" s="64" t="s">
        <v>14</v>
      </c>
      <c r="B47" s="64"/>
      <c r="C47" s="64"/>
      <c r="D47" s="64"/>
      <c r="E47" s="64"/>
      <c r="F47" s="65">
        <f>$B$11</f>
        <v>1550</v>
      </c>
      <c r="G47" s="24" t="s">
        <v>507</v>
      </c>
    </row>
    <row r="48" spans="1:7">
      <c r="A48" s="1" t="s">
        <v>508</v>
      </c>
      <c r="B48" s="1"/>
      <c r="C48" s="1"/>
      <c r="D48" s="1"/>
      <c r="E48" s="1"/>
      <c r="F48" s="83">
        <f>F46-F45</f>
        <v>-36.197849999999335</v>
      </c>
      <c r="G48" s="7" t="str">
        <f>IF(F48&gt;=0,"within the target",TEXT(-F48,"#,##0")&amp;" NTD over the target ("&amp;TEXT(-F48/F46,"0.0%")&amp;")")</f>
        <v>36 NTD over the target (2.4%)</v>
      </c>
    </row>
    <row r="49" spans="1:7">
      <c r="A49" s="64" t="s">
        <v>509</v>
      </c>
      <c r="B49" s="64"/>
      <c r="C49" s="64"/>
      <c r="D49" s="64"/>
      <c r="E49" s="64"/>
      <c r="F49" s="84">
        <f>F47-F45</f>
        <v>13.802150000000665</v>
      </c>
      <c r="G49" s="24" t="str">
        <f>IF(F49&gt;=0,TEXT(F49,"#,##0")&amp;" NTD under the approved ceiling","over the approved ceiling")</f>
        <v>14 NTD under the approved ceiling</v>
      </c>
    </row>
    <row r="50" spans="1:7">
      <c r="A50" s="59" t="s">
        <v>19</v>
      </c>
      <c r="B50" s="59"/>
      <c r="C50" s="59"/>
      <c r="D50" s="59"/>
      <c r="E50" s="59"/>
      <c r="F50" s="66" t="str">
        <f>IF(F45&lt;=F46,"PASS",IF(F45&lt;=F47,"WARNING","FAIL"))</f>
        <v>WARNING</v>
      </c>
      <c r="G50" s="28" t="str">
        <f>"PASS ≤ "&amp;TEXT(F46,"#,##0")&amp;" NTD per board (target); WARNING ≤ "&amp;TEXT(F47,"#,##0")&amp;" (approved ceiling); FAIL &gt; "&amp;TEXT(F47,"#,##0")</f>
        <v>PASS ≤ 1,500 NTD per board (target); WARNING ≤ 1,550 (approved ceiling); FAIL &gt; 1,550</v>
      </c>
    </row>
    <row r="51" spans="1:7">
      <c r="A51" s="1"/>
      <c r="B51" s="1"/>
      <c r="C51" s="1"/>
      <c r="D51" s="1"/>
      <c r="E51" s="1"/>
      <c r="F51" s="1"/>
      <c r="G51" s="7"/>
    </row>
    <row r="52" spans="1:7">
      <c r="A52" s="3" t="s">
        <v>510</v>
      </c>
      <c r="B52" s="3"/>
      <c r="C52" s="3"/>
      <c r="D52" s="3"/>
      <c r="E52" s="3"/>
      <c r="F52" s="3"/>
      <c r="G52" s="25"/>
    </row>
    <row r="53" spans="1:7">
      <c r="A53" s="77" t="s">
        <v>511</v>
      </c>
      <c r="B53" s="78" t="s">
        <v>491</v>
      </c>
      <c r="C53" s="78" t="s">
        <v>492</v>
      </c>
      <c r="D53" s="78" t="s">
        <v>512</v>
      </c>
      <c r="E53" s="78" t="s">
        <v>513</v>
      </c>
      <c r="F53" s="78" t="s">
        <v>17</v>
      </c>
      <c r="G53" s="26" t="s">
        <v>6</v>
      </c>
    </row>
    <row r="54" spans="1:7" ht="27" customHeight="1">
      <c r="A54" s="1" t="s">
        <v>514</v>
      </c>
      <c r="B54" s="63">
        <f>B22*$B$6</f>
        <v>10</v>
      </c>
      <c r="C54" s="81">
        <f>C35</f>
        <v>0.82</v>
      </c>
      <c r="D54" s="67"/>
      <c r="E54" s="85">
        <f>-B54*C54</f>
        <v>-8.1999999999999993</v>
      </c>
      <c r="F54" s="87">
        <f>E54*$B$5/$B$6</f>
        <v>-51.988</v>
      </c>
      <c r="G54" s="7" t="str">
        <f>"JLCPCB may not X-ray the two oscillators (the X-ray fee above counts them); total would be ≈ "&amp;TEXT(F45+F54,"#,##0")&amp;" NTD per board"</f>
        <v>JLCPCB may not X-ray the two oscillators (the X-ray fee above counts them); total would be ≈ 1,484 NTD per board</v>
      </c>
    </row>
    <row r="55" spans="1:7" ht="27" customHeight="1">
      <c r="A55" s="64" t="s">
        <v>515</v>
      </c>
      <c r="B55" s="65">
        <f>SUMIFS('Parts list'!$Q$4:$Q$84,'Parts list'!$B$4:$B$84,"J701")</f>
        <v>5</v>
      </c>
      <c r="C55" s="82">
        <f>SUMIFS('Parts list'!$N$4:$N$84,'Parts list'!$B$4:$B$84,"J701")</f>
        <v>6.8655999999999997</v>
      </c>
      <c r="D55" s="68">
        <f>B55*C55</f>
        <v>34.327999999999996</v>
      </c>
      <c r="E55" s="86"/>
      <c r="F55" s="65">
        <f>D55*$B$5/$B$6</f>
        <v>217.63951999999995</v>
      </c>
      <c r="G55" s="24" t="str">
        <f>"current cost per board at 1–9 pcs = the most a cheaper jack can save; each US$1.00 off its unit price saves "&amp;TEXT($B$5,"0.0")&amp;" NTD per board"</f>
        <v>current cost per board at 1–9 pcs = the most a cheaper jack can save; each US$1.00 off its unit price saves 31.7 NTD per board</v>
      </c>
    </row>
    <row r="56" spans="1:7" ht="27" customHeight="1">
      <c r="A56" s="1" t="s">
        <v>516</v>
      </c>
      <c r="B56" s="90">
        <v>10</v>
      </c>
      <c r="C56" s="93">
        <v>2.98</v>
      </c>
      <c r="D56" s="67">
        <f>SUMIFS('Parts list'!$R$4:$R$84,'Parts list'!$B$4:$B$84,"U201")</f>
        <v>17.25</v>
      </c>
      <c r="E56" s="85">
        <f>B56*C56-D56</f>
        <v>12.55</v>
      </c>
      <c r="F56" s="87">
        <f>E56*$B$5/$B$6</f>
        <v>79.567000000000007</v>
      </c>
      <c r="G56" s="7" t="s">
        <v>517</v>
      </c>
    </row>
    <row r="57" spans="1:7" ht="27" customHeight="1">
      <c r="A57" s="64" t="s">
        <v>518</v>
      </c>
      <c r="B57" s="90">
        <v>10</v>
      </c>
      <c r="C57" s="93">
        <v>1.4</v>
      </c>
      <c r="D57" s="68">
        <f>SUMIFS('Parts list'!$R$4:$R$84,'Parts list'!$B$4:$B$84,"U202")</f>
        <v>8.2515000000000001</v>
      </c>
      <c r="E57" s="86">
        <f>B57*C57-D57</f>
        <v>5.7484999999999999</v>
      </c>
      <c r="F57" s="88">
        <f>E57*$B$5/$B$6</f>
        <v>36.445489999999999</v>
      </c>
      <c r="G57" s="24" t="s">
        <v>517</v>
      </c>
    </row>
    <row r="58" spans="1:7" ht="27" customHeight="1">
      <c r="A58" s="1" t="s">
        <v>519</v>
      </c>
      <c r="B58" s="90">
        <v>10</v>
      </c>
      <c r="C58" s="93">
        <v>0.95</v>
      </c>
      <c r="D58" s="67">
        <f>SUMIFS('Parts list'!$R$4:$R$84,'Parts list'!$B$4:$B$84,"U501")</f>
        <v>5.5069999999999997</v>
      </c>
      <c r="E58" s="85">
        <f>B58*C58-D58</f>
        <v>3.9930000000000003</v>
      </c>
      <c r="F58" s="87">
        <f>E58*$B$5/$B$6</f>
        <v>25.315620000000003</v>
      </c>
      <c r="G58" s="7" t="s">
        <v>517</v>
      </c>
    </row>
    <row r="59" spans="1:7">
      <c r="A59" s="64" t="s">
        <v>520</v>
      </c>
      <c r="B59" s="64"/>
      <c r="C59" s="64"/>
      <c r="D59" s="64"/>
      <c r="E59" s="86">
        <f>F59*$B$6/$B$5</f>
        <v>5.7094400630913782</v>
      </c>
      <c r="F59" s="71">
        <f>MAX(0,F45-F46)</f>
        <v>36.197849999999335</v>
      </c>
      <c r="G59" s="24" t="str">
        <f>"per-board reduction that brings the total to the "&amp;TEXT(F46,"#,##0")&amp;" NTD target"</f>
        <v>per-board reduction that brings the total to the 1,500 NTD target</v>
      </c>
    </row>
    <row r="60" spans="1:7">
      <c r="A60" s="1"/>
      <c r="B60" s="1"/>
      <c r="C60" s="1"/>
      <c r="D60" s="1"/>
      <c r="E60" s="1"/>
      <c r="F60" s="1"/>
      <c r="G60" s="7"/>
    </row>
    <row r="61" spans="1:7">
      <c r="A61" s="3" t="str">
        <f>"100-unit reference — "&amp;TEXT($B$7,"0")&amp;" boards, JLCPCB Standard PCBA (reference only; not the budget basis)"</f>
        <v>100-unit reference — 100 boards, JLCPCB Standard PCBA (reference only; not the budget basis)</v>
      </c>
      <c r="B61" s="3"/>
      <c r="C61" s="3"/>
      <c r="D61" s="3"/>
      <c r="E61" s="3"/>
      <c r="F61" s="3"/>
      <c r="G61" s="25"/>
    </row>
    <row r="62" spans="1:7">
      <c r="A62" s="77" t="s">
        <v>490</v>
      </c>
      <c r="B62" s="78" t="s">
        <v>491</v>
      </c>
      <c r="C62" s="78" t="s">
        <v>492</v>
      </c>
      <c r="D62" s="78" t="s">
        <v>493</v>
      </c>
      <c r="E62" s="78" t="s">
        <v>455</v>
      </c>
      <c r="F62" s="78" t="s">
        <v>8</v>
      </c>
      <c r="G62" s="26" t="s">
        <v>6</v>
      </c>
    </row>
    <row r="63" spans="1:7">
      <c r="A63" s="1" t="s">
        <v>521</v>
      </c>
      <c r="B63" s="63"/>
      <c r="C63" s="81"/>
      <c r="D63" s="92">
        <v>25.56</v>
      </c>
      <c r="E63" s="67">
        <f>B63*C63+D63</f>
        <v>25.56</v>
      </c>
      <c r="F63" s="63">
        <f>E63*$B$5</f>
        <v>810.25199999999995</v>
      </c>
      <c r="G63" s="7" t="s">
        <v>495</v>
      </c>
    </row>
    <row r="64" spans="1:7">
      <c r="A64" s="64" t="s">
        <v>496</v>
      </c>
      <c r="B64" s="65"/>
      <c r="C64" s="82"/>
      <c r="D64" s="92">
        <v>8.2100000000000009</v>
      </c>
      <c r="E64" s="68">
        <f>B64*C64+D64</f>
        <v>8.2100000000000009</v>
      </c>
      <c r="F64" s="65">
        <f>E64*$B$5</f>
        <v>260.25700000000001</v>
      </c>
      <c r="G64" s="24" t="s">
        <v>495</v>
      </c>
    </row>
    <row r="65" spans="1:7">
      <c r="A65" s="1" t="s">
        <v>522</v>
      </c>
      <c r="B65" s="63"/>
      <c r="C65" s="81"/>
      <c r="D65" s="92">
        <v>41.04</v>
      </c>
      <c r="E65" s="67">
        <f>B65*C65+D65</f>
        <v>41.04</v>
      </c>
      <c r="F65" s="63">
        <f>E65*$B$5</f>
        <v>1300.9679999999998</v>
      </c>
      <c r="G65" s="7" t="s">
        <v>523</v>
      </c>
    </row>
    <row r="66" spans="1:7" ht="15" customHeight="1">
      <c r="A66" s="64" t="s">
        <v>524</v>
      </c>
      <c r="B66" s="65">
        <f>B19</f>
        <v>53</v>
      </c>
      <c r="C66" s="93">
        <v>1.53</v>
      </c>
      <c r="D66" s="68"/>
      <c r="E66" s="68">
        <f>B66*C66+D66</f>
        <v>81.09</v>
      </c>
      <c r="F66" s="65">
        <f>E66*$B$5</f>
        <v>2570.5529999999999</v>
      </c>
      <c r="G66" s="24" t="str">
        <f>TEXT(B66,"0")&amp;" SMT part types (Extended + Basic) × US$"&amp;TEXT(C66,"0.00")</f>
        <v>53 SMT part types (Extended + Basic) × US$1.53</v>
      </c>
    </row>
    <row r="67" spans="1:7">
      <c r="A67" s="1" t="s">
        <v>497</v>
      </c>
      <c r="B67" s="63">
        <f>B20*$B$7</f>
        <v>57900</v>
      </c>
      <c r="C67" s="93">
        <v>1.6000000000000001E-3</v>
      </c>
      <c r="D67" s="67"/>
      <c r="E67" s="67">
        <f>B67*C67+D67</f>
        <v>92.64</v>
      </c>
      <c r="F67" s="63">
        <f>E67*$B$5</f>
        <v>2936.6880000000001</v>
      </c>
      <c r="G67" s="7" t="str">
        <f>TEXT(B20,"#,##0")&amp;" joints per board × "&amp;TEXT($B$7,"0")&amp;" boards"</f>
        <v>579 joints per board × 100 boards</v>
      </c>
    </row>
    <row r="68" spans="1:7" ht="15" customHeight="1">
      <c r="A68" s="64" t="s">
        <v>498</v>
      </c>
      <c r="B68" s="65">
        <f>B21*$B$7</f>
        <v>700</v>
      </c>
      <c r="C68" s="93">
        <v>0.25</v>
      </c>
      <c r="D68" s="68"/>
      <c r="E68" s="68">
        <f>B68*C68+D68</f>
        <v>175</v>
      </c>
      <c r="F68" s="65">
        <f>E68*$B$5</f>
        <v>5547.5</v>
      </c>
      <c r="G68" s="24" t="str">
        <f>TEXT(B21,"0")&amp;" leadless parts per board × "&amp;TEXT($B$7,"0")&amp;" boards (501–1,000-part tier)"</f>
        <v>7 leadless parts per board × 100 boards (501–1,000-part tier)</v>
      </c>
    </row>
    <row r="69" spans="1:7" ht="27" customHeight="1">
      <c r="A69" s="1" t="s">
        <v>499</v>
      </c>
      <c r="B69" s="63">
        <f>$B$9*$B$7</f>
        <v>700</v>
      </c>
      <c r="C69" s="93">
        <v>1.6400000000000001E-2</v>
      </c>
      <c r="D69" s="92">
        <v>3.58</v>
      </c>
      <c r="E69" s="67">
        <f>B69*C69+D69</f>
        <v>15.06</v>
      </c>
      <c r="F69" s="63">
        <f>E69*$B$5</f>
        <v>477.40199999999999</v>
      </c>
      <c r="G69" s="7" t="str">
        <f>"4.4 mm jack: "&amp;TEXT($B$9,"0")&amp;" joints per board × "&amp;TEXT($B$7,"0")&amp;" boards, plus a fixed fee per order"</f>
        <v>4.4 mm jack: 7 joints per board × 100 boards, plus a fixed fee per order</v>
      </c>
    </row>
    <row r="70" spans="1:7">
      <c r="A70" s="64" t="s">
        <v>500</v>
      </c>
      <c r="B70" s="65"/>
      <c r="C70" s="82"/>
      <c r="D70" s="92">
        <v>0.45</v>
      </c>
      <c r="E70" s="68">
        <f>B70*C70+D70</f>
        <v>0.45</v>
      </c>
      <c r="F70" s="65">
        <f>E70*$B$5</f>
        <v>14.265000000000001</v>
      </c>
      <c r="G70" s="24" t="s">
        <v>495</v>
      </c>
    </row>
    <row r="71" spans="1:7">
      <c r="A71" s="15" t="s">
        <v>501</v>
      </c>
      <c r="B71" s="60"/>
      <c r="C71" s="22"/>
      <c r="D71" s="17"/>
      <c r="E71" s="17">
        <f>SUM(E63:E70)</f>
        <v>439.05</v>
      </c>
      <c r="F71" s="60">
        <f>E71*$B$5</f>
        <v>13917.885</v>
      </c>
      <c r="G71" s="27"/>
    </row>
    <row r="72" spans="1:7">
      <c r="A72" s="1"/>
      <c r="B72" s="1"/>
      <c r="C72" s="1"/>
      <c r="D72" s="1"/>
      <c r="E72" s="1"/>
      <c r="F72" s="1"/>
      <c r="G72" s="7"/>
    </row>
    <row r="73" spans="1:7">
      <c r="A73" s="77" t="s">
        <v>525</v>
      </c>
      <c r="B73" s="78"/>
      <c r="C73" s="78"/>
      <c r="D73" s="78"/>
      <c r="E73" s="78" t="s">
        <v>455</v>
      </c>
      <c r="F73" s="78" t="s">
        <v>8</v>
      </c>
      <c r="G73" s="26" t="s">
        <v>6</v>
      </c>
    </row>
    <row r="74" spans="1:7">
      <c r="A74" s="1" t="s">
        <v>526</v>
      </c>
      <c r="B74" s="1"/>
      <c r="C74" s="1"/>
      <c r="D74" s="1"/>
      <c r="E74" s="67">
        <f>B26</f>
        <v>19.171999999999997</v>
      </c>
      <c r="F74" s="63">
        <f>E74*$B$5</f>
        <v>607.75239999999985</v>
      </c>
      <c r="G74" s="7" t="s">
        <v>527</v>
      </c>
    </row>
    <row r="75" spans="1:7">
      <c r="A75" s="64" t="s">
        <v>528</v>
      </c>
      <c r="B75" s="64"/>
      <c r="C75" s="64"/>
      <c r="D75" s="64"/>
      <c r="E75" s="68">
        <f>B27</f>
        <v>0.8</v>
      </c>
      <c r="F75" s="65">
        <f>E75*$B$5</f>
        <v>25.36</v>
      </c>
      <c r="G75" s="24" t="s">
        <v>489</v>
      </c>
    </row>
    <row r="76" spans="1:7">
      <c r="A76" s="1" t="s">
        <v>529</v>
      </c>
      <c r="B76" s="1"/>
      <c r="C76" s="1"/>
      <c r="D76" s="1"/>
      <c r="E76" s="67">
        <f>E71/$B$7</f>
        <v>4.3905000000000003</v>
      </c>
      <c r="F76" s="63">
        <f>E76*$B$5</f>
        <v>139.17885000000001</v>
      </c>
      <c r="G76" s="7" t="str">
        <f>"order total ÷ "&amp;TEXT($B$7,"0")&amp;" boards"</f>
        <v>order total ÷ 100 boards</v>
      </c>
    </row>
    <row r="77" spans="1:7">
      <c r="A77" s="15" t="s">
        <v>530</v>
      </c>
      <c r="B77" s="15"/>
      <c r="C77" s="15"/>
      <c r="D77" s="15"/>
      <c r="E77" s="17">
        <f>SUM(E74:E76)</f>
        <v>24.362499999999997</v>
      </c>
      <c r="F77" s="60">
        <f>E77*$B$5</f>
        <v>772.29124999999988</v>
      </c>
      <c r="G77" s="27" t="s">
        <v>531</v>
      </c>
    </row>
    <row r="78" spans="1:7">
      <c r="A78" s="1"/>
      <c r="B78" s="1"/>
      <c r="C78" s="1"/>
      <c r="D78" s="1"/>
      <c r="E78" s="1"/>
      <c r="F78" s="1"/>
      <c r="G78" s="7"/>
    </row>
    <row r="79" spans="1:7">
      <c r="A79" s="96" t="s">
        <v>532</v>
      </c>
      <c r="B79" s="94"/>
      <c r="C79" s="94"/>
      <c r="D79" s="94"/>
      <c r="E79" s="94"/>
      <c r="F79" s="94"/>
      <c r="G79" s="52"/>
    </row>
  </sheetData>
  <mergeCells count="3">
    <mergeCell ref="A1:G1"/>
    <mergeCell ref="A2:G2"/>
    <mergeCell ref="A79:G79"/>
  </mergeCells>
  <conditionalFormatting sqref="F50">
    <cfRule type="containsText" dxfId="6" priority="1" operator="containsText" text="PASS">
      <formula>NOT(ISERROR(SEARCH("PASS",F50)))</formula>
    </cfRule>
  </conditionalFormatting>
  <conditionalFormatting sqref="F50">
    <cfRule type="containsText" dxfId="5" priority="2" operator="containsText" text="WARNING">
      <formula>NOT(ISERROR(SEARCH("WARNING",F50)))</formula>
    </cfRule>
  </conditionalFormatting>
  <conditionalFormatting sqref="F50">
    <cfRule type="containsText" dxfId="4" priority="3" operator="containsText" text="FAIL">
      <formula>NOT(ISERROR(SEARCH("FAIL",F50)))</formula>
    </cfRule>
  </conditionalFormatting>
  <conditionalFormatting sqref="F48:F49">
    <cfRule type="cellIs" dxfId="3" priority="4" operator="lessThan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78427-197C-4AE9-937A-D26C1C99D7D3}">
  <dimension ref="A1:B65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6.42578125" customWidth="1"/>
    <col min="2" max="2" width="131.42578125" customWidth="1"/>
  </cols>
  <sheetData>
    <row r="1" spans="1:2" ht="21.75" customHeight="1">
      <c r="A1" s="55" t="s">
        <v>533</v>
      </c>
      <c r="B1" s="94"/>
    </row>
    <row r="2" spans="1:2" ht="15" customHeight="1">
      <c r="A2" s="95" t="s">
        <v>534</v>
      </c>
      <c r="B2" s="94"/>
    </row>
    <row r="3" spans="1:2">
      <c r="A3" s="1"/>
      <c r="B3" s="1"/>
    </row>
    <row r="4" spans="1:2" ht="15.75" customHeight="1">
      <c r="A4" s="97" t="s">
        <v>535</v>
      </c>
      <c r="B4" s="97"/>
    </row>
    <row r="5" spans="1:2" ht="29.25" customHeight="1">
      <c r="A5" s="46">
        <v>1</v>
      </c>
      <c r="B5" s="7" t="str">
        <f>"Covers every component of every circuit of the v0.4 architecture: "&amp;TEXT(COUNTA('Parts list'!$B$4:$B$84),"0")&amp;" BOM lines ("&amp;TEXT(Cost!B14,"0")&amp;" fitted), "&amp;TEXT(Cost!B15,"0")&amp;" SMT-placed parts and "&amp;TEXT(Cost!B16,"0")&amp;" through-hole part (4.4 mm jack) per board."</f>
        <v>Covers every component of every circuit of the v0.4 architecture: 81 BOM lines (76 fitted), 181 SMT-placed parts and 1 through-hole part (4.4 mm jack) per board.</v>
      </c>
    </row>
    <row r="6" spans="1:2" ht="29.25" customHeight="1">
      <c r="A6" s="46">
        <v>2</v>
      </c>
      <c r="B6" s="7" t="s">
        <v>536</v>
      </c>
    </row>
    <row r="7" spans="1:2" ht="29.25" customHeight="1">
      <c r="A7" s="46">
        <v>3</v>
      </c>
      <c r="B7" s="7" t="s">
        <v>537</v>
      </c>
    </row>
    <row r="8" spans="1:2" ht="29.25" customHeight="1">
      <c r="A8" s="46">
        <v>4</v>
      </c>
      <c r="B8" s="7" t="s">
        <v>538</v>
      </c>
    </row>
    <row r="9" spans="1:2" ht="29.25" customHeight="1">
      <c r="A9" s="46">
        <v>5</v>
      </c>
      <c r="B9" s="7" t="s">
        <v>539</v>
      </c>
    </row>
    <row r="10" spans="1:2">
      <c r="A10" s="46"/>
      <c r="B10" s="7"/>
    </row>
    <row r="11" spans="1:2" ht="15.75" customHeight="1">
      <c r="A11" s="57" t="s">
        <v>540</v>
      </c>
      <c r="B11" s="58"/>
    </row>
    <row r="12" spans="1:2" ht="29.25" customHeight="1">
      <c r="A12" s="46">
        <v>1</v>
      </c>
      <c r="B12" s="7" t="s">
        <v>541</v>
      </c>
    </row>
    <row r="13" spans="1:2" ht="29.25" customHeight="1">
      <c r="A13" s="46">
        <v>2</v>
      </c>
      <c r="B13" s="7" t="s">
        <v>542</v>
      </c>
    </row>
    <row r="14" spans="1:2" ht="29.25" customHeight="1">
      <c r="A14" s="46">
        <v>3</v>
      </c>
      <c r="B14" s="7" t="s">
        <v>543</v>
      </c>
    </row>
    <row r="15" spans="1:2" ht="56.25" customHeight="1">
      <c r="A15" s="46">
        <v>4</v>
      </c>
      <c r="B15" s="7" t="s">
        <v>544</v>
      </c>
    </row>
    <row r="16" spans="1:2" ht="29.25" customHeight="1">
      <c r="A16" s="46">
        <v>5</v>
      </c>
      <c r="B16" s="7" t="s">
        <v>545</v>
      </c>
    </row>
    <row r="17" spans="1:2">
      <c r="A17" s="46"/>
      <c r="B17" s="7"/>
    </row>
    <row r="18" spans="1:2" ht="15.75" customHeight="1">
      <c r="A18" s="57" t="s">
        <v>546</v>
      </c>
      <c r="B18" s="58"/>
    </row>
    <row r="19" spans="1:2" ht="29.25" customHeight="1">
      <c r="A19" s="46">
        <v>1</v>
      </c>
      <c r="B19" s="7" t="s">
        <v>547</v>
      </c>
    </row>
    <row r="20" spans="1:2" ht="29.25" customHeight="1">
      <c r="A20" s="46">
        <v>2</v>
      </c>
      <c r="B20" s="7" t="str">
        <f>"Minimum spend: US$"&amp;TEXT(Cost!B8,"0.00")&amp;" per estimated passive line on the 5-board run — line cost = MAX(qty × boards × 1–9-piece price, US$"&amp;TEXT(Cost!B8,"0.00")&amp;") when Price basis = Estimate and the price is &gt; 0. It adds US$"&amp;TEXT(Cost!B24,"0.00")&amp;" to the run."</f>
        <v>Minimum spend: US$0.10 per estimated passive line on the 5-board run — line cost = MAX(qty × boards × 1–9-piece price, US$0.10) when Price basis = Estimate and the price is &gt; 0. It adds US$1.74 to the run.</v>
      </c>
    </row>
    <row r="21" spans="1:2" ht="15.75" customHeight="1">
      <c r="A21" s="46">
        <v>3</v>
      </c>
      <c r="B21" s="7" t="str">
        <f>"Exchange rate: "&amp;TEXT(Cost!B5,"0.0")&amp;" NTD per US$, fixed for the cost gate; the single input cell Cost!B5 drives every NTD figure."</f>
        <v>Exchange rate: 31.7 NTD per US$, fixed for the cost gate; the single input cell Cost!B5 drives every NTD figure.</v>
      </c>
    </row>
    <row r="22" spans="1:2" ht="29.25" customHeight="1">
      <c r="A22" s="46">
        <v>4</v>
      </c>
      <c r="B22" s="7" t="str">
        <f>"Bare PCBs (estimate): 4 layers, ≤ 80 × 60 mm, 90 Ω USB pair; US$"&amp;TEXT(SUMIFS('Parts list'!$N$4:$N$84,'Parts list'!$B$4:$B$84,"PCB"),"0.00")&amp;" per board for the 5-board run (US$"&amp;TEXT(Cost!B25,"0")&amp;" for "&amp;TEXT(Cost!B6,"0")&amp;") and US$"&amp;TEXT(SUMIFS('Parts list'!$O$4:$O$84,'Parts list'!$B$4:$B$84,"PCB"),"0.00")&amp;" per board for the 100-unit reference."</f>
        <v>Bare PCBs (estimate): 4 layers, ≤ 80 × 60 mm, 90 Ω USB pair; US$2.00 per board for the 5-board run (US$10 for 5) and US$0.80 per board for the 100-unit reference.</v>
      </c>
    </row>
    <row r="23" spans="1:2" ht="29.25" customHeight="1">
      <c r="A23" s="46">
        <v>5</v>
      </c>
      <c r="B23" s="7" t="s">
        <v>548</v>
      </c>
    </row>
    <row r="24" spans="1:2" ht="29.25" customHeight="1">
      <c r="A24" s="46">
        <v>6</v>
      </c>
      <c r="B24" s="7" t="str">
        <f>"X-ray: the "&amp;TEXT(Cost!B21,"0")&amp;" leadless parts per board include both oscillators; JLCPCB may not X-ray them (US$"&amp;TEXT(-Cost!E54,"0.00")&amp;" less for the run, "&amp;TEXT(-Cost!F54,"0")&amp;" NTD per board, if not)."</f>
        <v>X-ray: the 7 leadless parts per board include both oscillators; JLCPCB may not X-ray them (US$8.20 less for the run, 52 NTD per board, if not).</v>
      </c>
    </row>
    <row r="25" spans="1:2" ht="29.25" customHeight="1">
      <c r="A25" s="46">
        <v>7</v>
      </c>
      <c r="B25" s="7" t="s">
        <v>549</v>
      </c>
    </row>
    <row r="26" spans="1:2" ht="15.75" customHeight="1">
      <c r="A26" s="46">
        <v>8</v>
      </c>
      <c r="B26" s="7" t="s">
        <v>550</v>
      </c>
    </row>
    <row r="27" spans="1:2">
      <c r="A27" s="46"/>
      <c r="B27" s="7"/>
    </row>
    <row r="28" spans="1:2" ht="15.75" customHeight="1">
      <c r="A28" s="57" t="s">
        <v>551</v>
      </c>
      <c r="B28" s="58"/>
    </row>
    <row r="29" spans="1:2" ht="15.75" customHeight="1">
      <c r="A29" s="46">
        <v>1</v>
      </c>
      <c r="B29" s="7" t="s">
        <v>552</v>
      </c>
    </row>
    <row r="30" spans="1:2" ht="15.75" customHeight="1">
      <c r="A30" s="46">
        <v>2</v>
      </c>
      <c r="B30" s="7" t="s">
        <v>553</v>
      </c>
    </row>
    <row r="31" spans="1:2">
      <c r="A31" s="46"/>
      <c r="B31" s="7"/>
    </row>
    <row r="32" spans="1:2" ht="15.75" customHeight="1">
      <c r="A32" s="57" t="s">
        <v>554</v>
      </c>
      <c r="B32" s="58"/>
    </row>
    <row r="33" spans="1:2" ht="29.25" customHeight="1">
      <c r="A33" s="46">
        <v>1</v>
      </c>
      <c r="B33" s="7" t="s">
        <v>555</v>
      </c>
    </row>
    <row r="34" spans="1:2" ht="29.25" customHeight="1">
      <c r="A34" s="46">
        <v>2</v>
      </c>
      <c r="B34" s="7" t="s">
        <v>556</v>
      </c>
    </row>
    <row r="35" spans="1:2" ht="15.75" customHeight="1">
      <c r="A35" s="46">
        <v>3</v>
      </c>
      <c r="B35" s="7" t="s">
        <v>557</v>
      </c>
    </row>
    <row r="36" spans="1:2" ht="15.75" customHeight="1">
      <c r="A36" s="46">
        <v>4</v>
      </c>
      <c r="B36" s="7" t="s">
        <v>558</v>
      </c>
    </row>
    <row r="37" spans="1:2" ht="29.25" customHeight="1">
      <c r="A37" s="46">
        <v>5</v>
      </c>
      <c r="B37" s="7" t="str">
        <f>"Cost gate is "&amp;Cost!F50&amp;" at "&amp;TEXT(Cost!F45,"#,##0")&amp;" NTD per board: "&amp;Cost!G48&amp;"; "&amp;Cost!G49&amp;" (target "&amp;TEXT(Cost!F46,"#,##0")&amp;" NTD, approved ceiling "&amp;TEXT(Cost!F47,"#,##0")&amp;" NTD — owner decision 24 Sep 2026)."</f>
        <v>Cost gate is WARNING at 1,536 NTD per board: 36 NTD over the target (2.4%); 14 NTD under the approved ceiling (target 1,500 NTD, approved ceiling 1,550 NTD — owner decision 24 Sep 2026).</v>
      </c>
    </row>
    <row r="38" spans="1:2" ht="42.75" customHeight="1">
      <c r="A38" s="46">
        <v>6</v>
      </c>
      <c r="B38" s="7" t="str">
        <f>"Cost levers: if JLCPCB does not X-ray the two oscillators, −"&amp;TEXT(-Cost!F54,"#,##0")&amp;" NTD per board → ≈ "&amp;TEXT(Cost!F45+Cost!F54,"#,##0")&amp;" NTD ("&amp;IF(Cost!F45+Cost!F54&lt;=Cost!F46,"back under","still over")&amp;" the target); a cheaper 4.4 mm jack — J701 costs ≈ "&amp;TEXT(Cost!F55,"#,##0")&amp;" NTD per board now (each US$1 saved = "&amp;TEXT(Cost!B5,"0.0")&amp;" NTD per board). Buying 10 of the 5-piece ICs raises the order total (Cost sheet)."</f>
        <v>Cost levers: if JLCPCB does not X-ray the two oscillators, −52 NTD per board → ≈ 1,484 NTD (back under the target); a cheaper 4.4 mm jack — J701 costs ≈ 218 NTD per board now (each US$1 saved = 31.7 NTD per board). Buying 10 of the 5-piece ICs raises the order total (Cost sheet).</v>
      </c>
    </row>
    <row r="39" spans="1:2">
      <c r="A39" s="46"/>
      <c r="B39" s="7"/>
    </row>
    <row r="40" spans="1:2" ht="15.75" customHeight="1">
      <c r="A40" s="57" t="s">
        <v>559</v>
      </c>
      <c r="B40" s="58"/>
    </row>
    <row r="41" spans="1:2" ht="29.25" customHeight="1">
      <c r="A41" s="46">
        <v>1</v>
      </c>
      <c r="B41" s="7" t="s">
        <v>560</v>
      </c>
    </row>
    <row r="42" spans="1:2" ht="29.25" customHeight="1">
      <c r="A42" s="46">
        <v>2</v>
      </c>
      <c r="B42" s="7" t="s">
        <v>561</v>
      </c>
    </row>
    <row r="43" spans="1:2" ht="29.25" customHeight="1">
      <c r="A43" s="46">
        <v>3</v>
      </c>
      <c r="B43" s="7" t="s">
        <v>562</v>
      </c>
    </row>
    <row r="44" spans="1:2" ht="15.75" customHeight="1">
      <c r="A44" s="46">
        <v>4</v>
      </c>
      <c r="B44" s="7" t="s">
        <v>563</v>
      </c>
    </row>
    <row r="45" spans="1:2" ht="29.25" customHeight="1">
      <c r="A45" s="46">
        <v>5</v>
      </c>
      <c r="B45" s="7" t="s">
        <v>564</v>
      </c>
    </row>
    <row r="46" spans="1:2" ht="29.25" customHeight="1">
      <c r="A46" s="46">
        <v>6</v>
      </c>
      <c r="B46" s="7" t="s">
        <v>565</v>
      </c>
    </row>
    <row r="47" spans="1:2" ht="29.25" customHeight="1">
      <c r="A47" s="46">
        <v>7</v>
      </c>
      <c r="B47" s="7" t="s">
        <v>566</v>
      </c>
    </row>
    <row r="48" spans="1:2" ht="15.75" customHeight="1">
      <c r="A48" s="46">
        <v>8</v>
      </c>
      <c r="B48" s="7" t="s">
        <v>567</v>
      </c>
    </row>
    <row r="49" spans="1:2" ht="15.75" customHeight="1">
      <c r="A49" s="46">
        <v>9</v>
      </c>
      <c r="B49" s="7" t="s">
        <v>568</v>
      </c>
    </row>
    <row r="50" spans="1:2" ht="29.25" customHeight="1">
      <c r="A50" s="46">
        <v>10</v>
      </c>
      <c r="B50" s="7" t="s">
        <v>569</v>
      </c>
    </row>
    <row r="51" spans="1:2" ht="15.75" customHeight="1">
      <c r="A51" s="46">
        <v>11</v>
      </c>
      <c r="B51" s="7" t="s">
        <v>570</v>
      </c>
    </row>
    <row r="52" spans="1:2">
      <c r="A52" s="46"/>
      <c r="B52" s="7"/>
    </row>
    <row r="53" spans="1:2" ht="15.75" customHeight="1">
      <c r="A53" s="57" t="s">
        <v>571</v>
      </c>
      <c r="B53" s="58"/>
    </row>
    <row r="54" spans="1:2" ht="29.25" customHeight="1">
      <c r="A54" s="46">
        <v>1</v>
      </c>
      <c r="B54" s="7" t="s">
        <v>572</v>
      </c>
    </row>
    <row r="55" spans="1:2" ht="15.75" customHeight="1">
      <c r="A55" s="46">
        <v>2</v>
      </c>
      <c r="B55" s="7" t="s">
        <v>573</v>
      </c>
    </row>
    <row r="56" spans="1:2" ht="29.25" customHeight="1">
      <c r="A56" s="46">
        <v>3</v>
      </c>
      <c r="B56" s="7" t="s">
        <v>574</v>
      </c>
    </row>
    <row r="57" spans="1:2" ht="29.25" customHeight="1">
      <c r="A57" s="46">
        <v>4</v>
      </c>
      <c r="B57" s="7" t="s">
        <v>575</v>
      </c>
    </row>
    <row r="58" spans="1:2" ht="29.25" customHeight="1">
      <c r="A58" s="46">
        <v>5</v>
      </c>
      <c r="B58" s="7" t="s">
        <v>576</v>
      </c>
    </row>
    <row r="59" spans="1:2">
      <c r="A59" s="46"/>
      <c r="B59" s="7"/>
    </row>
    <row r="60" spans="1:2" ht="15.75" customHeight="1">
      <c r="A60" s="57" t="s">
        <v>577</v>
      </c>
      <c r="B60" s="58"/>
    </row>
    <row r="61" spans="1:2" ht="29.25" customHeight="1">
      <c r="A61" s="46">
        <v>1</v>
      </c>
      <c r="B61" s="7" t="s">
        <v>578</v>
      </c>
    </row>
    <row r="62" spans="1:2" ht="29.25" customHeight="1">
      <c r="A62" s="46">
        <v>2</v>
      </c>
      <c r="B62" s="7" t="s">
        <v>579</v>
      </c>
    </row>
    <row r="63" spans="1:2" ht="29.25" customHeight="1">
      <c r="A63" s="46">
        <v>3</v>
      </c>
      <c r="B63" s="7" t="s">
        <v>580</v>
      </c>
    </row>
    <row r="64" spans="1:2" ht="42.75" customHeight="1">
      <c r="A64" s="46">
        <v>4</v>
      </c>
      <c r="B64" s="7" t="s">
        <v>581</v>
      </c>
    </row>
    <row r="65" spans="1:2" ht="42.75" customHeight="1">
      <c r="A65" s="46">
        <v>5</v>
      </c>
      <c r="B65" s="7" t="s">
        <v>582</v>
      </c>
    </row>
  </sheetData>
  <mergeCells count="10">
    <mergeCell ref="A53:B53"/>
    <mergeCell ref="A60:B60"/>
    <mergeCell ref="A1:B1"/>
    <mergeCell ref="A2:B2"/>
    <mergeCell ref="A4:B4"/>
    <mergeCell ref="A11:B11"/>
    <mergeCell ref="A18:B18"/>
    <mergeCell ref="A28:B28"/>
    <mergeCell ref="A32:B32"/>
    <mergeCell ref="A40:B4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0E263-8A36-43EF-B46E-3196DD390596}">
  <dimension ref="A1:G30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53.42578125" customWidth="1"/>
    <col min="2" max="4" width="12.42578125" customWidth="1"/>
    <col min="5" max="5" width="11.42578125" customWidth="1"/>
    <col min="6" max="6" width="15.42578125" customWidth="1"/>
    <col min="7" max="7" width="57.42578125" customWidth="1"/>
  </cols>
  <sheetData>
    <row r="1" spans="1:7" ht="21.75" customHeight="1">
      <c r="A1" s="55" t="s">
        <v>583</v>
      </c>
      <c r="B1" s="94"/>
      <c r="C1" s="94"/>
      <c r="D1" s="94"/>
      <c r="E1" s="94"/>
      <c r="F1" s="94"/>
      <c r="G1" s="94"/>
    </row>
    <row r="2" spans="1:7" ht="42" customHeight="1">
      <c r="A2" s="56" t="s">
        <v>584</v>
      </c>
      <c r="B2" s="94"/>
      <c r="C2" s="94"/>
      <c r="D2" s="94"/>
      <c r="E2" s="94"/>
      <c r="F2" s="94"/>
      <c r="G2" s="94"/>
    </row>
    <row r="3" spans="1:7">
      <c r="A3" s="1"/>
      <c r="B3" s="1"/>
      <c r="C3" s="1"/>
      <c r="D3" s="1"/>
      <c r="E3" s="1"/>
      <c r="F3" s="1"/>
      <c r="G3" s="1"/>
    </row>
    <row r="4" spans="1:7">
      <c r="A4" s="3" t="s">
        <v>585</v>
      </c>
      <c r="B4" s="4" t="s">
        <v>586</v>
      </c>
      <c r="C4" s="4" t="s">
        <v>587</v>
      </c>
      <c r="D4" s="4" t="s">
        <v>588</v>
      </c>
      <c r="E4" s="4" t="s">
        <v>589</v>
      </c>
      <c r="F4" s="4" t="s">
        <v>590</v>
      </c>
      <c r="G4" s="3" t="s">
        <v>6</v>
      </c>
    </row>
    <row r="5" spans="1:7" ht="15.75" customHeight="1">
      <c r="A5" s="7" t="s">
        <v>591</v>
      </c>
      <c r="B5" s="18">
        <v>81</v>
      </c>
      <c r="C5" s="18">
        <f>COUNTA('Parts list'!$B$4:$B$84)</f>
        <v>81</v>
      </c>
      <c r="D5" s="18">
        <f>C5-B5</f>
        <v>0</v>
      </c>
      <c r="E5" s="42">
        <v>0</v>
      </c>
      <c r="F5" s="44" t="str">
        <f>IF(ABS(D5)&lt;=E5,"OK","CHECK")</f>
        <v>OK</v>
      </c>
      <c r="G5" s="7" t="s">
        <v>592</v>
      </c>
    </row>
    <row r="6" spans="1:7" ht="15.75" customHeight="1">
      <c r="A6" s="24" t="s">
        <v>464</v>
      </c>
      <c r="B6" s="34">
        <v>76</v>
      </c>
      <c r="C6" s="34">
        <f>Cost!B14</f>
        <v>76</v>
      </c>
      <c r="D6" s="34">
        <f>C6-B6</f>
        <v>0</v>
      </c>
      <c r="E6" s="43">
        <v>0</v>
      </c>
      <c r="F6" s="45" t="str">
        <f>IF(ABS(D6)&lt;=E6,"OK","CHECK")</f>
        <v>OK</v>
      </c>
      <c r="G6" s="24" t="s">
        <v>593</v>
      </c>
    </row>
    <row r="7" spans="1:7" ht="15.75" customHeight="1">
      <c r="A7" s="7" t="s">
        <v>29</v>
      </c>
      <c r="B7" s="18">
        <v>181</v>
      </c>
      <c r="C7" s="18">
        <f>Cost!B15</f>
        <v>181</v>
      </c>
      <c r="D7" s="18">
        <f>C7-B7</f>
        <v>0</v>
      </c>
      <c r="E7" s="42">
        <v>0</v>
      </c>
      <c r="F7" s="44" t="str">
        <f>IF(ABS(D7)&lt;=E7,"OK","CHECK")</f>
        <v>OK</v>
      </c>
      <c r="G7" s="7" t="s">
        <v>594</v>
      </c>
    </row>
    <row r="8" spans="1:7" ht="15.75" customHeight="1">
      <c r="A8" s="24" t="s">
        <v>31</v>
      </c>
      <c r="B8" s="34">
        <v>14</v>
      </c>
      <c r="C8" s="34">
        <f>Cost!B17</f>
        <v>14</v>
      </c>
      <c r="D8" s="34">
        <f>C8-B8</f>
        <v>0</v>
      </c>
      <c r="E8" s="43">
        <v>0</v>
      </c>
      <c r="F8" s="45" t="str">
        <f>IF(ABS(D8)&lt;=E8,"OK","CHECK")</f>
        <v>OK</v>
      </c>
      <c r="G8" s="24" t="s">
        <v>595</v>
      </c>
    </row>
    <row r="9" spans="1:7" ht="15.75" customHeight="1">
      <c r="A9" s="7" t="s">
        <v>33</v>
      </c>
      <c r="B9" s="18">
        <v>39</v>
      </c>
      <c r="C9" s="18">
        <f>Cost!B18</f>
        <v>39</v>
      </c>
      <c r="D9" s="18">
        <f>C9-B9</f>
        <v>0</v>
      </c>
      <c r="E9" s="42">
        <v>0</v>
      </c>
      <c r="F9" s="44" t="str">
        <f>IF(ABS(D9)&lt;=E9,"OK","CHECK")</f>
        <v>OK</v>
      </c>
      <c r="G9" s="7" t="s">
        <v>596</v>
      </c>
    </row>
    <row r="10" spans="1:7" ht="15.75" customHeight="1">
      <c r="A10" s="24" t="s">
        <v>35</v>
      </c>
      <c r="B10" s="34">
        <v>7</v>
      </c>
      <c r="C10" s="34">
        <f>Cost!B21</f>
        <v>7</v>
      </c>
      <c r="D10" s="34">
        <f>C10-B10</f>
        <v>0</v>
      </c>
      <c r="E10" s="43">
        <v>0</v>
      </c>
      <c r="F10" s="45" t="str">
        <f>IF(ABS(D10)&lt;=E10,"OK","CHECK")</f>
        <v>OK</v>
      </c>
      <c r="G10" s="24" t="s">
        <v>597</v>
      </c>
    </row>
    <row r="11" spans="1:7" ht="15.75" customHeight="1">
      <c r="A11" s="7" t="s">
        <v>37</v>
      </c>
      <c r="B11" s="18">
        <v>579</v>
      </c>
      <c r="C11" s="18">
        <f>Cost!B20</f>
        <v>579</v>
      </c>
      <c r="D11" s="18">
        <f>C11-B11</f>
        <v>0</v>
      </c>
      <c r="E11" s="42">
        <v>0</v>
      </c>
      <c r="F11" s="44" t="str">
        <f>IF(ABS(D11)&lt;=E11,"OK","CHECK")</f>
        <v>OK</v>
      </c>
      <c r="G11" s="7" t="s">
        <v>598</v>
      </c>
    </row>
    <row r="12" spans="1:7" ht="15.75" customHeight="1">
      <c r="A12" s="24" t="s">
        <v>40</v>
      </c>
      <c r="B12" s="34">
        <v>54</v>
      </c>
      <c r="C12" s="34">
        <f>COUNTA('Purchasing list'!$C$4:$C$57)</f>
        <v>54</v>
      </c>
      <c r="D12" s="34">
        <f>C12-B12</f>
        <v>0</v>
      </c>
      <c r="E12" s="43">
        <v>0</v>
      </c>
      <c r="F12" s="45" t="str">
        <f>IF(ABS(D12)&lt;=E12,"OK","CHECK")</f>
        <v>OK</v>
      </c>
      <c r="G12" s="24" t="s">
        <v>599</v>
      </c>
    </row>
    <row r="13" spans="1:7" ht="15.75" customHeight="1">
      <c r="A13" s="7" t="s">
        <v>600</v>
      </c>
      <c r="B13" s="18">
        <f>Cost!B15+Cost!B16</f>
        <v>182</v>
      </c>
      <c r="C13" s="18">
        <f>SUM('Purchasing list'!$J$4:$J$57)</f>
        <v>182</v>
      </c>
      <c r="D13" s="18">
        <f>C13-B13</f>
        <v>0</v>
      </c>
      <c r="E13" s="42">
        <v>0</v>
      </c>
      <c r="F13" s="44" t="str">
        <f>IF(ABS(D13)&lt;=E13,"OK","CHECK")</f>
        <v>OK</v>
      </c>
      <c r="G13" s="7" t="s">
        <v>601</v>
      </c>
    </row>
    <row r="14" spans="1:7" ht="29.25" customHeight="1">
      <c r="A14" s="24" t="s">
        <v>602</v>
      </c>
      <c r="B14" s="33">
        <f>Cost!B23-Cost!B24</f>
        <v>139.94149999999988</v>
      </c>
      <c r="C14" s="33">
        <f>SUM('Purchasing list'!$P$4:$P$57)</f>
        <v>139.94149999999999</v>
      </c>
      <c r="D14" s="33">
        <f>C14-B14</f>
        <v>0</v>
      </c>
      <c r="E14" s="43">
        <v>5.0000000000000001E-3</v>
      </c>
      <c r="F14" s="45" t="str">
        <f>IF(ABS(D14)&lt;=E14,"OK","CHECK")</f>
        <v>OK</v>
      </c>
      <c r="G14" s="24" t="s">
        <v>603</v>
      </c>
    </row>
    <row r="15" spans="1:7" ht="29.25" customHeight="1">
      <c r="A15" s="7" t="s">
        <v>604</v>
      </c>
      <c r="B15" s="41">
        <f>Cost!B26</f>
        <v>19.171999999999997</v>
      </c>
      <c r="C15" s="41">
        <f>SUM('Purchasing list'!$Q$4:$Q$57)</f>
        <v>19.172000000000004</v>
      </c>
      <c r="D15" s="41">
        <f>C15-B15</f>
        <v>0</v>
      </c>
      <c r="E15" s="42">
        <v>5.0000000000000001E-3</v>
      </c>
      <c r="F15" s="44" t="str">
        <f>IF(ABS(D15)&lt;=E15,"OK","CHECK")</f>
        <v>OK</v>
      </c>
      <c r="G15" s="7" t="s">
        <v>603</v>
      </c>
    </row>
    <row r="16" spans="1:7" ht="29.25" customHeight="1">
      <c r="A16" s="24" t="s">
        <v>605</v>
      </c>
      <c r="B16" s="33">
        <f>Cost!E44</f>
        <v>242.3024999999999</v>
      </c>
      <c r="C16" s="33">
        <f>SUM('Parts list'!$R$4:$R$84)+SUM(Cost!$E$31:$E$37)</f>
        <v>242.3024999999999</v>
      </c>
      <c r="D16" s="33">
        <f>C16-B16</f>
        <v>0</v>
      </c>
      <c r="E16" s="43">
        <v>5.0000000000000001E-3</v>
      </c>
      <c r="F16" s="45" t="str">
        <f>IF(ABS(D16)&lt;=E16,"OK","CHECK")</f>
        <v>OK</v>
      </c>
      <c r="G16" s="24" t="s">
        <v>606</v>
      </c>
    </row>
    <row r="17" spans="1:7" ht="15.75" customHeight="1">
      <c r="A17" s="7" t="s">
        <v>607</v>
      </c>
      <c r="B17" s="18">
        <f>Cost!F44</f>
        <v>7680.9892499999969</v>
      </c>
      <c r="C17" s="18">
        <f>Summary!B9</f>
        <v>7680.9892499999969</v>
      </c>
      <c r="D17" s="18">
        <f>C17-B17</f>
        <v>0</v>
      </c>
      <c r="E17" s="42">
        <v>5.0000000000000001E-3</v>
      </c>
      <c r="F17" s="44" t="str">
        <f>IF(ABS(D17)&lt;=E17,"OK","CHECK")</f>
        <v>OK</v>
      </c>
      <c r="G17" s="7" t="s">
        <v>608</v>
      </c>
    </row>
    <row r="18" spans="1:7" ht="15.75" customHeight="1">
      <c r="A18" s="24" t="s">
        <v>609</v>
      </c>
      <c r="B18" s="33">
        <v>242.3</v>
      </c>
      <c r="C18" s="33">
        <f>Cost!E44</f>
        <v>242.3024999999999</v>
      </c>
      <c r="D18" s="33">
        <f>C18-B18</f>
        <v>2.4999999998840394E-3</v>
      </c>
      <c r="E18" s="43">
        <v>0.01</v>
      </c>
      <c r="F18" s="45" t="str">
        <f>IF(ABS(D18)&lt;=E18,"OK","CHECK")</f>
        <v>OK</v>
      </c>
      <c r="G18" s="24" t="s">
        <v>610</v>
      </c>
    </row>
    <row r="19" spans="1:7" ht="15.75" customHeight="1">
      <c r="A19" s="7" t="s">
        <v>611</v>
      </c>
      <c r="B19" s="18">
        <v>1536</v>
      </c>
      <c r="C19" s="18">
        <f>Cost!F45</f>
        <v>1536.1978499999993</v>
      </c>
      <c r="D19" s="18">
        <f>C19-B19</f>
        <v>0.19784999999933461</v>
      </c>
      <c r="E19" s="42">
        <v>1</v>
      </c>
      <c r="F19" s="44" t="str">
        <f>IF(ABS(D19)&lt;=E19,"OK","CHECK")</f>
        <v>OK</v>
      </c>
      <c r="G19" s="7" t="s">
        <v>612</v>
      </c>
    </row>
    <row r="20" spans="1:7" ht="29.25" customHeight="1">
      <c r="A20" s="24" t="s">
        <v>613</v>
      </c>
      <c r="B20" s="72">
        <v>264</v>
      </c>
      <c r="C20" s="72">
        <f>Summary!C38</f>
        <v>263.84543999999988</v>
      </c>
      <c r="D20" s="72">
        <f>C20-B20</f>
        <v>-0.15456000000011727</v>
      </c>
      <c r="E20" s="43">
        <v>0.5</v>
      </c>
      <c r="F20" s="45" t="str">
        <f>IF(ABS(D20)&lt;=E20,"OK","CHECK")</f>
        <v>OK</v>
      </c>
      <c r="G20" s="24" t="s">
        <v>614</v>
      </c>
    </row>
    <row r="21" spans="1:7" ht="15.75" customHeight="1">
      <c r="A21" s="7" t="s">
        <v>615</v>
      </c>
      <c r="B21" s="18">
        <v>772</v>
      </c>
      <c r="C21" s="18">
        <f>Cost!F77</f>
        <v>772.29124999999988</v>
      </c>
      <c r="D21" s="18">
        <f>C21-B21</f>
        <v>0.29124999999987722</v>
      </c>
      <c r="E21" s="42">
        <v>1</v>
      </c>
      <c r="F21" s="44" t="str">
        <f>IF(ABS(D21)&lt;=E21,"OK","CHECK")</f>
        <v>OK</v>
      </c>
      <c r="G21" s="7" t="s">
        <v>612</v>
      </c>
    </row>
    <row r="22" spans="1:7" ht="29.25" customHeight="1">
      <c r="A22" s="24" t="s">
        <v>616</v>
      </c>
      <c r="B22" s="73">
        <f>Cost!F47</f>
        <v>1550</v>
      </c>
      <c r="C22" s="73">
        <f>Cost!F45</f>
        <v>1536.1978499999993</v>
      </c>
      <c r="D22" s="73">
        <f>C22-B22</f>
        <v>-13.802150000000665</v>
      </c>
      <c r="E22" s="43">
        <v>0</v>
      </c>
      <c r="F22" s="45" t="str">
        <f>IF(D22&lt;=E22,"OK","CHECK")</f>
        <v>OK</v>
      </c>
      <c r="G22" s="24" t="s">
        <v>617</v>
      </c>
    </row>
    <row r="23" spans="1:7" ht="29.25" customHeight="1">
      <c r="A23" s="7" t="s">
        <v>618</v>
      </c>
      <c r="B23" s="74">
        <f>Cost!F46</f>
        <v>1500</v>
      </c>
      <c r="C23" s="74">
        <f>Cost!F45</f>
        <v>1536.1978499999993</v>
      </c>
      <c r="D23" s="74">
        <f>C23-B23</f>
        <v>36.197849999999335</v>
      </c>
      <c r="E23" s="42">
        <v>0</v>
      </c>
      <c r="F23" s="44" t="str">
        <f>IF(D23&lt;=E23,"OK","WARNING")</f>
        <v>WARNING</v>
      </c>
      <c r="G23" s="7" t="str">
        <f>IF(D23&lt;=E23,"within the target","over the target by "&amp;TEXT(D23,"#,##0")&amp;" NTD per board — allowed up to the approved ceiling (reported, not a failed check)")</f>
        <v>over the target by 36 NTD per board — allowed up to the approved ceiling (reported, not a failed check)</v>
      </c>
    </row>
    <row r="24" spans="1:7" ht="29.25" customHeight="1">
      <c r="A24" s="24" t="s">
        <v>619</v>
      </c>
      <c r="B24" s="75" t="s">
        <v>620</v>
      </c>
      <c r="C24" s="75" t="str">
        <f>Cost!F50</f>
        <v>WARNING</v>
      </c>
      <c r="D24" s="24"/>
      <c r="E24" s="43"/>
      <c r="F24" s="45" t="str">
        <f>IF(C24=B24,"OK","CHECK")</f>
        <v>OK</v>
      </c>
      <c r="G24" s="24" t="s">
        <v>621</v>
      </c>
    </row>
    <row r="25" spans="1:7">
      <c r="A25" s="1"/>
      <c r="B25" s="1"/>
      <c r="C25" s="1"/>
      <c r="D25" s="1"/>
      <c r="E25" s="1"/>
      <c r="F25" s="1"/>
      <c r="G25" s="1"/>
    </row>
    <row r="26" spans="1:7" ht="30" customHeight="1">
      <c r="A26" s="27" t="s">
        <v>622</v>
      </c>
      <c r="B26" s="27"/>
      <c r="C26" s="27"/>
      <c r="D26" s="27"/>
      <c r="E26" s="27"/>
      <c r="F26" s="76" t="str">
        <f>IF(COUNTIF(F5:F24,"CHECK")&gt;0,TEXT(COUNTIF(F5:F24,"CHECK"),"0")&amp;" to check",IF(COUNTIF(F5:F24,"WARNING")&gt;0,"ALL OK — target WARNING","ALL OK"))</f>
        <v>ALL OK — target WARNING</v>
      </c>
      <c r="G26" s="27" t="str">
        <f>TEXT(COUNTIF(F5:F24,"OK"),"0")&amp;" of "&amp;TEXT(ROWS(F5:F24),"0")&amp;" checks OK; "&amp;TEXT(COUNTIF(F5:F24,"WARNING"),"0")&amp;" WARNING (target overrun, within the approved ceiling); "&amp;TEXT(COUNTIF(F5:F24,"CHECK"),"0")&amp;" to check"</f>
        <v>19 of 20 checks OK; 1 WARNING (target overrun, within the approved ceiling); 0 to check</v>
      </c>
    </row>
    <row r="27" spans="1:7">
      <c r="A27" s="1"/>
      <c r="B27" s="1"/>
      <c r="C27" s="1"/>
      <c r="D27" s="1"/>
      <c r="E27" s="1"/>
      <c r="F27" s="1"/>
      <c r="G27" s="1"/>
    </row>
    <row r="28" spans="1:7">
      <c r="A28" s="29" t="s">
        <v>623</v>
      </c>
      <c r="B28" s="1"/>
      <c r="C28" s="1"/>
      <c r="D28" s="1"/>
      <c r="E28" s="1"/>
      <c r="F28" s="1"/>
      <c r="G28" s="1"/>
    </row>
    <row r="29" spans="1:7" ht="30" customHeight="1">
      <c r="A29" s="52" t="s">
        <v>624</v>
      </c>
      <c r="B29" s="52"/>
      <c r="C29" s="52"/>
      <c r="D29" s="52"/>
      <c r="E29" s="52"/>
      <c r="F29" s="52"/>
      <c r="G29" s="52"/>
    </row>
    <row r="30" spans="1:7" ht="30" customHeight="1">
      <c r="A30" s="52" t="s">
        <v>625</v>
      </c>
      <c r="B30" s="52"/>
      <c r="C30" s="52"/>
      <c r="D30" s="52"/>
      <c r="E30" s="52"/>
      <c r="F30" s="52"/>
      <c r="G30" s="52"/>
    </row>
  </sheetData>
  <mergeCells count="4">
    <mergeCell ref="A1:G1"/>
    <mergeCell ref="A2:G2"/>
    <mergeCell ref="A29:G29"/>
    <mergeCell ref="A30:G30"/>
  </mergeCells>
  <conditionalFormatting sqref="F5:F26">
    <cfRule type="containsText" dxfId="2" priority="1" operator="containsText" text="CHECK">
      <formula>NOT(ISERROR(SEARCH("CHECK",F5)))</formula>
    </cfRule>
  </conditionalFormatting>
  <conditionalFormatting sqref="F5:F26">
    <cfRule type="containsText" dxfId="1" priority="2" operator="containsText" text="WARNING">
      <formula>NOT(ISERROR(SEARCH("WARNING",F5)))</formula>
    </cfRule>
  </conditionalFormatting>
  <conditionalFormatting sqref="F5:F26">
    <cfRule type="containsText" dxfId="0" priority="3" operator="containsText" text="OK">
      <formula>NOT(ISERROR(SEARCH("OK",F5)))</formula>
    </cfRule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7ba5c36-b7cf-4793-bbc2-bd5b3a9f95ca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i:0#.f|membership|a-diegoyang@microsoft.com</cp:lastModifiedBy>
  <cp:revision/>
  <dcterms:created xsi:type="dcterms:W3CDTF">2026-09-23T16:16:20Z</dcterms:created>
  <dcterms:modified xsi:type="dcterms:W3CDTF">2026-09-23T17:54:25Z</dcterms:modified>
  <cp:category/>
  <cp:contentStatus/>
</cp:coreProperties>
</file>